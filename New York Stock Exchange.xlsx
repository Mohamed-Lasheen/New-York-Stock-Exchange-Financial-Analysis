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D:\Projects\5. New York Stock Exchange Analysis\"/>
    </mc:Choice>
  </mc:AlternateContent>
  <xr:revisionPtr revIDLastSave="0" documentId="8_{D5D232C0-E17C-4550-9B5C-1B5FFC5BA04C}" xr6:coauthVersionLast="47" xr6:coauthVersionMax="47" xr10:uidLastSave="{00000000-0000-0000-0000-000000000000}"/>
  <bookViews>
    <workbookView xWindow="22932" yWindow="-108" windowWidth="19416" windowHeight="10296" activeTab="1" xr2:uid="{546CC5D3-FB58-4BBA-ADC7-5786C0EB1518}"/>
  </bookViews>
  <sheets>
    <sheet name="Data" sheetId="1" r:id="rId1"/>
    <sheet name="Statistical Analysis" sheetId="2" r:id="rId2"/>
    <sheet name="Profit &amp; Loss Statement" sheetId="3" r:id="rId3"/>
    <sheet name="Financial Forecasting Model" sheetId="5" r:id="rId4"/>
    <sheet name="Financial Dashboard" sheetId="7" r:id="rId5"/>
    <sheet name="Dashboard Pivot Data" sheetId="8" r:id="rId6"/>
  </sheets>
  <definedNames>
    <definedName name="Cost_of_Goods_Sold">Data!$F$2:$F$1711</definedName>
    <definedName name="GICS_Sector">Data!$J$2:$J$1711</definedName>
    <definedName name="GICS_Sub_Industry">Data!$K$2:$K$1711</definedName>
    <definedName name="Other_Operating_Items">Data!$I$2:$I$1711</definedName>
    <definedName name="Period">Data!$D$2:$D$1711</definedName>
    <definedName name="Research_and_Development">Data!$H$2:$H$1711</definedName>
    <definedName name="Sales__General_and_Admin">Data!$G$2:$G$1711</definedName>
    <definedName name="Slicer_GICS_Sector">#N/A</definedName>
    <definedName name="Slicer_Year">#N/A</definedName>
    <definedName name="table_data">data[]</definedName>
    <definedName name="Ticker">Data!$A$2:$A$1711</definedName>
    <definedName name="Total_Revenue">Data!$E$2:$E$1711</definedName>
    <definedName name="Year">Data!$C$2:$C$1711</definedName>
    <definedName name="Years">Data!$B$2:$B$1711</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5" l="1" a="1"/>
  <c r="G11" i="5" s="1"/>
  <c r="G10" i="5" a="1"/>
  <c r="G10" i="5" s="1"/>
  <c r="G7" i="5" a="1"/>
  <c r="G7" i="5" s="1"/>
  <c r="H5" i="5"/>
  <c r="H11" i="5" s="1" a="1"/>
  <c r="H11" i="5" s="1"/>
  <c r="G5" i="5"/>
  <c r="G9" i="5" s="1" a="1"/>
  <c r="G9" i="5" s="1"/>
  <c r="G6" i="3"/>
  <c r="G12" i="3" a="1"/>
  <c r="G12" i="3" s="1"/>
  <c r="G11" i="3" a="1"/>
  <c r="G11" i="3" s="1"/>
  <c r="G10" i="3" a="1"/>
  <c r="G10" i="3" s="1"/>
  <c r="G8" i="3" a="1"/>
  <c r="G8" i="3" s="1"/>
  <c r="H7" i="3" a="1"/>
  <c r="H7" i="3" s="1"/>
  <c r="G7" i="3" a="1"/>
  <c r="G7" i="3" s="1"/>
  <c r="I6" i="3"/>
  <c r="I7" i="3" s="1" a="1"/>
  <c r="I7" i="3" s="1"/>
  <c r="H6" i="3"/>
  <c r="H10" i="3" s="1" a="1"/>
  <c r="H10" i="3" s="1"/>
  <c r="R19" i="2"/>
  <c r="R20" i="2"/>
  <c r="R21" i="2"/>
  <c r="R22" i="2"/>
  <c r="R23" i="2"/>
  <c r="R18" i="2"/>
  <c r="Q18" i="2" a="1"/>
  <c r="Q18" i="2" s="1"/>
  <c r="T11" i="2"/>
  <c r="T10" i="2"/>
  <c r="T9" i="2"/>
  <c r="T7" i="2"/>
  <c r="T6" i="2"/>
  <c r="T5" i="2"/>
  <c r="T4" i="2"/>
  <c r="T3" i="2"/>
  <c r="S3" i="2"/>
  <c r="S4" i="2"/>
  <c r="S7" i="2"/>
  <c r="S5" i="2"/>
  <c r="S6" i="2"/>
  <c r="S9" i="2"/>
  <c r="S10" i="2"/>
  <c r="S11" i="2"/>
  <c r="R11" i="2"/>
  <c r="R10" i="2"/>
  <c r="R9" i="2"/>
  <c r="R7" i="2"/>
  <c r="R6" i="2"/>
  <c r="R5" i="2"/>
  <c r="R4" i="2"/>
  <c r="R3" i="2"/>
  <c r="M356" i="2"/>
  <c r="O356" i="2" s="1"/>
  <c r="N356" i="2" s="1"/>
  <c r="L356" i="2"/>
  <c r="M355" i="2"/>
  <c r="O355" i="2" s="1"/>
  <c r="N355" i="2" s="1"/>
  <c r="L355" i="2"/>
  <c r="M354" i="2"/>
  <c r="O354" i="2" s="1"/>
  <c r="N354" i="2" s="1"/>
  <c r="L354" i="2"/>
  <c r="O353" i="2"/>
  <c r="N353" i="2" s="1"/>
  <c r="M353" i="2"/>
  <c r="L353" i="2"/>
  <c r="M352" i="2"/>
  <c r="O352" i="2" s="1"/>
  <c r="N352" i="2" s="1"/>
  <c r="L352" i="2"/>
  <c r="O351" i="2"/>
  <c r="N351" i="2" s="1"/>
  <c r="M351" i="2"/>
  <c r="L351" i="2"/>
  <c r="M350" i="2"/>
  <c r="O350" i="2" s="1"/>
  <c r="N350" i="2" s="1"/>
  <c r="L350" i="2"/>
  <c r="O349" i="2"/>
  <c r="N349" i="2" s="1"/>
  <c r="M349" i="2"/>
  <c r="L349" i="2"/>
  <c r="M348" i="2"/>
  <c r="O348" i="2" s="1"/>
  <c r="N348" i="2" s="1"/>
  <c r="L348" i="2"/>
  <c r="O347" i="2"/>
  <c r="N347" i="2" s="1"/>
  <c r="M347" i="2"/>
  <c r="L347" i="2"/>
  <c r="M346" i="2"/>
  <c r="O346" i="2" s="1"/>
  <c r="N346" i="2" s="1"/>
  <c r="L346" i="2"/>
  <c r="O345" i="2"/>
  <c r="N345" i="2" s="1"/>
  <c r="M345" i="2"/>
  <c r="L345" i="2"/>
  <c r="M344" i="2"/>
  <c r="O344" i="2" s="1"/>
  <c r="N344" i="2" s="1"/>
  <c r="L344" i="2"/>
  <c r="O343" i="2"/>
  <c r="N343" i="2" s="1"/>
  <c r="M343" i="2"/>
  <c r="L343" i="2"/>
  <c r="M342" i="2"/>
  <c r="O342" i="2" s="1"/>
  <c r="N342" i="2" s="1"/>
  <c r="L342" i="2"/>
  <c r="O341" i="2"/>
  <c r="N341" i="2" s="1"/>
  <c r="M341" i="2"/>
  <c r="L341" i="2"/>
  <c r="M340" i="2"/>
  <c r="O340" i="2" s="1"/>
  <c r="N340" i="2" s="1"/>
  <c r="L340" i="2"/>
  <c r="O339" i="2"/>
  <c r="N339" i="2" s="1"/>
  <c r="M339" i="2"/>
  <c r="L339" i="2"/>
  <c r="M338" i="2"/>
  <c r="O338" i="2" s="1"/>
  <c r="N338" i="2" s="1"/>
  <c r="L338" i="2"/>
  <c r="O337" i="2"/>
  <c r="N337" i="2" s="1"/>
  <c r="M337" i="2"/>
  <c r="L337" i="2"/>
  <c r="M336" i="2"/>
  <c r="O336" i="2" s="1"/>
  <c r="N336" i="2" s="1"/>
  <c r="L336" i="2"/>
  <c r="O335" i="2"/>
  <c r="N335" i="2" s="1"/>
  <c r="M335" i="2"/>
  <c r="L335" i="2"/>
  <c r="M334" i="2"/>
  <c r="O334" i="2" s="1"/>
  <c r="N334" i="2" s="1"/>
  <c r="L334" i="2"/>
  <c r="O333" i="2"/>
  <c r="N333" i="2" s="1"/>
  <c r="M333" i="2"/>
  <c r="L333" i="2"/>
  <c r="M332" i="2"/>
  <c r="O332" i="2" s="1"/>
  <c r="N332" i="2" s="1"/>
  <c r="L332" i="2"/>
  <c r="O331" i="2"/>
  <c r="N331" i="2" s="1"/>
  <c r="M331" i="2"/>
  <c r="L331" i="2"/>
  <c r="M330" i="2"/>
  <c r="O330" i="2" s="1"/>
  <c r="N330" i="2" s="1"/>
  <c r="L330" i="2"/>
  <c r="O329" i="2"/>
  <c r="N329" i="2" s="1"/>
  <c r="M329" i="2"/>
  <c r="L329" i="2"/>
  <c r="M328" i="2"/>
  <c r="O328" i="2" s="1"/>
  <c r="N328" i="2" s="1"/>
  <c r="L328" i="2"/>
  <c r="O327" i="2"/>
  <c r="N327" i="2" s="1"/>
  <c r="M327" i="2"/>
  <c r="L327" i="2"/>
  <c r="M326" i="2"/>
  <c r="O326" i="2" s="1"/>
  <c r="N326" i="2" s="1"/>
  <c r="L326" i="2"/>
  <c r="O325" i="2"/>
  <c r="N325" i="2" s="1"/>
  <c r="M325" i="2"/>
  <c r="L325" i="2"/>
  <c r="M324" i="2"/>
  <c r="O324" i="2" s="1"/>
  <c r="N324" i="2" s="1"/>
  <c r="L324" i="2"/>
  <c r="O323" i="2"/>
  <c r="N323" i="2" s="1"/>
  <c r="M323" i="2"/>
  <c r="L323" i="2"/>
  <c r="M322" i="2"/>
  <c r="O322" i="2" s="1"/>
  <c r="N322" i="2" s="1"/>
  <c r="L322" i="2"/>
  <c r="O321" i="2"/>
  <c r="N321" i="2" s="1"/>
  <c r="M321" i="2"/>
  <c r="L321" i="2"/>
  <c r="M320" i="2"/>
  <c r="O320" i="2" s="1"/>
  <c r="N320" i="2" s="1"/>
  <c r="L320" i="2"/>
  <c r="O319" i="2"/>
  <c r="N319" i="2" s="1"/>
  <c r="M319" i="2"/>
  <c r="L319" i="2"/>
  <c r="M318" i="2"/>
  <c r="O318" i="2" s="1"/>
  <c r="N318" i="2" s="1"/>
  <c r="L318" i="2"/>
  <c r="O317" i="2"/>
  <c r="N317" i="2" s="1"/>
  <c r="M317" i="2"/>
  <c r="L317" i="2"/>
  <c r="M316" i="2"/>
  <c r="O316" i="2" s="1"/>
  <c r="N316" i="2" s="1"/>
  <c r="L316" i="2"/>
  <c r="O315" i="2"/>
  <c r="N315" i="2" s="1"/>
  <c r="M315" i="2"/>
  <c r="L315" i="2"/>
  <c r="M314" i="2"/>
  <c r="O314" i="2" s="1"/>
  <c r="N314" i="2" s="1"/>
  <c r="L314" i="2"/>
  <c r="O313" i="2"/>
  <c r="N313" i="2" s="1"/>
  <c r="M313" i="2"/>
  <c r="L313" i="2"/>
  <c r="M312" i="2"/>
  <c r="O312" i="2" s="1"/>
  <c r="N312" i="2" s="1"/>
  <c r="L312" i="2"/>
  <c r="O311" i="2"/>
  <c r="N311" i="2" s="1"/>
  <c r="M311" i="2"/>
  <c r="L311" i="2"/>
  <c r="M310" i="2"/>
  <c r="O310" i="2" s="1"/>
  <c r="N310" i="2" s="1"/>
  <c r="L310" i="2"/>
  <c r="O309" i="2"/>
  <c r="N309" i="2" s="1"/>
  <c r="M309" i="2"/>
  <c r="L309" i="2"/>
  <c r="M308" i="2"/>
  <c r="O308" i="2" s="1"/>
  <c r="N308" i="2" s="1"/>
  <c r="L308" i="2"/>
  <c r="O307" i="2"/>
  <c r="N307" i="2" s="1"/>
  <c r="M307" i="2"/>
  <c r="L307" i="2"/>
  <c r="M306" i="2"/>
  <c r="O306" i="2" s="1"/>
  <c r="N306" i="2" s="1"/>
  <c r="L306" i="2"/>
  <c r="O305" i="2"/>
  <c r="N305" i="2" s="1"/>
  <c r="M305" i="2"/>
  <c r="L305" i="2"/>
  <c r="M304" i="2"/>
  <c r="O304" i="2" s="1"/>
  <c r="N304" i="2" s="1"/>
  <c r="L304" i="2"/>
  <c r="O303" i="2"/>
  <c r="N303" i="2" s="1"/>
  <c r="M303" i="2"/>
  <c r="L303" i="2"/>
  <c r="M302" i="2"/>
  <c r="O302" i="2" s="1"/>
  <c r="N302" i="2" s="1"/>
  <c r="L302" i="2"/>
  <c r="O301" i="2"/>
  <c r="N301" i="2" s="1"/>
  <c r="M301" i="2"/>
  <c r="L301" i="2"/>
  <c r="M300" i="2"/>
  <c r="O300" i="2" s="1"/>
  <c r="N300" i="2" s="1"/>
  <c r="L300" i="2"/>
  <c r="O299" i="2"/>
  <c r="N299" i="2" s="1"/>
  <c r="M299" i="2"/>
  <c r="L299" i="2"/>
  <c r="M298" i="2"/>
  <c r="O298" i="2" s="1"/>
  <c r="N298" i="2" s="1"/>
  <c r="L298" i="2"/>
  <c r="O297" i="2"/>
  <c r="N297" i="2" s="1"/>
  <c r="M297" i="2"/>
  <c r="L297" i="2"/>
  <c r="M296" i="2"/>
  <c r="O296" i="2" s="1"/>
  <c r="N296" i="2" s="1"/>
  <c r="L296" i="2"/>
  <c r="O295" i="2"/>
  <c r="N295" i="2" s="1"/>
  <c r="M295" i="2"/>
  <c r="L295" i="2"/>
  <c r="M294" i="2"/>
  <c r="O294" i="2" s="1"/>
  <c r="N294" i="2" s="1"/>
  <c r="L294" i="2"/>
  <c r="O293" i="2"/>
  <c r="N293" i="2" s="1"/>
  <c r="M293" i="2"/>
  <c r="L293" i="2"/>
  <c r="M292" i="2"/>
  <c r="O292" i="2" s="1"/>
  <c r="N292" i="2" s="1"/>
  <c r="L292" i="2"/>
  <c r="O291" i="2"/>
  <c r="N291" i="2" s="1"/>
  <c r="M291" i="2"/>
  <c r="L291" i="2"/>
  <c r="M290" i="2"/>
  <c r="O290" i="2" s="1"/>
  <c r="N290" i="2" s="1"/>
  <c r="L290" i="2"/>
  <c r="O289" i="2"/>
  <c r="N289" i="2" s="1"/>
  <c r="M289" i="2"/>
  <c r="L289" i="2"/>
  <c r="M288" i="2"/>
  <c r="O288" i="2" s="1"/>
  <c r="N288" i="2" s="1"/>
  <c r="L288" i="2"/>
  <c r="O287" i="2"/>
  <c r="N287" i="2" s="1"/>
  <c r="M287" i="2"/>
  <c r="L287" i="2"/>
  <c r="M286" i="2"/>
  <c r="O286" i="2" s="1"/>
  <c r="N286" i="2" s="1"/>
  <c r="L286" i="2"/>
  <c r="O285" i="2"/>
  <c r="N285" i="2" s="1"/>
  <c r="M285" i="2"/>
  <c r="L285" i="2"/>
  <c r="M284" i="2"/>
  <c r="O284" i="2" s="1"/>
  <c r="N284" i="2" s="1"/>
  <c r="L284" i="2"/>
  <c r="O283" i="2"/>
  <c r="N283" i="2" s="1"/>
  <c r="M283" i="2"/>
  <c r="L283" i="2"/>
  <c r="M282" i="2"/>
  <c r="O282" i="2" s="1"/>
  <c r="N282" i="2" s="1"/>
  <c r="L282" i="2"/>
  <c r="O281" i="2"/>
  <c r="N281" i="2" s="1"/>
  <c r="M281" i="2"/>
  <c r="L281" i="2"/>
  <c r="M280" i="2"/>
  <c r="O280" i="2" s="1"/>
  <c r="N280" i="2" s="1"/>
  <c r="L280" i="2"/>
  <c r="O279" i="2"/>
  <c r="N279" i="2" s="1"/>
  <c r="M279" i="2"/>
  <c r="L279" i="2"/>
  <c r="M278" i="2"/>
  <c r="O278" i="2" s="1"/>
  <c r="N278" i="2" s="1"/>
  <c r="L278" i="2"/>
  <c r="O277" i="2"/>
  <c r="N277" i="2" s="1"/>
  <c r="M277" i="2"/>
  <c r="L277" i="2"/>
  <c r="M276" i="2"/>
  <c r="O276" i="2" s="1"/>
  <c r="N276" i="2" s="1"/>
  <c r="L276" i="2"/>
  <c r="O275" i="2"/>
  <c r="N275" i="2" s="1"/>
  <c r="M275" i="2"/>
  <c r="L275" i="2"/>
  <c r="M274" i="2"/>
  <c r="O274" i="2" s="1"/>
  <c r="N274" i="2" s="1"/>
  <c r="L274" i="2"/>
  <c r="O273" i="2"/>
  <c r="N273" i="2" s="1"/>
  <c r="M273" i="2"/>
  <c r="L273" i="2"/>
  <c r="M272" i="2"/>
  <c r="O272" i="2" s="1"/>
  <c r="N272" i="2" s="1"/>
  <c r="L272" i="2"/>
  <c r="O271" i="2"/>
  <c r="N271" i="2" s="1"/>
  <c r="M271" i="2"/>
  <c r="L271" i="2"/>
  <c r="M270" i="2"/>
  <c r="O270" i="2" s="1"/>
  <c r="N270" i="2" s="1"/>
  <c r="L270" i="2"/>
  <c r="O269" i="2"/>
  <c r="N269" i="2" s="1"/>
  <c r="M269" i="2"/>
  <c r="L269" i="2"/>
  <c r="M268" i="2"/>
  <c r="O268" i="2" s="1"/>
  <c r="N268" i="2" s="1"/>
  <c r="L268" i="2"/>
  <c r="O267" i="2"/>
  <c r="N267" i="2" s="1"/>
  <c r="M267" i="2"/>
  <c r="L267" i="2"/>
  <c r="M266" i="2"/>
  <c r="O266" i="2" s="1"/>
  <c r="N266" i="2" s="1"/>
  <c r="L266" i="2"/>
  <c r="O265" i="2"/>
  <c r="N265" i="2" s="1"/>
  <c r="M265" i="2"/>
  <c r="L265" i="2"/>
  <c r="M264" i="2"/>
  <c r="O264" i="2" s="1"/>
  <c r="N264" i="2" s="1"/>
  <c r="L264" i="2"/>
  <c r="O263" i="2"/>
  <c r="N263" i="2" s="1"/>
  <c r="M263" i="2"/>
  <c r="L263" i="2"/>
  <c r="M262" i="2"/>
  <c r="O262" i="2" s="1"/>
  <c r="N262" i="2" s="1"/>
  <c r="L262" i="2"/>
  <c r="O261" i="2"/>
  <c r="N261" i="2" s="1"/>
  <c r="M261" i="2"/>
  <c r="L261" i="2"/>
  <c r="M260" i="2"/>
  <c r="O260" i="2" s="1"/>
  <c r="N260" i="2" s="1"/>
  <c r="L260" i="2"/>
  <c r="O259" i="2"/>
  <c r="N259" i="2" s="1"/>
  <c r="M259" i="2"/>
  <c r="L259" i="2"/>
  <c r="M258" i="2"/>
  <c r="O258" i="2" s="1"/>
  <c r="N258" i="2" s="1"/>
  <c r="L258" i="2"/>
  <c r="O257" i="2"/>
  <c r="N257" i="2" s="1"/>
  <c r="M257" i="2"/>
  <c r="L257" i="2"/>
  <c r="M256" i="2"/>
  <c r="O256" i="2" s="1"/>
  <c r="N256" i="2" s="1"/>
  <c r="L256" i="2"/>
  <c r="O255" i="2"/>
  <c r="N255" i="2" s="1"/>
  <c r="M255" i="2"/>
  <c r="L255" i="2"/>
  <c r="M254" i="2"/>
  <c r="O254" i="2" s="1"/>
  <c r="N254" i="2" s="1"/>
  <c r="L254" i="2"/>
  <c r="O253" i="2"/>
  <c r="N253" i="2" s="1"/>
  <c r="M253" i="2"/>
  <c r="L253" i="2"/>
  <c r="M252" i="2"/>
  <c r="O252" i="2" s="1"/>
  <c r="N252" i="2" s="1"/>
  <c r="L252" i="2"/>
  <c r="O251" i="2"/>
  <c r="N251" i="2" s="1"/>
  <c r="M251" i="2"/>
  <c r="L251" i="2"/>
  <c r="M250" i="2"/>
  <c r="O250" i="2" s="1"/>
  <c r="N250" i="2" s="1"/>
  <c r="L250" i="2"/>
  <c r="O249" i="2"/>
  <c r="N249" i="2" s="1"/>
  <c r="M249" i="2"/>
  <c r="L249" i="2"/>
  <c r="M248" i="2"/>
  <c r="O248" i="2" s="1"/>
  <c r="N248" i="2" s="1"/>
  <c r="L248" i="2"/>
  <c r="O247" i="2"/>
  <c r="N247" i="2" s="1"/>
  <c r="M247" i="2"/>
  <c r="L247" i="2"/>
  <c r="M246" i="2"/>
  <c r="O246" i="2" s="1"/>
  <c r="N246" i="2" s="1"/>
  <c r="L246" i="2"/>
  <c r="O245" i="2"/>
  <c r="N245" i="2" s="1"/>
  <c r="M245" i="2"/>
  <c r="L245" i="2"/>
  <c r="M244" i="2"/>
  <c r="O244" i="2" s="1"/>
  <c r="N244" i="2" s="1"/>
  <c r="L244" i="2"/>
  <c r="O243" i="2"/>
  <c r="N243" i="2" s="1"/>
  <c r="M243" i="2"/>
  <c r="L243" i="2"/>
  <c r="M242" i="2"/>
  <c r="O242" i="2" s="1"/>
  <c r="N242" i="2" s="1"/>
  <c r="L242" i="2"/>
  <c r="O241" i="2"/>
  <c r="N241" i="2" s="1"/>
  <c r="M241" i="2"/>
  <c r="L241" i="2"/>
  <c r="M240" i="2"/>
  <c r="O240" i="2" s="1"/>
  <c r="N240" i="2" s="1"/>
  <c r="L240" i="2"/>
  <c r="O239" i="2"/>
  <c r="N239" i="2" s="1"/>
  <c r="M239" i="2"/>
  <c r="L239" i="2"/>
  <c r="M238" i="2"/>
  <c r="O238" i="2" s="1"/>
  <c r="N238" i="2" s="1"/>
  <c r="L238" i="2"/>
  <c r="O237" i="2"/>
  <c r="N237" i="2" s="1"/>
  <c r="M237" i="2"/>
  <c r="L237" i="2"/>
  <c r="M236" i="2"/>
  <c r="O236" i="2" s="1"/>
  <c r="N236" i="2" s="1"/>
  <c r="L236" i="2"/>
  <c r="O235" i="2"/>
  <c r="N235" i="2" s="1"/>
  <c r="M235" i="2"/>
  <c r="L235" i="2"/>
  <c r="M234" i="2"/>
  <c r="O234" i="2" s="1"/>
  <c r="N234" i="2" s="1"/>
  <c r="L234" i="2"/>
  <c r="O233" i="2"/>
  <c r="N233" i="2" s="1"/>
  <c r="M233" i="2"/>
  <c r="L233" i="2"/>
  <c r="M232" i="2"/>
  <c r="O232" i="2" s="1"/>
  <c r="N232" i="2" s="1"/>
  <c r="L232" i="2"/>
  <c r="O231" i="2"/>
  <c r="N231" i="2" s="1"/>
  <c r="M231" i="2"/>
  <c r="L231" i="2"/>
  <c r="M230" i="2"/>
  <c r="O230" i="2" s="1"/>
  <c r="N230" i="2" s="1"/>
  <c r="L230" i="2"/>
  <c r="O229" i="2"/>
  <c r="N229" i="2" s="1"/>
  <c r="M229" i="2"/>
  <c r="L229" i="2"/>
  <c r="M228" i="2"/>
  <c r="O228" i="2" s="1"/>
  <c r="N228" i="2" s="1"/>
  <c r="L228" i="2"/>
  <c r="O227" i="2"/>
  <c r="N227" i="2" s="1"/>
  <c r="M227" i="2"/>
  <c r="L227" i="2"/>
  <c r="M226" i="2"/>
  <c r="O226" i="2" s="1"/>
  <c r="N226" i="2" s="1"/>
  <c r="L226" i="2"/>
  <c r="O225" i="2"/>
  <c r="N225" i="2" s="1"/>
  <c r="M225" i="2"/>
  <c r="L225" i="2"/>
  <c r="M224" i="2"/>
  <c r="O224" i="2" s="1"/>
  <c r="N224" i="2" s="1"/>
  <c r="L224" i="2"/>
  <c r="O223" i="2"/>
  <c r="N223" i="2" s="1"/>
  <c r="M223" i="2"/>
  <c r="L223" i="2"/>
  <c r="M222" i="2"/>
  <c r="O222" i="2" s="1"/>
  <c r="N222" i="2" s="1"/>
  <c r="L222" i="2"/>
  <c r="O221" i="2"/>
  <c r="N221" i="2" s="1"/>
  <c r="M221" i="2"/>
  <c r="L221" i="2"/>
  <c r="M220" i="2"/>
  <c r="O220" i="2" s="1"/>
  <c r="N220" i="2" s="1"/>
  <c r="L220" i="2"/>
  <c r="O219" i="2"/>
  <c r="N219" i="2" s="1"/>
  <c r="M219" i="2"/>
  <c r="L219" i="2"/>
  <c r="M218" i="2"/>
  <c r="O218" i="2" s="1"/>
  <c r="N218" i="2" s="1"/>
  <c r="L218" i="2"/>
  <c r="O217" i="2"/>
  <c r="N217" i="2" s="1"/>
  <c r="M217" i="2"/>
  <c r="L217" i="2"/>
  <c r="M216" i="2"/>
  <c r="O216" i="2" s="1"/>
  <c r="N216" i="2" s="1"/>
  <c r="L216" i="2"/>
  <c r="O215" i="2"/>
  <c r="N215" i="2" s="1"/>
  <c r="M215" i="2"/>
  <c r="L215" i="2"/>
  <c r="M214" i="2"/>
  <c r="O214" i="2" s="1"/>
  <c r="N214" i="2" s="1"/>
  <c r="L214" i="2"/>
  <c r="O213" i="2"/>
  <c r="N213" i="2" s="1"/>
  <c r="M213" i="2"/>
  <c r="L213" i="2"/>
  <c r="M212" i="2"/>
  <c r="O212" i="2" s="1"/>
  <c r="N212" i="2" s="1"/>
  <c r="L212" i="2"/>
  <c r="O211" i="2"/>
  <c r="N211" i="2" s="1"/>
  <c r="M211" i="2"/>
  <c r="L211" i="2"/>
  <c r="M210" i="2"/>
  <c r="O210" i="2" s="1"/>
  <c r="N210" i="2" s="1"/>
  <c r="L210" i="2"/>
  <c r="O209" i="2"/>
  <c r="N209" i="2" s="1"/>
  <c r="M209" i="2"/>
  <c r="L209" i="2"/>
  <c r="M208" i="2"/>
  <c r="O208" i="2" s="1"/>
  <c r="N208" i="2" s="1"/>
  <c r="L208" i="2"/>
  <c r="O207" i="2"/>
  <c r="N207" i="2" s="1"/>
  <c r="M207" i="2"/>
  <c r="L207" i="2"/>
  <c r="M206" i="2"/>
  <c r="O206" i="2" s="1"/>
  <c r="N206" i="2" s="1"/>
  <c r="L206" i="2"/>
  <c r="O205" i="2"/>
  <c r="N205" i="2" s="1"/>
  <c r="M205" i="2"/>
  <c r="L205" i="2"/>
  <c r="M204" i="2"/>
  <c r="O204" i="2" s="1"/>
  <c r="N204" i="2" s="1"/>
  <c r="L204" i="2"/>
  <c r="O203" i="2"/>
  <c r="N203" i="2" s="1"/>
  <c r="M203" i="2"/>
  <c r="L203" i="2"/>
  <c r="M202" i="2"/>
  <c r="O202" i="2" s="1"/>
  <c r="N202" i="2" s="1"/>
  <c r="L202" i="2"/>
  <c r="O201" i="2"/>
  <c r="N201" i="2" s="1"/>
  <c r="M201" i="2"/>
  <c r="L201" i="2"/>
  <c r="M200" i="2"/>
  <c r="O200" i="2" s="1"/>
  <c r="N200" i="2" s="1"/>
  <c r="L200" i="2"/>
  <c r="O199" i="2"/>
  <c r="N199" i="2" s="1"/>
  <c r="M199" i="2"/>
  <c r="L199" i="2"/>
  <c r="M198" i="2"/>
  <c r="O198" i="2" s="1"/>
  <c r="N198" i="2" s="1"/>
  <c r="L198" i="2"/>
  <c r="O197" i="2"/>
  <c r="N197" i="2" s="1"/>
  <c r="M197" i="2"/>
  <c r="L197" i="2"/>
  <c r="M196" i="2"/>
  <c r="O196" i="2" s="1"/>
  <c r="N196" i="2" s="1"/>
  <c r="L196" i="2"/>
  <c r="O195" i="2"/>
  <c r="N195" i="2" s="1"/>
  <c r="M195" i="2"/>
  <c r="L195" i="2"/>
  <c r="M194" i="2"/>
  <c r="O194" i="2" s="1"/>
  <c r="N194" i="2" s="1"/>
  <c r="L194" i="2"/>
  <c r="O193" i="2"/>
  <c r="N193" i="2" s="1"/>
  <c r="M193" i="2"/>
  <c r="L193" i="2"/>
  <c r="M192" i="2"/>
  <c r="O192" i="2" s="1"/>
  <c r="N192" i="2" s="1"/>
  <c r="L192" i="2"/>
  <c r="O191" i="2"/>
  <c r="N191" i="2" s="1"/>
  <c r="M191" i="2"/>
  <c r="L191" i="2"/>
  <c r="M190" i="2"/>
  <c r="O190" i="2" s="1"/>
  <c r="N190" i="2" s="1"/>
  <c r="L190" i="2"/>
  <c r="M189" i="2"/>
  <c r="O189" i="2" s="1"/>
  <c r="N189" i="2" s="1"/>
  <c r="L189" i="2"/>
  <c r="M188" i="2"/>
  <c r="O188" i="2" s="1"/>
  <c r="N188" i="2" s="1"/>
  <c r="L188" i="2"/>
  <c r="M187" i="2"/>
  <c r="O187" i="2" s="1"/>
  <c r="N187" i="2" s="1"/>
  <c r="L187" i="2"/>
  <c r="M186" i="2"/>
  <c r="O186" i="2" s="1"/>
  <c r="N186" i="2" s="1"/>
  <c r="L186" i="2"/>
  <c r="O185" i="2"/>
  <c r="N185" i="2" s="1"/>
  <c r="M185" i="2"/>
  <c r="L185" i="2"/>
  <c r="M184" i="2"/>
  <c r="O184" i="2" s="1"/>
  <c r="N184" i="2" s="1"/>
  <c r="L184" i="2"/>
  <c r="O183" i="2"/>
  <c r="N183" i="2" s="1"/>
  <c r="M183" i="2"/>
  <c r="L183" i="2"/>
  <c r="M182" i="2"/>
  <c r="O182" i="2" s="1"/>
  <c r="N182" i="2" s="1"/>
  <c r="L182" i="2"/>
  <c r="O181" i="2"/>
  <c r="N181" i="2" s="1"/>
  <c r="M181" i="2"/>
  <c r="L181" i="2"/>
  <c r="M180" i="2"/>
  <c r="O180" i="2" s="1"/>
  <c r="N180" i="2" s="1"/>
  <c r="L180" i="2"/>
  <c r="O179" i="2"/>
  <c r="N179" i="2" s="1"/>
  <c r="M179" i="2"/>
  <c r="L179" i="2"/>
  <c r="M178" i="2"/>
  <c r="O178" i="2" s="1"/>
  <c r="N178" i="2" s="1"/>
  <c r="L178" i="2"/>
  <c r="O177" i="2"/>
  <c r="N177" i="2" s="1"/>
  <c r="M177" i="2"/>
  <c r="L177" i="2"/>
  <c r="M176" i="2"/>
  <c r="O176" i="2" s="1"/>
  <c r="N176" i="2" s="1"/>
  <c r="L176" i="2"/>
  <c r="O175" i="2"/>
  <c r="N175" i="2" s="1"/>
  <c r="M175" i="2"/>
  <c r="L175" i="2"/>
  <c r="M174" i="2"/>
  <c r="O174" i="2" s="1"/>
  <c r="N174" i="2" s="1"/>
  <c r="L174" i="2"/>
  <c r="O173" i="2"/>
  <c r="N173" i="2" s="1"/>
  <c r="M173" i="2"/>
  <c r="L173" i="2"/>
  <c r="M172" i="2"/>
  <c r="O172" i="2" s="1"/>
  <c r="N172" i="2" s="1"/>
  <c r="L172" i="2"/>
  <c r="O171" i="2"/>
  <c r="N171" i="2" s="1"/>
  <c r="M171" i="2"/>
  <c r="L171" i="2"/>
  <c r="M170" i="2"/>
  <c r="O170" i="2" s="1"/>
  <c r="N170" i="2" s="1"/>
  <c r="L170" i="2"/>
  <c r="O169" i="2"/>
  <c r="N169" i="2" s="1"/>
  <c r="M169" i="2"/>
  <c r="L169" i="2"/>
  <c r="M168" i="2"/>
  <c r="O168" i="2" s="1"/>
  <c r="N168" i="2" s="1"/>
  <c r="L168" i="2"/>
  <c r="O167" i="2"/>
  <c r="N167" i="2" s="1"/>
  <c r="M167" i="2"/>
  <c r="L167" i="2"/>
  <c r="M166" i="2"/>
  <c r="O166" i="2" s="1"/>
  <c r="N166" i="2" s="1"/>
  <c r="L166" i="2"/>
  <c r="O165" i="2"/>
  <c r="N165" i="2" s="1"/>
  <c r="M165" i="2"/>
  <c r="L165" i="2"/>
  <c r="M164" i="2"/>
  <c r="O164" i="2" s="1"/>
  <c r="N164" i="2" s="1"/>
  <c r="L164" i="2"/>
  <c r="O163" i="2"/>
  <c r="N163" i="2" s="1"/>
  <c r="M163" i="2"/>
  <c r="L163" i="2"/>
  <c r="M162" i="2"/>
  <c r="O162" i="2" s="1"/>
  <c r="N162" i="2" s="1"/>
  <c r="L162" i="2"/>
  <c r="O161" i="2"/>
  <c r="N161" i="2" s="1"/>
  <c r="M161" i="2"/>
  <c r="L161" i="2"/>
  <c r="M160" i="2"/>
  <c r="O160" i="2" s="1"/>
  <c r="N160" i="2" s="1"/>
  <c r="L160" i="2"/>
  <c r="O159" i="2"/>
  <c r="N159" i="2" s="1"/>
  <c r="M159" i="2"/>
  <c r="L159" i="2"/>
  <c r="M158" i="2"/>
  <c r="O158" i="2" s="1"/>
  <c r="N158" i="2" s="1"/>
  <c r="L158" i="2"/>
  <c r="O157" i="2"/>
  <c r="N157" i="2" s="1"/>
  <c r="M157" i="2"/>
  <c r="L157" i="2"/>
  <c r="M156" i="2"/>
  <c r="O156" i="2" s="1"/>
  <c r="N156" i="2" s="1"/>
  <c r="L156" i="2"/>
  <c r="O155" i="2"/>
  <c r="N155" i="2" s="1"/>
  <c r="M155" i="2"/>
  <c r="L155" i="2"/>
  <c r="M154" i="2"/>
  <c r="O154" i="2" s="1"/>
  <c r="N154" i="2" s="1"/>
  <c r="L154" i="2"/>
  <c r="O153" i="2"/>
  <c r="N153" i="2" s="1"/>
  <c r="M153" i="2"/>
  <c r="L153" i="2"/>
  <c r="M152" i="2"/>
  <c r="O152" i="2" s="1"/>
  <c r="N152" i="2" s="1"/>
  <c r="L152" i="2"/>
  <c r="O151" i="2"/>
  <c r="N151" i="2" s="1"/>
  <c r="M151" i="2"/>
  <c r="L151" i="2"/>
  <c r="M150" i="2"/>
  <c r="O150" i="2" s="1"/>
  <c r="N150" i="2" s="1"/>
  <c r="L150" i="2"/>
  <c r="O149" i="2"/>
  <c r="N149" i="2" s="1"/>
  <c r="M149" i="2"/>
  <c r="L149" i="2"/>
  <c r="M148" i="2"/>
  <c r="O148" i="2" s="1"/>
  <c r="N148" i="2" s="1"/>
  <c r="L148" i="2"/>
  <c r="O147" i="2"/>
  <c r="N147" i="2" s="1"/>
  <c r="M147" i="2"/>
  <c r="L147" i="2"/>
  <c r="M146" i="2"/>
  <c r="O146" i="2" s="1"/>
  <c r="N146" i="2" s="1"/>
  <c r="L146" i="2"/>
  <c r="O145" i="2"/>
  <c r="N145" i="2" s="1"/>
  <c r="M145" i="2"/>
  <c r="L145" i="2"/>
  <c r="M144" i="2"/>
  <c r="O144" i="2" s="1"/>
  <c r="N144" i="2" s="1"/>
  <c r="L144" i="2"/>
  <c r="O143" i="2"/>
  <c r="N143" i="2" s="1"/>
  <c r="M143" i="2"/>
  <c r="L143" i="2"/>
  <c r="M142" i="2"/>
  <c r="O142" i="2" s="1"/>
  <c r="N142" i="2" s="1"/>
  <c r="L142" i="2"/>
  <c r="O141" i="2"/>
  <c r="N141" i="2" s="1"/>
  <c r="M141" i="2"/>
  <c r="L141" i="2"/>
  <c r="M140" i="2"/>
  <c r="O140" i="2" s="1"/>
  <c r="N140" i="2" s="1"/>
  <c r="L140" i="2"/>
  <c r="O139" i="2"/>
  <c r="N139" i="2" s="1"/>
  <c r="M139" i="2"/>
  <c r="L139" i="2"/>
  <c r="M138" i="2"/>
  <c r="O138" i="2" s="1"/>
  <c r="N138" i="2" s="1"/>
  <c r="L138" i="2"/>
  <c r="O137" i="2"/>
  <c r="N137" i="2" s="1"/>
  <c r="M137" i="2"/>
  <c r="L137" i="2"/>
  <c r="M136" i="2"/>
  <c r="O136" i="2" s="1"/>
  <c r="N136" i="2" s="1"/>
  <c r="L136" i="2"/>
  <c r="O135" i="2"/>
  <c r="N135" i="2" s="1"/>
  <c r="M135" i="2"/>
  <c r="L135" i="2"/>
  <c r="M134" i="2"/>
  <c r="O134" i="2" s="1"/>
  <c r="N134" i="2" s="1"/>
  <c r="L134" i="2"/>
  <c r="O133" i="2"/>
  <c r="N133" i="2" s="1"/>
  <c r="M133" i="2"/>
  <c r="L133" i="2"/>
  <c r="M132" i="2"/>
  <c r="O132" i="2" s="1"/>
  <c r="N132" i="2" s="1"/>
  <c r="L132" i="2"/>
  <c r="O131" i="2"/>
  <c r="N131" i="2" s="1"/>
  <c r="M131" i="2"/>
  <c r="L131" i="2"/>
  <c r="M130" i="2"/>
  <c r="O130" i="2" s="1"/>
  <c r="N130" i="2" s="1"/>
  <c r="L130" i="2"/>
  <c r="O129" i="2"/>
  <c r="N129" i="2" s="1"/>
  <c r="M129" i="2"/>
  <c r="L129" i="2"/>
  <c r="M128" i="2"/>
  <c r="O128" i="2" s="1"/>
  <c r="N128" i="2" s="1"/>
  <c r="L128" i="2"/>
  <c r="O127" i="2"/>
  <c r="N127" i="2" s="1"/>
  <c r="M127" i="2"/>
  <c r="L127" i="2"/>
  <c r="M126" i="2"/>
  <c r="O126" i="2" s="1"/>
  <c r="N126" i="2" s="1"/>
  <c r="L126" i="2"/>
  <c r="O125" i="2"/>
  <c r="N125" i="2" s="1"/>
  <c r="M125" i="2"/>
  <c r="L125" i="2"/>
  <c r="M124" i="2"/>
  <c r="O124" i="2" s="1"/>
  <c r="N124" i="2" s="1"/>
  <c r="L124" i="2"/>
  <c r="O123" i="2"/>
  <c r="N123" i="2" s="1"/>
  <c r="M123" i="2"/>
  <c r="L123" i="2"/>
  <c r="M122" i="2"/>
  <c r="O122" i="2" s="1"/>
  <c r="N122" i="2" s="1"/>
  <c r="L122" i="2"/>
  <c r="O121" i="2"/>
  <c r="N121" i="2" s="1"/>
  <c r="M121" i="2"/>
  <c r="L121" i="2"/>
  <c r="M120" i="2"/>
  <c r="O120" i="2" s="1"/>
  <c r="N120" i="2" s="1"/>
  <c r="L120" i="2"/>
  <c r="O119" i="2"/>
  <c r="N119" i="2" s="1"/>
  <c r="M119" i="2"/>
  <c r="L119" i="2"/>
  <c r="M118" i="2"/>
  <c r="O118" i="2" s="1"/>
  <c r="N118" i="2" s="1"/>
  <c r="L118" i="2"/>
  <c r="O117" i="2"/>
  <c r="N117" i="2" s="1"/>
  <c r="M117" i="2"/>
  <c r="L117" i="2"/>
  <c r="M116" i="2"/>
  <c r="O116" i="2" s="1"/>
  <c r="N116" i="2" s="1"/>
  <c r="L116" i="2"/>
  <c r="O115" i="2"/>
  <c r="N115" i="2" s="1"/>
  <c r="M115" i="2"/>
  <c r="L115" i="2"/>
  <c r="M114" i="2"/>
  <c r="O114" i="2" s="1"/>
  <c r="N114" i="2" s="1"/>
  <c r="L114" i="2"/>
  <c r="O113" i="2"/>
  <c r="N113" i="2" s="1"/>
  <c r="M113" i="2"/>
  <c r="L113" i="2"/>
  <c r="M112" i="2"/>
  <c r="O112" i="2" s="1"/>
  <c r="N112" i="2" s="1"/>
  <c r="L112" i="2"/>
  <c r="O111" i="2"/>
  <c r="N111" i="2" s="1"/>
  <c r="M111" i="2"/>
  <c r="L111" i="2"/>
  <c r="M110" i="2"/>
  <c r="O110" i="2" s="1"/>
  <c r="N110" i="2" s="1"/>
  <c r="L110" i="2"/>
  <c r="O109" i="2"/>
  <c r="N109" i="2" s="1"/>
  <c r="M109" i="2"/>
  <c r="L109" i="2"/>
  <c r="M108" i="2"/>
  <c r="O108" i="2" s="1"/>
  <c r="N108" i="2" s="1"/>
  <c r="L108" i="2"/>
  <c r="O107" i="2"/>
  <c r="N107" i="2" s="1"/>
  <c r="M107" i="2"/>
  <c r="L107" i="2"/>
  <c r="M106" i="2"/>
  <c r="O106" i="2" s="1"/>
  <c r="N106" i="2" s="1"/>
  <c r="L106" i="2"/>
  <c r="O105" i="2"/>
  <c r="N105" i="2" s="1"/>
  <c r="M105" i="2"/>
  <c r="L105" i="2"/>
  <c r="M104" i="2"/>
  <c r="O104" i="2" s="1"/>
  <c r="N104" i="2" s="1"/>
  <c r="L104" i="2"/>
  <c r="O103" i="2"/>
  <c r="N103" i="2" s="1"/>
  <c r="M103" i="2"/>
  <c r="L103" i="2"/>
  <c r="M102" i="2"/>
  <c r="O102" i="2" s="1"/>
  <c r="N102" i="2" s="1"/>
  <c r="L102" i="2"/>
  <c r="O101" i="2"/>
  <c r="N101" i="2" s="1"/>
  <c r="M101" i="2"/>
  <c r="L101" i="2"/>
  <c r="M100" i="2"/>
  <c r="O100" i="2" s="1"/>
  <c r="N100" i="2" s="1"/>
  <c r="L100" i="2"/>
  <c r="O99" i="2"/>
  <c r="N99" i="2" s="1"/>
  <c r="M99" i="2"/>
  <c r="L99" i="2"/>
  <c r="M98" i="2"/>
  <c r="O98" i="2" s="1"/>
  <c r="N98" i="2" s="1"/>
  <c r="L98" i="2"/>
  <c r="O97" i="2"/>
  <c r="N97" i="2" s="1"/>
  <c r="M97" i="2"/>
  <c r="L97" i="2"/>
  <c r="M96" i="2"/>
  <c r="O96" i="2" s="1"/>
  <c r="N96" i="2" s="1"/>
  <c r="L96" i="2"/>
  <c r="O95" i="2"/>
  <c r="N95" i="2" s="1"/>
  <c r="M95" i="2"/>
  <c r="L95" i="2"/>
  <c r="M94" i="2"/>
  <c r="O94" i="2" s="1"/>
  <c r="N94" i="2" s="1"/>
  <c r="L94" i="2"/>
  <c r="O93" i="2"/>
  <c r="N93" i="2" s="1"/>
  <c r="M93" i="2"/>
  <c r="L93" i="2"/>
  <c r="M92" i="2"/>
  <c r="O92" i="2" s="1"/>
  <c r="N92" i="2" s="1"/>
  <c r="L92" i="2"/>
  <c r="O91" i="2"/>
  <c r="N91" i="2" s="1"/>
  <c r="M91" i="2"/>
  <c r="L91" i="2"/>
  <c r="M90" i="2"/>
  <c r="O90" i="2" s="1"/>
  <c r="N90" i="2" s="1"/>
  <c r="L90" i="2"/>
  <c r="O89" i="2"/>
  <c r="N89" i="2" s="1"/>
  <c r="M89" i="2"/>
  <c r="L89" i="2"/>
  <c r="M88" i="2"/>
  <c r="O88" i="2" s="1"/>
  <c r="N88" i="2" s="1"/>
  <c r="L88" i="2"/>
  <c r="O87" i="2"/>
  <c r="N87" i="2" s="1"/>
  <c r="M87" i="2"/>
  <c r="L87" i="2"/>
  <c r="M86" i="2"/>
  <c r="O86" i="2" s="1"/>
  <c r="N86" i="2" s="1"/>
  <c r="L86" i="2"/>
  <c r="O85" i="2"/>
  <c r="N85" i="2" s="1"/>
  <c r="M85" i="2"/>
  <c r="L85" i="2"/>
  <c r="M84" i="2"/>
  <c r="O84" i="2" s="1"/>
  <c r="N84" i="2" s="1"/>
  <c r="L84" i="2"/>
  <c r="O83" i="2"/>
  <c r="N83" i="2" s="1"/>
  <c r="M83" i="2"/>
  <c r="L83" i="2"/>
  <c r="M82" i="2"/>
  <c r="O82" i="2" s="1"/>
  <c r="N82" i="2" s="1"/>
  <c r="L82" i="2"/>
  <c r="O81" i="2"/>
  <c r="N81" i="2" s="1"/>
  <c r="M81" i="2"/>
  <c r="L81" i="2"/>
  <c r="M80" i="2"/>
  <c r="O80" i="2" s="1"/>
  <c r="N80" i="2" s="1"/>
  <c r="L80" i="2"/>
  <c r="O79" i="2"/>
  <c r="N79" i="2" s="1"/>
  <c r="M79" i="2"/>
  <c r="L79" i="2"/>
  <c r="M78" i="2"/>
  <c r="O78" i="2" s="1"/>
  <c r="N78" i="2" s="1"/>
  <c r="L78" i="2"/>
  <c r="O77" i="2"/>
  <c r="N77" i="2" s="1"/>
  <c r="M77" i="2"/>
  <c r="L77" i="2"/>
  <c r="M76" i="2"/>
  <c r="O76" i="2" s="1"/>
  <c r="N76" i="2" s="1"/>
  <c r="L76" i="2"/>
  <c r="O75" i="2"/>
  <c r="N75" i="2" s="1"/>
  <c r="M75" i="2"/>
  <c r="L75" i="2"/>
  <c r="M74" i="2"/>
  <c r="O74" i="2" s="1"/>
  <c r="N74" i="2" s="1"/>
  <c r="L74" i="2"/>
  <c r="O73" i="2"/>
  <c r="N73" i="2" s="1"/>
  <c r="M73" i="2"/>
  <c r="L73" i="2"/>
  <c r="M72" i="2"/>
  <c r="O72" i="2" s="1"/>
  <c r="N72" i="2" s="1"/>
  <c r="L72" i="2"/>
  <c r="O71" i="2"/>
  <c r="N71" i="2" s="1"/>
  <c r="M71" i="2"/>
  <c r="L71" i="2"/>
  <c r="M70" i="2"/>
  <c r="O70" i="2" s="1"/>
  <c r="N70" i="2" s="1"/>
  <c r="L70" i="2"/>
  <c r="O69" i="2"/>
  <c r="N69" i="2" s="1"/>
  <c r="M69" i="2"/>
  <c r="L69" i="2"/>
  <c r="M68" i="2"/>
  <c r="O68" i="2" s="1"/>
  <c r="N68" i="2" s="1"/>
  <c r="L68" i="2"/>
  <c r="O67" i="2"/>
  <c r="N67" i="2" s="1"/>
  <c r="M67" i="2"/>
  <c r="L67" i="2"/>
  <c r="M66" i="2"/>
  <c r="O66" i="2" s="1"/>
  <c r="N66" i="2" s="1"/>
  <c r="L66" i="2"/>
  <c r="O65" i="2"/>
  <c r="N65" i="2" s="1"/>
  <c r="M65" i="2"/>
  <c r="L65" i="2"/>
  <c r="M64" i="2"/>
  <c r="O64" i="2" s="1"/>
  <c r="N64" i="2" s="1"/>
  <c r="L64" i="2"/>
  <c r="O63" i="2"/>
  <c r="N63" i="2" s="1"/>
  <c r="M63" i="2"/>
  <c r="L63" i="2"/>
  <c r="M62" i="2"/>
  <c r="O62" i="2" s="1"/>
  <c r="N62" i="2" s="1"/>
  <c r="L62" i="2"/>
  <c r="O61" i="2"/>
  <c r="N61" i="2" s="1"/>
  <c r="M61" i="2"/>
  <c r="L61" i="2"/>
  <c r="M60" i="2"/>
  <c r="O60" i="2" s="1"/>
  <c r="N60" i="2" s="1"/>
  <c r="L60" i="2"/>
  <c r="O59" i="2"/>
  <c r="N59" i="2" s="1"/>
  <c r="M59" i="2"/>
  <c r="L59" i="2"/>
  <c r="M58" i="2"/>
  <c r="O58" i="2" s="1"/>
  <c r="N58" i="2" s="1"/>
  <c r="L58" i="2"/>
  <c r="O57" i="2"/>
  <c r="N57" i="2" s="1"/>
  <c r="M57" i="2"/>
  <c r="L57" i="2"/>
  <c r="M56" i="2"/>
  <c r="O56" i="2" s="1"/>
  <c r="N56" i="2" s="1"/>
  <c r="L56" i="2"/>
  <c r="O55" i="2"/>
  <c r="N55" i="2" s="1"/>
  <c r="M55" i="2"/>
  <c r="L55" i="2"/>
  <c r="M54" i="2"/>
  <c r="O54" i="2" s="1"/>
  <c r="N54" i="2" s="1"/>
  <c r="L54" i="2"/>
  <c r="O53" i="2"/>
  <c r="N53" i="2" s="1"/>
  <c r="M53" i="2"/>
  <c r="L53" i="2"/>
  <c r="M52" i="2"/>
  <c r="O52" i="2" s="1"/>
  <c r="N52" i="2" s="1"/>
  <c r="L52" i="2"/>
  <c r="O51" i="2"/>
  <c r="N51" i="2" s="1"/>
  <c r="M51" i="2"/>
  <c r="L51" i="2"/>
  <c r="M50" i="2"/>
  <c r="O50" i="2" s="1"/>
  <c r="N50" i="2" s="1"/>
  <c r="L50" i="2"/>
  <c r="O49" i="2"/>
  <c r="N49" i="2" s="1"/>
  <c r="M49" i="2"/>
  <c r="L49" i="2"/>
  <c r="M48" i="2"/>
  <c r="O48" i="2" s="1"/>
  <c r="N48" i="2" s="1"/>
  <c r="L48" i="2"/>
  <c r="O47" i="2"/>
  <c r="N47" i="2" s="1"/>
  <c r="M47" i="2"/>
  <c r="L47" i="2"/>
  <c r="M46" i="2"/>
  <c r="O46" i="2" s="1"/>
  <c r="N46" i="2" s="1"/>
  <c r="L46" i="2"/>
  <c r="O45" i="2"/>
  <c r="N45" i="2" s="1"/>
  <c r="M45" i="2"/>
  <c r="L45" i="2"/>
  <c r="M44" i="2"/>
  <c r="O44" i="2" s="1"/>
  <c r="N44" i="2" s="1"/>
  <c r="L44" i="2"/>
  <c r="O43" i="2"/>
  <c r="N43" i="2" s="1"/>
  <c r="M43" i="2"/>
  <c r="L43" i="2"/>
  <c r="M42" i="2"/>
  <c r="O42" i="2" s="1"/>
  <c r="N42" i="2" s="1"/>
  <c r="L42" i="2"/>
  <c r="O41" i="2"/>
  <c r="N41" i="2" s="1"/>
  <c r="M41" i="2"/>
  <c r="L41" i="2"/>
  <c r="M40" i="2"/>
  <c r="O40" i="2" s="1"/>
  <c r="N40" i="2" s="1"/>
  <c r="L40" i="2"/>
  <c r="O39" i="2"/>
  <c r="N39" i="2" s="1"/>
  <c r="M39" i="2"/>
  <c r="L39" i="2"/>
  <c r="M38" i="2"/>
  <c r="O38" i="2" s="1"/>
  <c r="N38" i="2" s="1"/>
  <c r="L38" i="2"/>
  <c r="O37" i="2"/>
  <c r="N37" i="2" s="1"/>
  <c r="M37" i="2"/>
  <c r="L37" i="2"/>
  <c r="M36" i="2"/>
  <c r="O36" i="2" s="1"/>
  <c r="N36" i="2" s="1"/>
  <c r="L36" i="2"/>
  <c r="O35" i="2"/>
  <c r="N35" i="2" s="1"/>
  <c r="M35" i="2"/>
  <c r="L35" i="2"/>
  <c r="M34" i="2"/>
  <c r="O34" i="2" s="1"/>
  <c r="N34" i="2" s="1"/>
  <c r="L34" i="2"/>
  <c r="M33" i="2"/>
  <c r="O33" i="2" s="1"/>
  <c r="N33" i="2" s="1"/>
  <c r="L33" i="2"/>
  <c r="M32" i="2"/>
  <c r="O32" i="2" s="1"/>
  <c r="N32" i="2" s="1"/>
  <c r="L32" i="2"/>
  <c r="M31" i="2"/>
  <c r="O31" i="2" s="1"/>
  <c r="N31" i="2" s="1"/>
  <c r="L31" i="2"/>
  <c r="O30" i="2"/>
  <c r="N30" i="2" s="1"/>
  <c r="M30" i="2"/>
  <c r="L30" i="2"/>
  <c r="O29" i="2"/>
  <c r="N29" i="2" s="1"/>
  <c r="M29" i="2"/>
  <c r="L29" i="2"/>
  <c r="O28" i="2"/>
  <c r="N28" i="2" s="1"/>
  <c r="M28" i="2"/>
  <c r="L28" i="2"/>
  <c r="O27" i="2"/>
  <c r="N27" i="2"/>
  <c r="M27" i="2"/>
  <c r="L27" i="2"/>
  <c r="M26" i="2"/>
  <c r="O26" i="2" s="1"/>
  <c r="N26" i="2" s="1"/>
  <c r="L26" i="2"/>
  <c r="M25" i="2"/>
  <c r="O25" i="2" s="1"/>
  <c r="N25" i="2" s="1"/>
  <c r="L25" i="2"/>
  <c r="O24" i="2"/>
  <c r="N24" i="2"/>
  <c r="M24" i="2"/>
  <c r="L24" i="2"/>
  <c r="M23" i="2"/>
  <c r="O23" i="2" s="1"/>
  <c r="N23" i="2" s="1"/>
  <c r="L23" i="2"/>
  <c r="O22" i="2"/>
  <c r="N22" i="2" s="1"/>
  <c r="M22" i="2"/>
  <c r="L22" i="2"/>
  <c r="M21" i="2"/>
  <c r="O21" i="2" s="1"/>
  <c r="N21" i="2" s="1"/>
  <c r="L21" i="2"/>
  <c r="O20" i="2"/>
  <c r="N20" i="2" s="1"/>
  <c r="M20" i="2"/>
  <c r="L20" i="2"/>
  <c r="O19" i="2"/>
  <c r="N19" i="2"/>
  <c r="M19" i="2"/>
  <c r="L19" i="2"/>
  <c r="O18" i="2"/>
  <c r="N18" i="2" s="1"/>
  <c r="M18" i="2"/>
  <c r="L18" i="2"/>
  <c r="R8" i="2"/>
  <c r="O17" i="2"/>
  <c r="N17" i="2"/>
  <c r="M17" i="2"/>
  <c r="L17" i="2"/>
  <c r="M16" i="2"/>
  <c r="O16" i="2" s="1"/>
  <c r="N16" i="2" s="1"/>
  <c r="L16" i="2"/>
  <c r="M15" i="2"/>
  <c r="O15" i="2" s="1"/>
  <c r="N15" i="2" s="1"/>
  <c r="L15" i="2"/>
  <c r="O14" i="2"/>
  <c r="N14" i="2" s="1"/>
  <c r="M14" i="2"/>
  <c r="L14" i="2"/>
  <c r="O13" i="2"/>
  <c r="N13" i="2"/>
  <c r="M13" i="2"/>
  <c r="L13" i="2"/>
  <c r="O12" i="2"/>
  <c r="N12" i="2" s="1"/>
  <c r="M12" i="2"/>
  <c r="L12" i="2"/>
  <c r="O11" i="2"/>
  <c r="N11" i="2" s="1"/>
  <c r="M11" i="2"/>
  <c r="L11" i="2"/>
  <c r="M10" i="2"/>
  <c r="O10" i="2" s="1"/>
  <c r="N10" i="2" s="1"/>
  <c r="L10" i="2"/>
  <c r="O9" i="2"/>
  <c r="N9" i="2"/>
  <c r="M9" i="2"/>
  <c r="L9" i="2"/>
  <c r="O8" i="2"/>
  <c r="N8" i="2"/>
  <c r="M8" i="2"/>
  <c r="L8" i="2"/>
  <c r="O7" i="2"/>
  <c r="N7" i="2"/>
  <c r="M7" i="2"/>
  <c r="L7" i="2"/>
  <c r="T8" i="2"/>
  <c r="M6" i="2"/>
  <c r="O6" i="2" s="1"/>
  <c r="N6" i="2" s="1"/>
  <c r="L6" i="2"/>
  <c r="M5" i="2"/>
  <c r="O5" i="2" s="1"/>
  <c r="N5" i="2" s="1"/>
  <c r="L5" i="2"/>
  <c r="O4" i="2"/>
  <c r="N4" i="2" s="1"/>
  <c r="M4" i="2"/>
  <c r="L4" i="2"/>
  <c r="O3" i="2"/>
  <c r="N3" i="2" s="1"/>
  <c r="M3" i="2"/>
  <c r="L3" i="2"/>
  <c r="O1711" i="1"/>
  <c r="N1711" i="1"/>
  <c r="M1711" i="1"/>
  <c r="L1711" i="1"/>
  <c r="O1710" i="1"/>
  <c r="N1710" i="1"/>
  <c r="M1710" i="1"/>
  <c r="L1710" i="1"/>
  <c r="O1709" i="1"/>
  <c r="N1709" i="1"/>
  <c r="M1709" i="1"/>
  <c r="L1709" i="1"/>
  <c r="O1708" i="1"/>
  <c r="N1708" i="1"/>
  <c r="M1708" i="1"/>
  <c r="L1708" i="1"/>
  <c r="O1707" i="1"/>
  <c r="N1707" i="1"/>
  <c r="M1707" i="1"/>
  <c r="L1707" i="1"/>
  <c r="O1706" i="1"/>
  <c r="N1706" i="1"/>
  <c r="M1706" i="1"/>
  <c r="L1706" i="1"/>
  <c r="O1705" i="1"/>
  <c r="N1705" i="1"/>
  <c r="M1705" i="1"/>
  <c r="L1705" i="1"/>
  <c r="O1704" i="1"/>
  <c r="N1704" i="1"/>
  <c r="M1704" i="1"/>
  <c r="L1704" i="1"/>
  <c r="O1703" i="1"/>
  <c r="N1703" i="1"/>
  <c r="M1703" i="1"/>
  <c r="L1703" i="1"/>
  <c r="O1702" i="1"/>
  <c r="N1702" i="1"/>
  <c r="M1702" i="1"/>
  <c r="L1702" i="1"/>
  <c r="O1701" i="1"/>
  <c r="N1701" i="1"/>
  <c r="M1701" i="1"/>
  <c r="L1701" i="1"/>
  <c r="O1700" i="1"/>
  <c r="N1700" i="1"/>
  <c r="M1700" i="1"/>
  <c r="L1700" i="1"/>
  <c r="O1699" i="1"/>
  <c r="N1699" i="1"/>
  <c r="M1699" i="1"/>
  <c r="L1699" i="1"/>
  <c r="O1698" i="1"/>
  <c r="N1698" i="1"/>
  <c r="M1698" i="1"/>
  <c r="L1698" i="1"/>
  <c r="O1697" i="1"/>
  <c r="N1697" i="1"/>
  <c r="M1697" i="1"/>
  <c r="L1697" i="1"/>
  <c r="O1696" i="1"/>
  <c r="N1696" i="1"/>
  <c r="M1696" i="1"/>
  <c r="L1696" i="1"/>
  <c r="O1695" i="1"/>
  <c r="N1695" i="1"/>
  <c r="M1695" i="1"/>
  <c r="L1695" i="1"/>
  <c r="O1694" i="1"/>
  <c r="N1694" i="1"/>
  <c r="M1694" i="1"/>
  <c r="L1694" i="1"/>
  <c r="O1693" i="1"/>
  <c r="N1693" i="1"/>
  <c r="M1693" i="1"/>
  <c r="L1693" i="1"/>
  <c r="O1692" i="1"/>
  <c r="N1692" i="1"/>
  <c r="M1692" i="1"/>
  <c r="L1692" i="1"/>
  <c r="O1691" i="1"/>
  <c r="N1691" i="1"/>
  <c r="M1691" i="1"/>
  <c r="L1691" i="1"/>
  <c r="O1690" i="1"/>
  <c r="N1690" i="1"/>
  <c r="M1690" i="1"/>
  <c r="L1690" i="1"/>
  <c r="O1689" i="1"/>
  <c r="N1689" i="1"/>
  <c r="M1689" i="1"/>
  <c r="L1689" i="1"/>
  <c r="O1688" i="1"/>
  <c r="N1688" i="1"/>
  <c r="M1688" i="1"/>
  <c r="L1688" i="1"/>
  <c r="O1687" i="1"/>
  <c r="N1687" i="1"/>
  <c r="M1687" i="1"/>
  <c r="L1687" i="1"/>
  <c r="O1686" i="1"/>
  <c r="N1686" i="1"/>
  <c r="M1686" i="1"/>
  <c r="L1686" i="1"/>
  <c r="O1685" i="1"/>
  <c r="N1685" i="1"/>
  <c r="M1685" i="1"/>
  <c r="L1685" i="1"/>
  <c r="O1684" i="1"/>
  <c r="N1684" i="1"/>
  <c r="M1684" i="1"/>
  <c r="L1684" i="1"/>
  <c r="O1683" i="1"/>
  <c r="N1683" i="1"/>
  <c r="M1683" i="1"/>
  <c r="L1683" i="1"/>
  <c r="O1682" i="1"/>
  <c r="N1682" i="1"/>
  <c r="M1682" i="1"/>
  <c r="L1682" i="1"/>
  <c r="O1681" i="1"/>
  <c r="N1681" i="1"/>
  <c r="M1681" i="1"/>
  <c r="L1681" i="1"/>
  <c r="O1680" i="1"/>
  <c r="N1680" i="1"/>
  <c r="M1680" i="1"/>
  <c r="L1680" i="1"/>
  <c r="O1679" i="1"/>
  <c r="N1679" i="1"/>
  <c r="M1679" i="1"/>
  <c r="L1679" i="1"/>
  <c r="O1678" i="1"/>
  <c r="N1678" i="1"/>
  <c r="M1678" i="1"/>
  <c r="L1678" i="1"/>
  <c r="O1677" i="1"/>
  <c r="N1677" i="1"/>
  <c r="M1677" i="1"/>
  <c r="L1677" i="1"/>
  <c r="O1676" i="1"/>
  <c r="N1676" i="1"/>
  <c r="M1676" i="1"/>
  <c r="L1676" i="1"/>
  <c r="O1675" i="1"/>
  <c r="N1675" i="1"/>
  <c r="M1675" i="1"/>
  <c r="L1675" i="1"/>
  <c r="O1674" i="1"/>
  <c r="N1674" i="1"/>
  <c r="M1674" i="1"/>
  <c r="L1674" i="1"/>
  <c r="O1673" i="1"/>
  <c r="N1673" i="1"/>
  <c r="M1673" i="1"/>
  <c r="L1673" i="1"/>
  <c r="O1672" i="1"/>
  <c r="N1672" i="1"/>
  <c r="M1672" i="1"/>
  <c r="L1672" i="1"/>
  <c r="O1671" i="1"/>
  <c r="N1671" i="1"/>
  <c r="M1671" i="1"/>
  <c r="L1671" i="1"/>
  <c r="O1670" i="1"/>
  <c r="N1670" i="1"/>
  <c r="M1670" i="1"/>
  <c r="L1670" i="1"/>
  <c r="O1669" i="1"/>
  <c r="N1669" i="1"/>
  <c r="M1669" i="1"/>
  <c r="L1669" i="1"/>
  <c r="O1668" i="1"/>
  <c r="N1668" i="1"/>
  <c r="M1668" i="1"/>
  <c r="L1668" i="1"/>
  <c r="O1667" i="1"/>
  <c r="N1667" i="1"/>
  <c r="M1667" i="1"/>
  <c r="L1667" i="1"/>
  <c r="O1666" i="1"/>
  <c r="N1666" i="1"/>
  <c r="M1666" i="1"/>
  <c r="L1666" i="1"/>
  <c r="O1665" i="1"/>
  <c r="N1665" i="1"/>
  <c r="M1665" i="1"/>
  <c r="L1665" i="1"/>
  <c r="O1664" i="1"/>
  <c r="N1664" i="1"/>
  <c r="M1664" i="1"/>
  <c r="L1664" i="1"/>
  <c r="O1663" i="1"/>
  <c r="N1663" i="1"/>
  <c r="M1663" i="1"/>
  <c r="L1663" i="1"/>
  <c r="O1662" i="1"/>
  <c r="N1662" i="1"/>
  <c r="M1662" i="1"/>
  <c r="L1662" i="1"/>
  <c r="O1661" i="1"/>
  <c r="N1661" i="1"/>
  <c r="M1661" i="1"/>
  <c r="L1661" i="1"/>
  <c r="O1660" i="1"/>
  <c r="N1660" i="1"/>
  <c r="M1660" i="1"/>
  <c r="L1660" i="1"/>
  <c r="O1659" i="1"/>
  <c r="N1659" i="1"/>
  <c r="M1659" i="1"/>
  <c r="L1659" i="1"/>
  <c r="O1658" i="1"/>
  <c r="N1658" i="1"/>
  <c r="M1658" i="1"/>
  <c r="L1658" i="1"/>
  <c r="O1657" i="1"/>
  <c r="N1657" i="1"/>
  <c r="M1657" i="1"/>
  <c r="L1657" i="1"/>
  <c r="O1656" i="1"/>
  <c r="N1656" i="1"/>
  <c r="M1656" i="1"/>
  <c r="L1656" i="1"/>
  <c r="O1655" i="1"/>
  <c r="N1655" i="1"/>
  <c r="M1655" i="1"/>
  <c r="L1655" i="1"/>
  <c r="O1654" i="1"/>
  <c r="N1654" i="1"/>
  <c r="M1654" i="1"/>
  <c r="L1654" i="1"/>
  <c r="O1653" i="1"/>
  <c r="N1653" i="1"/>
  <c r="M1653" i="1"/>
  <c r="L1653" i="1"/>
  <c r="O1652" i="1"/>
  <c r="N1652" i="1"/>
  <c r="M1652" i="1"/>
  <c r="L1652" i="1"/>
  <c r="O1651" i="1"/>
  <c r="N1651" i="1"/>
  <c r="M1651" i="1"/>
  <c r="L1651" i="1"/>
  <c r="O1650" i="1"/>
  <c r="N1650" i="1"/>
  <c r="M1650" i="1"/>
  <c r="L1650" i="1"/>
  <c r="O1649" i="1"/>
  <c r="N1649" i="1"/>
  <c r="M1649" i="1"/>
  <c r="L1649" i="1"/>
  <c r="O1648" i="1"/>
  <c r="N1648" i="1"/>
  <c r="M1648" i="1"/>
  <c r="L1648" i="1"/>
  <c r="O1647" i="1"/>
  <c r="N1647" i="1"/>
  <c r="M1647" i="1"/>
  <c r="L1647" i="1"/>
  <c r="O1646" i="1"/>
  <c r="N1646" i="1"/>
  <c r="M1646" i="1"/>
  <c r="L1646" i="1"/>
  <c r="O1645" i="1"/>
  <c r="N1645" i="1"/>
  <c r="M1645" i="1"/>
  <c r="L1645" i="1"/>
  <c r="O1644" i="1"/>
  <c r="N1644" i="1"/>
  <c r="M1644" i="1"/>
  <c r="L1644" i="1"/>
  <c r="O1643" i="1"/>
  <c r="N1643" i="1"/>
  <c r="M1643" i="1"/>
  <c r="L1643" i="1"/>
  <c r="O1642" i="1"/>
  <c r="N1642" i="1"/>
  <c r="M1642" i="1"/>
  <c r="L1642" i="1"/>
  <c r="O1641" i="1"/>
  <c r="N1641" i="1"/>
  <c r="M1641" i="1"/>
  <c r="L1641" i="1"/>
  <c r="O1640" i="1"/>
  <c r="N1640" i="1"/>
  <c r="M1640" i="1"/>
  <c r="L1640" i="1"/>
  <c r="O1639" i="1"/>
  <c r="N1639" i="1"/>
  <c r="M1639" i="1"/>
  <c r="L1639" i="1"/>
  <c r="O1638" i="1"/>
  <c r="N1638" i="1"/>
  <c r="M1638" i="1"/>
  <c r="L1638" i="1"/>
  <c r="O1637" i="1"/>
  <c r="N1637" i="1"/>
  <c r="M1637" i="1"/>
  <c r="L1637" i="1"/>
  <c r="O1636" i="1"/>
  <c r="N1636" i="1"/>
  <c r="M1636" i="1"/>
  <c r="L1636" i="1"/>
  <c r="O1635" i="1"/>
  <c r="N1635" i="1"/>
  <c r="M1635" i="1"/>
  <c r="L1635" i="1"/>
  <c r="O1634" i="1"/>
  <c r="N1634" i="1"/>
  <c r="M1634" i="1"/>
  <c r="L1634" i="1"/>
  <c r="O1633" i="1"/>
  <c r="N1633" i="1"/>
  <c r="M1633" i="1"/>
  <c r="L1633" i="1"/>
  <c r="O1632" i="1"/>
  <c r="N1632" i="1"/>
  <c r="M1632" i="1"/>
  <c r="L1632" i="1"/>
  <c r="O1631" i="1"/>
  <c r="N1631" i="1"/>
  <c r="M1631" i="1"/>
  <c r="L1631" i="1"/>
  <c r="O1630" i="1"/>
  <c r="N1630" i="1"/>
  <c r="M1630" i="1"/>
  <c r="L1630" i="1"/>
  <c r="O1629" i="1"/>
  <c r="N1629" i="1"/>
  <c r="M1629" i="1"/>
  <c r="L1629" i="1"/>
  <c r="O1628" i="1"/>
  <c r="N1628" i="1"/>
  <c r="M1628" i="1"/>
  <c r="L1628" i="1"/>
  <c r="O1627" i="1"/>
  <c r="N1627" i="1"/>
  <c r="M1627" i="1"/>
  <c r="L1627" i="1"/>
  <c r="O1626" i="1"/>
  <c r="N1626" i="1"/>
  <c r="M1626" i="1"/>
  <c r="L1626" i="1"/>
  <c r="O1625" i="1"/>
  <c r="N1625" i="1"/>
  <c r="M1625" i="1"/>
  <c r="L1625" i="1"/>
  <c r="O1624" i="1"/>
  <c r="N1624" i="1"/>
  <c r="M1624" i="1"/>
  <c r="L1624" i="1"/>
  <c r="O1623" i="1"/>
  <c r="N1623" i="1"/>
  <c r="M1623" i="1"/>
  <c r="L1623" i="1"/>
  <c r="O1622" i="1"/>
  <c r="N1622" i="1"/>
  <c r="M1622" i="1"/>
  <c r="L1622" i="1"/>
  <c r="O1621" i="1"/>
  <c r="N1621" i="1"/>
  <c r="M1621" i="1"/>
  <c r="L1621" i="1"/>
  <c r="O1620" i="1"/>
  <c r="N1620" i="1"/>
  <c r="M1620" i="1"/>
  <c r="L1620" i="1"/>
  <c r="O1619" i="1"/>
  <c r="N1619" i="1"/>
  <c r="M1619" i="1"/>
  <c r="L1619" i="1"/>
  <c r="O1618" i="1"/>
  <c r="N1618" i="1"/>
  <c r="M1618" i="1"/>
  <c r="L1618" i="1"/>
  <c r="O1617" i="1"/>
  <c r="N1617" i="1"/>
  <c r="M1617" i="1"/>
  <c r="L1617" i="1"/>
  <c r="O1616" i="1"/>
  <c r="N1616" i="1"/>
  <c r="M1616" i="1"/>
  <c r="L1616" i="1"/>
  <c r="O1615" i="1"/>
  <c r="N1615" i="1"/>
  <c r="M1615" i="1"/>
  <c r="L1615" i="1"/>
  <c r="O1614" i="1"/>
  <c r="N1614" i="1"/>
  <c r="M1614" i="1"/>
  <c r="L1614" i="1"/>
  <c r="O1613" i="1"/>
  <c r="N1613" i="1"/>
  <c r="M1613" i="1"/>
  <c r="L1613" i="1"/>
  <c r="O1612" i="1"/>
  <c r="N1612" i="1"/>
  <c r="M1612" i="1"/>
  <c r="L1612" i="1"/>
  <c r="O1611" i="1"/>
  <c r="N1611" i="1"/>
  <c r="M1611" i="1"/>
  <c r="L1611" i="1"/>
  <c r="O1610" i="1"/>
  <c r="N1610" i="1"/>
  <c r="M1610" i="1"/>
  <c r="L1610" i="1"/>
  <c r="O1609" i="1"/>
  <c r="N1609" i="1"/>
  <c r="M1609" i="1"/>
  <c r="L1609" i="1"/>
  <c r="O1608" i="1"/>
  <c r="N1608" i="1"/>
  <c r="M1608" i="1"/>
  <c r="L1608" i="1"/>
  <c r="O1607" i="1"/>
  <c r="N1607" i="1"/>
  <c r="M1607" i="1"/>
  <c r="L1607" i="1"/>
  <c r="O1606" i="1"/>
  <c r="N1606" i="1"/>
  <c r="M1606" i="1"/>
  <c r="L1606" i="1"/>
  <c r="O1605" i="1"/>
  <c r="N1605" i="1"/>
  <c r="M1605" i="1"/>
  <c r="L1605" i="1"/>
  <c r="O1604" i="1"/>
  <c r="N1604" i="1"/>
  <c r="M1604" i="1"/>
  <c r="L1604" i="1"/>
  <c r="O1603" i="1"/>
  <c r="N1603" i="1"/>
  <c r="M1603" i="1"/>
  <c r="L1603" i="1"/>
  <c r="O1602" i="1"/>
  <c r="N1602" i="1"/>
  <c r="M1602" i="1"/>
  <c r="L1602" i="1"/>
  <c r="O1601" i="1"/>
  <c r="N1601" i="1"/>
  <c r="M1601" i="1"/>
  <c r="L1601" i="1"/>
  <c r="O1600" i="1"/>
  <c r="N1600" i="1"/>
  <c r="M1600" i="1"/>
  <c r="L1600" i="1"/>
  <c r="O1599" i="1"/>
  <c r="N1599" i="1"/>
  <c r="M1599" i="1"/>
  <c r="L1599" i="1"/>
  <c r="O1598" i="1"/>
  <c r="N1598" i="1"/>
  <c r="M1598" i="1"/>
  <c r="L1598" i="1"/>
  <c r="O1597" i="1"/>
  <c r="N1597" i="1"/>
  <c r="M1597" i="1"/>
  <c r="L1597" i="1"/>
  <c r="O1596" i="1"/>
  <c r="N1596" i="1"/>
  <c r="M1596" i="1"/>
  <c r="L1596" i="1"/>
  <c r="O1595" i="1"/>
  <c r="N1595" i="1"/>
  <c r="M1595" i="1"/>
  <c r="L1595" i="1"/>
  <c r="O1594" i="1"/>
  <c r="N1594" i="1"/>
  <c r="M1594" i="1"/>
  <c r="L1594" i="1"/>
  <c r="O1593" i="1"/>
  <c r="N1593" i="1"/>
  <c r="M1593" i="1"/>
  <c r="L1593" i="1"/>
  <c r="O1592" i="1"/>
  <c r="N1592" i="1"/>
  <c r="M1592" i="1"/>
  <c r="L1592" i="1"/>
  <c r="O1591" i="1"/>
  <c r="N1591" i="1"/>
  <c r="M1591" i="1"/>
  <c r="L1591" i="1"/>
  <c r="O1590" i="1"/>
  <c r="N1590" i="1"/>
  <c r="M1590" i="1"/>
  <c r="L1590" i="1"/>
  <c r="O1589" i="1"/>
  <c r="N1589" i="1"/>
  <c r="M1589" i="1"/>
  <c r="L1589" i="1"/>
  <c r="O1588" i="1"/>
  <c r="N1588" i="1"/>
  <c r="M1588" i="1"/>
  <c r="L1588" i="1"/>
  <c r="O1587" i="1"/>
  <c r="N1587" i="1"/>
  <c r="M1587" i="1"/>
  <c r="L1587" i="1"/>
  <c r="O1586" i="1"/>
  <c r="N1586" i="1"/>
  <c r="M1586" i="1"/>
  <c r="L1586" i="1"/>
  <c r="O1585" i="1"/>
  <c r="N1585" i="1"/>
  <c r="M1585" i="1"/>
  <c r="L1585" i="1"/>
  <c r="O1584" i="1"/>
  <c r="N1584" i="1"/>
  <c r="M1584" i="1"/>
  <c r="L1584" i="1"/>
  <c r="O1583" i="1"/>
  <c r="N1583" i="1"/>
  <c r="M1583" i="1"/>
  <c r="L1583" i="1"/>
  <c r="O1582" i="1"/>
  <c r="N1582" i="1"/>
  <c r="M1582" i="1"/>
  <c r="L1582" i="1"/>
  <c r="O1581" i="1"/>
  <c r="N1581" i="1"/>
  <c r="M1581" i="1"/>
  <c r="L1581" i="1"/>
  <c r="O1580" i="1"/>
  <c r="N1580" i="1"/>
  <c r="M1580" i="1"/>
  <c r="L1580" i="1"/>
  <c r="O1579" i="1"/>
  <c r="N1579" i="1"/>
  <c r="M1579" i="1"/>
  <c r="L1579" i="1"/>
  <c r="O1578" i="1"/>
  <c r="N1578" i="1"/>
  <c r="M1578" i="1"/>
  <c r="L1578" i="1"/>
  <c r="O1577" i="1"/>
  <c r="N1577" i="1"/>
  <c r="M1577" i="1"/>
  <c r="L1577" i="1"/>
  <c r="O1576" i="1"/>
  <c r="N1576" i="1"/>
  <c r="M1576" i="1"/>
  <c r="L1576" i="1"/>
  <c r="O1575" i="1"/>
  <c r="N1575" i="1"/>
  <c r="M1575" i="1"/>
  <c r="L1575" i="1"/>
  <c r="O1574" i="1"/>
  <c r="N1574" i="1"/>
  <c r="M1574" i="1"/>
  <c r="L1574" i="1"/>
  <c r="O1573" i="1"/>
  <c r="N1573" i="1"/>
  <c r="M1573" i="1"/>
  <c r="L1573" i="1"/>
  <c r="O1572" i="1"/>
  <c r="N1572" i="1"/>
  <c r="M1572" i="1"/>
  <c r="L1572" i="1"/>
  <c r="O1571" i="1"/>
  <c r="N1571" i="1"/>
  <c r="M1571" i="1"/>
  <c r="L1571" i="1"/>
  <c r="O1570" i="1"/>
  <c r="N1570" i="1"/>
  <c r="M1570" i="1"/>
  <c r="L1570" i="1"/>
  <c r="O1569" i="1"/>
  <c r="N1569" i="1"/>
  <c r="M1569" i="1"/>
  <c r="L1569" i="1"/>
  <c r="O1568" i="1"/>
  <c r="N1568" i="1"/>
  <c r="M1568" i="1"/>
  <c r="L1568" i="1"/>
  <c r="O1567" i="1"/>
  <c r="N1567" i="1"/>
  <c r="M1567" i="1"/>
  <c r="L1567" i="1"/>
  <c r="O1566" i="1"/>
  <c r="N1566" i="1"/>
  <c r="M1566" i="1"/>
  <c r="L1566" i="1"/>
  <c r="O1565" i="1"/>
  <c r="N1565" i="1"/>
  <c r="M1565" i="1"/>
  <c r="L1565" i="1"/>
  <c r="O1564" i="1"/>
  <c r="N1564" i="1"/>
  <c r="M1564" i="1"/>
  <c r="L1564" i="1"/>
  <c r="O1563" i="1"/>
  <c r="N1563" i="1"/>
  <c r="M1563" i="1"/>
  <c r="L1563" i="1"/>
  <c r="O1562" i="1"/>
  <c r="N1562" i="1"/>
  <c r="M1562" i="1"/>
  <c r="L1562" i="1"/>
  <c r="O1561" i="1"/>
  <c r="N1561" i="1"/>
  <c r="M1561" i="1"/>
  <c r="L1561" i="1"/>
  <c r="O1560" i="1"/>
  <c r="N1560" i="1"/>
  <c r="M1560" i="1"/>
  <c r="L1560" i="1"/>
  <c r="O1559" i="1"/>
  <c r="N1559" i="1"/>
  <c r="M1559" i="1"/>
  <c r="L1559" i="1"/>
  <c r="O1558" i="1"/>
  <c r="N1558" i="1"/>
  <c r="M1558" i="1"/>
  <c r="L1558" i="1"/>
  <c r="O1557" i="1"/>
  <c r="N1557" i="1"/>
  <c r="M1557" i="1"/>
  <c r="L1557" i="1"/>
  <c r="O1556" i="1"/>
  <c r="N1556" i="1"/>
  <c r="M1556" i="1"/>
  <c r="L1556" i="1"/>
  <c r="O1555" i="1"/>
  <c r="N1555" i="1"/>
  <c r="M1555" i="1"/>
  <c r="L1555" i="1"/>
  <c r="O1554" i="1"/>
  <c r="N1554" i="1"/>
  <c r="M1554" i="1"/>
  <c r="L1554" i="1"/>
  <c r="O1553" i="1"/>
  <c r="N1553" i="1"/>
  <c r="M1553" i="1"/>
  <c r="L1553" i="1"/>
  <c r="O1552" i="1"/>
  <c r="N1552" i="1"/>
  <c r="M1552" i="1"/>
  <c r="L1552" i="1"/>
  <c r="O1551" i="1"/>
  <c r="N1551" i="1"/>
  <c r="M1551" i="1"/>
  <c r="L1551" i="1"/>
  <c r="O1550" i="1"/>
  <c r="N1550" i="1"/>
  <c r="M1550" i="1"/>
  <c r="L1550" i="1"/>
  <c r="O1549" i="1"/>
  <c r="N1549" i="1"/>
  <c r="M1549" i="1"/>
  <c r="L1549" i="1"/>
  <c r="O1548" i="1"/>
  <c r="N1548" i="1"/>
  <c r="M1548" i="1"/>
  <c r="L1548" i="1"/>
  <c r="O1547" i="1"/>
  <c r="N1547" i="1"/>
  <c r="M1547" i="1"/>
  <c r="L1547" i="1"/>
  <c r="O1546" i="1"/>
  <c r="N1546" i="1"/>
  <c r="M1546" i="1"/>
  <c r="L1546" i="1"/>
  <c r="O1545" i="1"/>
  <c r="N1545" i="1"/>
  <c r="M1545" i="1"/>
  <c r="L1545" i="1"/>
  <c r="O1544" i="1"/>
  <c r="N1544" i="1"/>
  <c r="M1544" i="1"/>
  <c r="L1544" i="1"/>
  <c r="O1543" i="1"/>
  <c r="N1543" i="1"/>
  <c r="M1543" i="1"/>
  <c r="L1543" i="1"/>
  <c r="O1542" i="1"/>
  <c r="N1542" i="1"/>
  <c r="M1542" i="1"/>
  <c r="L1542" i="1"/>
  <c r="O1541" i="1"/>
  <c r="N1541" i="1"/>
  <c r="M1541" i="1"/>
  <c r="L1541" i="1"/>
  <c r="O1540" i="1"/>
  <c r="N1540" i="1"/>
  <c r="M1540" i="1"/>
  <c r="L1540" i="1"/>
  <c r="O1539" i="1"/>
  <c r="N1539" i="1"/>
  <c r="M1539" i="1"/>
  <c r="L1539" i="1"/>
  <c r="O1538" i="1"/>
  <c r="N1538" i="1"/>
  <c r="M1538" i="1"/>
  <c r="L1538" i="1"/>
  <c r="O1537" i="1"/>
  <c r="N1537" i="1"/>
  <c r="M1537" i="1"/>
  <c r="L1537" i="1"/>
  <c r="O1536" i="1"/>
  <c r="N1536" i="1"/>
  <c r="M1536" i="1"/>
  <c r="L1536" i="1"/>
  <c r="O1535" i="1"/>
  <c r="N1535" i="1"/>
  <c r="M1535" i="1"/>
  <c r="L1535" i="1"/>
  <c r="O1534" i="1"/>
  <c r="N1534" i="1"/>
  <c r="M1534" i="1"/>
  <c r="L1534" i="1"/>
  <c r="O1533" i="1"/>
  <c r="N1533" i="1"/>
  <c r="M1533" i="1"/>
  <c r="L1533" i="1"/>
  <c r="O1532" i="1"/>
  <c r="N1532" i="1"/>
  <c r="M1532" i="1"/>
  <c r="L1532" i="1"/>
  <c r="O1531" i="1"/>
  <c r="N1531" i="1"/>
  <c r="M1531" i="1"/>
  <c r="L1531" i="1"/>
  <c r="O1530" i="1"/>
  <c r="N1530" i="1"/>
  <c r="M1530" i="1"/>
  <c r="L1530" i="1"/>
  <c r="O1529" i="1"/>
  <c r="N1529" i="1"/>
  <c r="M1529" i="1"/>
  <c r="L1529" i="1"/>
  <c r="O1528" i="1"/>
  <c r="N1528" i="1"/>
  <c r="M1528" i="1"/>
  <c r="L1528" i="1"/>
  <c r="O1527" i="1"/>
  <c r="N1527" i="1"/>
  <c r="M1527" i="1"/>
  <c r="L1527" i="1"/>
  <c r="O1526" i="1"/>
  <c r="N1526" i="1"/>
  <c r="M1526" i="1"/>
  <c r="L1526" i="1"/>
  <c r="O1525" i="1"/>
  <c r="N1525" i="1"/>
  <c r="M1525" i="1"/>
  <c r="L1525" i="1"/>
  <c r="O1524" i="1"/>
  <c r="N1524" i="1"/>
  <c r="M1524" i="1"/>
  <c r="L1524" i="1"/>
  <c r="O1523" i="1"/>
  <c r="N1523" i="1"/>
  <c r="M1523" i="1"/>
  <c r="L1523" i="1"/>
  <c r="O1522" i="1"/>
  <c r="N1522" i="1"/>
  <c r="M1522" i="1"/>
  <c r="L1522" i="1"/>
  <c r="O1521" i="1"/>
  <c r="N1521" i="1"/>
  <c r="M1521" i="1"/>
  <c r="L1521" i="1"/>
  <c r="O1520" i="1"/>
  <c r="N1520" i="1"/>
  <c r="M1520" i="1"/>
  <c r="L1520" i="1"/>
  <c r="O1519" i="1"/>
  <c r="N1519" i="1"/>
  <c r="M1519" i="1"/>
  <c r="L1519" i="1"/>
  <c r="O1518" i="1"/>
  <c r="N1518" i="1"/>
  <c r="M1518" i="1"/>
  <c r="L1518" i="1"/>
  <c r="O1517" i="1"/>
  <c r="N1517" i="1"/>
  <c r="M1517" i="1"/>
  <c r="L1517" i="1"/>
  <c r="O1516" i="1"/>
  <c r="N1516" i="1"/>
  <c r="M1516" i="1"/>
  <c r="L1516" i="1"/>
  <c r="O1515" i="1"/>
  <c r="N1515" i="1"/>
  <c r="M1515" i="1"/>
  <c r="L1515" i="1"/>
  <c r="O1514" i="1"/>
  <c r="N1514" i="1"/>
  <c r="M1514" i="1"/>
  <c r="L1514" i="1"/>
  <c r="O1513" i="1"/>
  <c r="N1513" i="1"/>
  <c r="M1513" i="1"/>
  <c r="L1513" i="1"/>
  <c r="O1512" i="1"/>
  <c r="N1512" i="1"/>
  <c r="M1512" i="1"/>
  <c r="L1512" i="1"/>
  <c r="O1511" i="1"/>
  <c r="N1511" i="1"/>
  <c r="M1511" i="1"/>
  <c r="L1511" i="1"/>
  <c r="O1510" i="1"/>
  <c r="N1510" i="1"/>
  <c r="M1510" i="1"/>
  <c r="L1510" i="1"/>
  <c r="O1509" i="1"/>
  <c r="N1509" i="1"/>
  <c r="M1509" i="1"/>
  <c r="L1509" i="1"/>
  <c r="O1508" i="1"/>
  <c r="N1508" i="1"/>
  <c r="M1508" i="1"/>
  <c r="L1508" i="1"/>
  <c r="O1507" i="1"/>
  <c r="N1507" i="1"/>
  <c r="M1507" i="1"/>
  <c r="L1507" i="1"/>
  <c r="O1506" i="1"/>
  <c r="N1506" i="1"/>
  <c r="M1506" i="1"/>
  <c r="L1506" i="1"/>
  <c r="O1505" i="1"/>
  <c r="N1505" i="1"/>
  <c r="M1505" i="1"/>
  <c r="L1505" i="1"/>
  <c r="O1504" i="1"/>
  <c r="N1504" i="1"/>
  <c r="M1504" i="1"/>
  <c r="L1504" i="1"/>
  <c r="O1503" i="1"/>
  <c r="N1503" i="1"/>
  <c r="M1503" i="1"/>
  <c r="L1503" i="1"/>
  <c r="O1502" i="1"/>
  <c r="N1502" i="1"/>
  <c r="M1502" i="1"/>
  <c r="L1502" i="1"/>
  <c r="O1501" i="1"/>
  <c r="N1501" i="1"/>
  <c r="M1501" i="1"/>
  <c r="L1501" i="1"/>
  <c r="O1500" i="1"/>
  <c r="N1500" i="1"/>
  <c r="M1500" i="1"/>
  <c r="L1500" i="1"/>
  <c r="O1499" i="1"/>
  <c r="N1499" i="1"/>
  <c r="M1499" i="1"/>
  <c r="L1499" i="1"/>
  <c r="O1498" i="1"/>
  <c r="N1498" i="1"/>
  <c r="M1498" i="1"/>
  <c r="L1498" i="1"/>
  <c r="O1497" i="1"/>
  <c r="N1497" i="1"/>
  <c r="M1497" i="1"/>
  <c r="L1497" i="1"/>
  <c r="O1496" i="1"/>
  <c r="N1496" i="1"/>
  <c r="M1496" i="1"/>
  <c r="L1496" i="1"/>
  <c r="O1495" i="1"/>
  <c r="N1495" i="1"/>
  <c r="M1495" i="1"/>
  <c r="L1495" i="1"/>
  <c r="O1494" i="1"/>
  <c r="N1494" i="1"/>
  <c r="M1494" i="1"/>
  <c r="L1494" i="1"/>
  <c r="O1493" i="1"/>
  <c r="N1493" i="1"/>
  <c r="M1493" i="1"/>
  <c r="L1493" i="1"/>
  <c r="O1492" i="1"/>
  <c r="N1492" i="1"/>
  <c r="M1492" i="1"/>
  <c r="L1492" i="1"/>
  <c r="O1491" i="1"/>
  <c r="N1491" i="1"/>
  <c r="M1491" i="1"/>
  <c r="L1491" i="1"/>
  <c r="O1490" i="1"/>
  <c r="N1490" i="1"/>
  <c r="M1490" i="1"/>
  <c r="L1490" i="1"/>
  <c r="O1489" i="1"/>
  <c r="N1489" i="1"/>
  <c r="M1489" i="1"/>
  <c r="L1489" i="1"/>
  <c r="O1488" i="1"/>
  <c r="N1488" i="1"/>
  <c r="M1488" i="1"/>
  <c r="L1488" i="1"/>
  <c r="O1487" i="1"/>
  <c r="N1487" i="1"/>
  <c r="M1487" i="1"/>
  <c r="L1487" i="1"/>
  <c r="O1486" i="1"/>
  <c r="N1486" i="1"/>
  <c r="M1486" i="1"/>
  <c r="L1486" i="1"/>
  <c r="O1485" i="1"/>
  <c r="N1485" i="1"/>
  <c r="M1485" i="1"/>
  <c r="L1485" i="1"/>
  <c r="O1484" i="1"/>
  <c r="N1484" i="1"/>
  <c r="M1484" i="1"/>
  <c r="L1484" i="1"/>
  <c r="O1483" i="1"/>
  <c r="N1483" i="1"/>
  <c r="M1483" i="1"/>
  <c r="L1483" i="1"/>
  <c r="O1482" i="1"/>
  <c r="N1482" i="1"/>
  <c r="M1482" i="1"/>
  <c r="L1482" i="1"/>
  <c r="O1481" i="1"/>
  <c r="N1481" i="1"/>
  <c r="M1481" i="1"/>
  <c r="L1481" i="1"/>
  <c r="O1480" i="1"/>
  <c r="N1480" i="1"/>
  <c r="M1480" i="1"/>
  <c r="L1480" i="1"/>
  <c r="O1479" i="1"/>
  <c r="N1479" i="1"/>
  <c r="M1479" i="1"/>
  <c r="L1479" i="1"/>
  <c r="O1478" i="1"/>
  <c r="N1478" i="1"/>
  <c r="M1478" i="1"/>
  <c r="L1478" i="1"/>
  <c r="O1477" i="1"/>
  <c r="N1477" i="1"/>
  <c r="M1477" i="1"/>
  <c r="L1477" i="1"/>
  <c r="O1476" i="1"/>
  <c r="N1476" i="1"/>
  <c r="M1476" i="1"/>
  <c r="L1476" i="1"/>
  <c r="O1475" i="1"/>
  <c r="N1475" i="1"/>
  <c r="M1475" i="1"/>
  <c r="L1475" i="1"/>
  <c r="O1474" i="1"/>
  <c r="N1474" i="1"/>
  <c r="M1474" i="1"/>
  <c r="L1474" i="1"/>
  <c r="O1473" i="1"/>
  <c r="N1473" i="1"/>
  <c r="M1473" i="1"/>
  <c r="L1473" i="1"/>
  <c r="O1472" i="1"/>
  <c r="N1472" i="1"/>
  <c r="M1472" i="1"/>
  <c r="L1472" i="1"/>
  <c r="O1471" i="1"/>
  <c r="N1471" i="1"/>
  <c r="M1471" i="1"/>
  <c r="L1471" i="1"/>
  <c r="O1470" i="1"/>
  <c r="N1470" i="1"/>
  <c r="M1470" i="1"/>
  <c r="L1470" i="1"/>
  <c r="O1469" i="1"/>
  <c r="N1469" i="1"/>
  <c r="M1469" i="1"/>
  <c r="L1469" i="1"/>
  <c r="O1468" i="1"/>
  <c r="N1468" i="1"/>
  <c r="M1468" i="1"/>
  <c r="L1468" i="1"/>
  <c r="O1467" i="1"/>
  <c r="N1467" i="1"/>
  <c r="M1467" i="1"/>
  <c r="L1467" i="1"/>
  <c r="O1466" i="1"/>
  <c r="N1466" i="1"/>
  <c r="M1466" i="1"/>
  <c r="L1466" i="1"/>
  <c r="O1465" i="1"/>
  <c r="N1465" i="1"/>
  <c r="M1465" i="1"/>
  <c r="L1465" i="1"/>
  <c r="O1464" i="1"/>
  <c r="N1464" i="1"/>
  <c r="M1464" i="1"/>
  <c r="L1464" i="1"/>
  <c r="O1463" i="1"/>
  <c r="N1463" i="1"/>
  <c r="M1463" i="1"/>
  <c r="L1463" i="1"/>
  <c r="O1462" i="1"/>
  <c r="N1462" i="1"/>
  <c r="M1462" i="1"/>
  <c r="L1462" i="1"/>
  <c r="O1461" i="1"/>
  <c r="N1461" i="1"/>
  <c r="M1461" i="1"/>
  <c r="L1461" i="1"/>
  <c r="O1460" i="1"/>
  <c r="N1460" i="1"/>
  <c r="M1460" i="1"/>
  <c r="L1460" i="1"/>
  <c r="O1459" i="1"/>
  <c r="N1459" i="1"/>
  <c r="M1459" i="1"/>
  <c r="L1459" i="1"/>
  <c r="O1458" i="1"/>
  <c r="N1458" i="1"/>
  <c r="M1458" i="1"/>
  <c r="L1458" i="1"/>
  <c r="O1457" i="1"/>
  <c r="N1457" i="1"/>
  <c r="M1457" i="1"/>
  <c r="L1457" i="1"/>
  <c r="O1456" i="1"/>
  <c r="N1456" i="1"/>
  <c r="M1456" i="1"/>
  <c r="L1456" i="1"/>
  <c r="O1455" i="1"/>
  <c r="N1455" i="1"/>
  <c r="M1455" i="1"/>
  <c r="L1455" i="1"/>
  <c r="O1454" i="1"/>
  <c r="N1454" i="1"/>
  <c r="M1454" i="1"/>
  <c r="L1454" i="1"/>
  <c r="O1453" i="1"/>
  <c r="N1453" i="1"/>
  <c r="M1453" i="1"/>
  <c r="L1453" i="1"/>
  <c r="O1452" i="1"/>
  <c r="N1452" i="1"/>
  <c r="M1452" i="1"/>
  <c r="L1452" i="1"/>
  <c r="O1451" i="1"/>
  <c r="N1451" i="1"/>
  <c r="M1451" i="1"/>
  <c r="L1451" i="1"/>
  <c r="O1450" i="1"/>
  <c r="N1450" i="1"/>
  <c r="M1450" i="1"/>
  <c r="L1450" i="1"/>
  <c r="O1449" i="1"/>
  <c r="N1449" i="1"/>
  <c r="M1449" i="1"/>
  <c r="L1449" i="1"/>
  <c r="O1448" i="1"/>
  <c r="N1448" i="1"/>
  <c r="M1448" i="1"/>
  <c r="L1448" i="1"/>
  <c r="O1447" i="1"/>
  <c r="N1447" i="1"/>
  <c r="M1447" i="1"/>
  <c r="L1447" i="1"/>
  <c r="O1446" i="1"/>
  <c r="N1446" i="1"/>
  <c r="M1446" i="1"/>
  <c r="L1446" i="1"/>
  <c r="O1445" i="1"/>
  <c r="N1445" i="1"/>
  <c r="M1445" i="1"/>
  <c r="L1445" i="1"/>
  <c r="O1444" i="1"/>
  <c r="N1444" i="1"/>
  <c r="M1444" i="1"/>
  <c r="L1444" i="1"/>
  <c r="O1443" i="1"/>
  <c r="N1443" i="1"/>
  <c r="M1443" i="1"/>
  <c r="L1443" i="1"/>
  <c r="O1442" i="1"/>
  <c r="N1442" i="1"/>
  <c r="M1442" i="1"/>
  <c r="L1442" i="1"/>
  <c r="O1441" i="1"/>
  <c r="N1441" i="1"/>
  <c r="M1441" i="1"/>
  <c r="L1441" i="1"/>
  <c r="O1440" i="1"/>
  <c r="N1440" i="1"/>
  <c r="M1440" i="1"/>
  <c r="L1440" i="1"/>
  <c r="O1439" i="1"/>
  <c r="N1439" i="1"/>
  <c r="M1439" i="1"/>
  <c r="L1439" i="1"/>
  <c r="O1438" i="1"/>
  <c r="N1438" i="1"/>
  <c r="M1438" i="1"/>
  <c r="L1438" i="1"/>
  <c r="O1437" i="1"/>
  <c r="N1437" i="1"/>
  <c r="M1437" i="1"/>
  <c r="L1437" i="1"/>
  <c r="O1436" i="1"/>
  <c r="N1436" i="1"/>
  <c r="M1436" i="1"/>
  <c r="L1436" i="1"/>
  <c r="O1435" i="1"/>
  <c r="N1435" i="1"/>
  <c r="M1435" i="1"/>
  <c r="L1435" i="1"/>
  <c r="O1434" i="1"/>
  <c r="N1434" i="1"/>
  <c r="M1434" i="1"/>
  <c r="L1434" i="1"/>
  <c r="O1433" i="1"/>
  <c r="N1433" i="1"/>
  <c r="M1433" i="1"/>
  <c r="L1433" i="1"/>
  <c r="O1432" i="1"/>
  <c r="N1432" i="1"/>
  <c r="M1432" i="1"/>
  <c r="L1432" i="1"/>
  <c r="O1431" i="1"/>
  <c r="N1431" i="1"/>
  <c r="M1431" i="1"/>
  <c r="L1431" i="1"/>
  <c r="O1430" i="1"/>
  <c r="N1430" i="1"/>
  <c r="M1430" i="1"/>
  <c r="L1430" i="1"/>
  <c r="O1429" i="1"/>
  <c r="N1429" i="1"/>
  <c r="M1429" i="1"/>
  <c r="L1429" i="1"/>
  <c r="O1428" i="1"/>
  <c r="N1428" i="1"/>
  <c r="M1428" i="1"/>
  <c r="L1428" i="1"/>
  <c r="O1427" i="1"/>
  <c r="N1427" i="1"/>
  <c r="M1427" i="1"/>
  <c r="L1427" i="1"/>
  <c r="O1426" i="1"/>
  <c r="N1426" i="1"/>
  <c r="M1426" i="1"/>
  <c r="L1426" i="1"/>
  <c r="O1425" i="1"/>
  <c r="N1425" i="1"/>
  <c r="M1425" i="1"/>
  <c r="L1425" i="1"/>
  <c r="O1424" i="1"/>
  <c r="N1424" i="1"/>
  <c r="M1424" i="1"/>
  <c r="L1424" i="1"/>
  <c r="O1423" i="1"/>
  <c r="N1423" i="1"/>
  <c r="M1423" i="1"/>
  <c r="L1423" i="1"/>
  <c r="O1422" i="1"/>
  <c r="N1422" i="1"/>
  <c r="M1422" i="1"/>
  <c r="L1422" i="1"/>
  <c r="O1421" i="1"/>
  <c r="N1421" i="1"/>
  <c r="M1421" i="1"/>
  <c r="L1421" i="1"/>
  <c r="O1420" i="1"/>
  <c r="N1420" i="1"/>
  <c r="M1420" i="1"/>
  <c r="L1420" i="1"/>
  <c r="O1419" i="1"/>
  <c r="N1419" i="1"/>
  <c r="M1419" i="1"/>
  <c r="L1419" i="1"/>
  <c r="O1418" i="1"/>
  <c r="N1418" i="1"/>
  <c r="M1418" i="1"/>
  <c r="L1418" i="1"/>
  <c r="O1417" i="1"/>
  <c r="N1417" i="1"/>
  <c r="M1417" i="1"/>
  <c r="L1417" i="1"/>
  <c r="O1416" i="1"/>
  <c r="N1416" i="1"/>
  <c r="M1416" i="1"/>
  <c r="L1416" i="1"/>
  <c r="O1415" i="1"/>
  <c r="N1415" i="1"/>
  <c r="M1415" i="1"/>
  <c r="L1415" i="1"/>
  <c r="O1414" i="1"/>
  <c r="N1414" i="1"/>
  <c r="M1414" i="1"/>
  <c r="L1414" i="1"/>
  <c r="O1413" i="1"/>
  <c r="N1413" i="1"/>
  <c r="M1413" i="1"/>
  <c r="L1413" i="1"/>
  <c r="O1412" i="1"/>
  <c r="N1412" i="1"/>
  <c r="M1412" i="1"/>
  <c r="L1412" i="1"/>
  <c r="O1411" i="1"/>
  <c r="N1411" i="1"/>
  <c r="M1411" i="1"/>
  <c r="L1411" i="1"/>
  <c r="O1410" i="1"/>
  <c r="N1410" i="1"/>
  <c r="M1410" i="1"/>
  <c r="L1410" i="1"/>
  <c r="O1409" i="1"/>
  <c r="N1409" i="1"/>
  <c r="M1409" i="1"/>
  <c r="L1409" i="1"/>
  <c r="O1408" i="1"/>
  <c r="N1408" i="1"/>
  <c r="M1408" i="1"/>
  <c r="L1408" i="1"/>
  <c r="O1407" i="1"/>
  <c r="N1407" i="1"/>
  <c r="M1407" i="1"/>
  <c r="L1407" i="1"/>
  <c r="O1406" i="1"/>
  <c r="N1406" i="1"/>
  <c r="M1406" i="1"/>
  <c r="L1406" i="1"/>
  <c r="O1405" i="1"/>
  <c r="N1405" i="1"/>
  <c r="M1405" i="1"/>
  <c r="L1405" i="1"/>
  <c r="O1404" i="1"/>
  <c r="N1404" i="1"/>
  <c r="M1404" i="1"/>
  <c r="L1404" i="1"/>
  <c r="O1403" i="1"/>
  <c r="N1403" i="1"/>
  <c r="M1403" i="1"/>
  <c r="L1403" i="1"/>
  <c r="O1402" i="1"/>
  <c r="N1402" i="1"/>
  <c r="M1402" i="1"/>
  <c r="L1402" i="1"/>
  <c r="O1401" i="1"/>
  <c r="N1401" i="1"/>
  <c r="M1401" i="1"/>
  <c r="L1401" i="1"/>
  <c r="O1400" i="1"/>
  <c r="N1400" i="1"/>
  <c r="M1400" i="1"/>
  <c r="L1400" i="1"/>
  <c r="O1399" i="1"/>
  <c r="N1399" i="1"/>
  <c r="M1399" i="1"/>
  <c r="L1399" i="1"/>
  <c r="O1398" i="1"/>
  <c r="N1398" i="1"/>
  <c r="M1398" i="1"/>
  <c r="L1398" i="1"/>
  <c r="O1397" i="1"/>
  <c r="N1397" i="1"/>
  <c r="M1397" i="1"/>
  <c r="L1397" i="1"/>
  <c r="O1396" i="1"/>
  <c r="N1396" i="1"/>
  <c r="M1396" i="1"/>
  <c r="L1396" i="1"/>
  <c r="O1395" i="1"/>
  <c r="N1395" i="1"/>
  <c r="M1395" i="1"/>
  <c r="L1395" i="1"/>
  <c r="O1394" i="1"/>
  <c r="N1394" i="1"/>
  <c r="M1394" i="1"/>
  <c r="L1394" i="1"/>
  <c r="O1393" i="1"/>
  <c r="N1393" i="1"/>
  <c r="M1393" i="1"/>
  <c r="L1393" i="1"/>
  <c r="O1392" i="1"/>
  <c r="N1392" i="1"/>
  <c r="M1392" i="1"/>
  <c r="L1392" i="1"/>
  <c r="O1391" i="1"/>
  <c r="N1391" i="1"/>
  <c r="M1391" i="1"/>
  <c r="L1391" i="1"/>
  <c r="O1390" i="1"/>
  <c r="N1390" i="1"/>
  <c r="M1390" i="1"/>
  <c r="L1390" i="1"/>
  <c r="O1389" i="1"/>
  <c r="N1389" i="1"/>
  <c r="M1389" i="1"/>
  <c r="L1389" i="1"/>
  <c r="O1388" i="1"/>
  <c r="N1388" i="1"/>
  <c r="M1388" i="1"/>
  <c r="L1388" i="1"/>
  <c r="O1387" i="1"/>
  <c r="N1387" i="1"/>
  <c r="M1387" i="1"/>
  <c r="L1387" i="1"/>
  <c r="O1386" i="1"/>
  <c r="N1386" i="1"/>
  <c r="M1386" i="1"/>
  <c r="L1386" i="1"/>
  <c r="O1385" i="1"/>
  <c r="N1385" i="1"/>
  <c r="M1385" i="1"/>
  <c r="L1385" i="1"/>
  <c r="O1384" i="1"/>
  <c r="N1384" i="1"/>
  <c r="M1384" i="1"/>
  <c r="L1384" i="1"/>
  <c r="O1383" i="1"/>
  <c r="N1383" i="1"/>
  <c r="M1383" i="1"/>
  <c r="L1383" i="1"/>
  <c r="O1382" i="1"/>
  <c r="N1382" i="1"/>
  <c r="M1382" i="1"/>
  <c r="L1382" i="1"/>
  <c r="O1381" i="1"/>
  <c r="N1381" i="1"/>
  <c r="M1381" i="1"/>
  <c r="L1381" i="1"/>
  <c r="O1380" i="1"/>
  <c r="N1380" i="1"/>
  <c r="M1380" i="1"/>
  <c r="L1380" i="1"/>
  <c r="O1379" i="1"/>
  <c r="N1379" i="1"/>
  <c r="M1379" i="1"/>
  <c r="L1379" i="1"/>
  <c r="O1378" i="1"/>
  <c r="N1378" i="1"/>
  <c r="M1378" i="1"/>
  <c r="L1378" i="1"/>
  <c r="O1377" i="1"/>
  <c r="N1377" i="1"/>
  <c r="M1377" i="1"/>
  <c r="L1377" i="1"/>
  <c r="O1376" i="1"/>
  <c r="N1376" i="1"/>
  <c r="M1376" i="1"/>
  <c r="L1376" i="1"/>
  <c r="O1375" i="1"/>
  <c r="N1375" i="1"/>
  <c r="M1375" i="1"/>
  <c r="L1375" i="1"/>
  <c r="O1374" i="1"/>
  <c r="N1374" i="1"/>
  <c r="M1374" i="1"/>
  <c r="L1374" i="1"/>
  <c r="O1373" i="1"/>
  <c r="N1373" i="1"/>
  <c r="M1373" i="1"/>
  <c r="L1373" i="1"/>
  <c r="O1372" i="1"/>
  <c r="N1372" i="1"/>
  <c r="M1372" i="1"/>
  <c r="L1372" i="1"/>
  <c r="O1371" i="1"/>
  <c r="N1371" i="1"/>
  <c r="M1371" i="1"/>
  <c r="L1371" i="1"/>
  <c r="O1370" i="1"/>
  <c r="N1370" i="1"/>
  <c r="M1370" i="1"/>
  <c r="L1370" i="1"/>
  <c r="O1369" i="1"/>
  <c r="N1369" i="1"/>
  <c r="M1369" i="1"/>
  <c r="L1369" i="1"/>
  <c r="O1368" i="1"/>
  <c r="N1368" i="1"/>
  <c r="M1368" i="1"/>
  <c r="L1368" i="1"/>
  <c r="O1367" i="1"/>
  <c r="N1367" i="1"/>
  <c r="M1367" i="1"/>
  <c r="L1367" i="1"/>
  <c r="O1366" i="1"/>
  <c r="N1366" i="1"/>
  <c r="M1366" i="1"/>
  <c r="L1366" i="1"/>
  <c r="O1365" i="1"/>
  <c r="N1365" i="1"/>
  <c r="M1365" i="1"/>
  <c r="L1365" i="1"/>
  <c r="O1364" i="1"/>
  <c r="N1364" i="1"/>
  <c r="M1364" i="1"/>
  <c r="L1364" i="1"/>
  <c r="O1363" i="1"/>
  <c r="N1363" i="1"/>
  <c r="M1363" i="1"/>
  <c r="L1363" i="1"/>
  <c r="O1362" i="1"/>
  <c r="N1362" i="1"/>
  <c r="M1362" i="1"/>
  <c r="L1362" i="1"/>
  <c r="O1361" i="1"/>
  <c r="N1361" i="1"/>
  <c r="M1361" i="1"/>
  <c r="L1361" i="1"/>
  <c r="O1360" i="1"/>
  <c r="N1360" i="1"/>
  <c r="M1360" i="1"/>
  <c r="L1360" i="1"/>
  <c r="O1359" i="1"/>
  <c r="N1359" i="1"/>
  <c r="M1359" i="1"/>
  <c r="L1359" i="1"/>
  <c r="O1358" i="1"/>
  <c r="N1358" i="1"/>
  <c r="M1358" i="1"/>
  <c r="L1358" i="1"/>
  <c r="O1357" i="1"/>
  <c r="N1357" i="1"/>
  <c r="M1357" i="1"/>
  <c r="L1357" i="1"/>
  <c r="O1356" i="1"/>
  <c r="N1356" i="1"/>
  <c r="M1356" i="1"/>
  <c r="L1356" i="1"/>
  <c r="O1355" i="1"/>
  <c r="N1355" i="1"/>
  <c r="M1355" i="1"/>
  <c r="L1355" i="1"/>
  <c r="O1354" i="1"/>
  <c r="N1354" i="1"/>
  <c r="M1354" i="1"/>
  <c r="L1354" i="1"/>
  <c r="O1353" i="1"/>
  <c r="N1353" i="1"/>
  <c r="M1353" i="1"/>
  <c r="L1353" i="1"/>
  <c r="O1352" i="1"/>
  <c r="N1352" i="1"/>
  <c r="M1352" i="1"/>
  <c r="L1352" i="1"/>
  <c r="O1351" i="1"/>
  <c r="N1351" i="1"/>
  <c r="M1351" i="1"/>
  <c r="L1351" i="1"/>
  <c r="O1350" i="1"/>
  <c r="N1350" i="1"/>
  <c r="M1350" i="1"/>
  <c r="L1350" i="1"/>
  <c r="O1349" i="1"/>
  <c r="N1349" i="1"/>
  <c r="M1349" i="1"/>
  <c r="L1349" i="1"/>
  <c r="O1348" i="1"/>
  <c r="N1348" i="1"/>
  <c r="M1348" i="1"/>
  <c r="L1348" i="1"/>
  <c r="O1347" i="1"/>
  <c r="N1347" i="1"/>
  <c r="M1347" i="1"/>
  <c r="L1347" i="1"/>
  <c r="O1346" i="1"/>
  <c r="N1346" i="1"/>
  <c r="M1346" i="1"/>
  <c r="L1346" i="1"/>
  <c r="O1345" i="1"/>
  <c r="N1345" i="1"/>
  <c r="M1345" i="1"/>
  <c r="L1345" i="1"/>
  <c r="O1344" i="1"/>
  <c r="N1344" i="1"/>
  <c r="M1344" i="1"/>
  <c r="L1344" i="1"/>
  <c r="O1343" i="1"/>
  <c r="N1343" i="1"/>
  <c r="M1343" i="1"/>
  <c r="L1343" i="1"/>
  <c r="O1342" i="1"/>
  <c r="N1342" i="1"/>
  <c r="M1342" i="1"/>
  <c r="L1342" i="1"/>
  <c r="O1341" i="1"/>
  <c r="N1341" i="1"/>
  <c r="M1341" i="1"/>
  <c r="L1341" i="1"/>
  <c r="O1340" i="1"/>
  <c r="N1340" i="1"/>
  <c r="M1340" i="1"/>
  <c r="L1340" i="1"/>
  <c r="O1339" i="1"/>
  <c r="N1339" i="1"/>
  <c r="M1339" i="1"/>
  <c r="L1339" i="1"/>
  <c r="O1338" i="1"/>
  <c r="N1338" i="1"/>
  <c r="M1338" i="1"/>
  <c r="L1338" i="1"/>
  <c r="O1337" i="1"/>
  <c r="N1337" i="1"/>
  <c r="M1337" i="1"/>
  <c r="L1337" i="1"/>
  <c r="O1336" i="1"/>
  <c r="N1336" i="1"/>
  <c r="M1336" i="1"/>
  <c r="L1336" i="1"/>
  <c r="O1335" i="1"/>
  <c r="N1335" i="1"/>
  <c r="M1335" i="1"/>
  <c r="L1335" i="1"/>
  <c r="O1334" i="1"/>
  <c r="N1334" i="1"/>
  <c r="M1334" i="1"/>
  <c r="L1334" i="1"/>
  <c r="O1333" i="1"/>
  <c r="N1333" i="1"/>
  <c r="M1333" i="1"/>
  <c r="L1333" i="1"/>
  <c r="O1332" i="1"/>
  <c r="N1332" i="1"/>
  <c r="M1332" i="1"/>
  <c r="L1332" i="1"/>
  <c r="O1331" i="1"/>
  <c r="N1331" i="1"/>
  <c r="M1331" i="1"/>
  <c r="L1331" i="1"/>
  <c r="O1330" i="1"/>
  <c r="N1330" i="1"/>
  <c r="M1330" i="1"/>
  <c r="L1330" i="1"/>
  <c r="O1329" i="1"/>
  <c r="N1329" i="1"/>
  <c r="M1329" i="1"/>
  <c r="L1329" i="1"/>
  <c r="O1328" i="1"/>
  <c r="N1328" i="1"/>
  <c r="M1328" i="1"/>
  <c r="L1328" i="1"/>
  <c r="O1327" i="1"/>
  <c r="N1327" i="1"/>
  <c r="M1327" i="1"/>
  <c r="L1327" i="1"/>
  <c r="O1326" i="1"/>
  <c r="N1326" i="1"/>
  <c r="M1326" i="1"/>
  <c r="L1326" i="1"/>
  <c r="O1325" i="1"/>
  <c r="N1325" i="1"/>
  <c r="M1325" i="1"/>
  <c r="L1325" i="1"/>
  <c r="O1324" i="1"/>
  <c r="N1324" i="1"/>
  <c r="M1324" i="1"/>
  <c r="L1324" i="1"/>
  <c r="O1323" i="1"/>
  <c r="N1323" i="1"/>
  <c r="M1323" i="1"/>
  <c r="L1323" i="1"/>
  <c r="O1322" i="1"/>
  <c r="N1322" i="1"/>
  <c r="M1322" i="1"/>
  <c r="L1322" i="1"/>
  <c r="O1321" i="1"/>
  <c r="N1321" i="1"/>
  <c r="M1321" i="1"/>
  <c r="L1321" i="1"/>
  <c r="O1320" i="1"/>
  <c r="N1320" i="1"/>
  <c r="M1320" i="1"/>
  <c r="L1320" i="1"/>
  <c r="O1319" i="1"/>
  <c r="N1319" i="1"/>
  <c r="M1319" i="1"/>
  <c r="L1319" i="1"/>
  <c r="O1318" i="1"/>
  <c r="N1318" i="1"/>
  <c r="M1318" i="1"/>
  <c r="L1318" i="1"/>
  <c r="O1317" i="1"/>
  <c r="N1317" i="1"/>
  <c r="M1317" i="1"/>
  <c r="L1317" i="1"/>
  <c r="O1316" i="1"/>
  <c r="N1316" i="1"/>
  <c r="M1316" i="1"/>
  <c r="L1316" i="1"/>
  <c r="O1315" i="1"/>
  <c r="N1315" i="1"/>
  <c r="M1315" i="1"/>
  <c r="L1315" i="1"/>
  <c r="O1314" i="1"/>
  <c r="N1314" i="1"/>
  <c r="M1314" i="1"/>
  <c r="L1314" i="1"/>
  <c r="O1313" i="1"/>
  <c r="N1313" i="1"/>
  <c r="M1313" i="1"/>
  <c r="L1313" i="1"/>
  <c r="O1312" i="1"/>
  <c r="N1312" i="1"/>
  <c r="M1312" i="1"/>
  <c r="L1312" i="1"/>
  <c r="O1311" i="1"/>
  <c r="N1311" i="1"/>
  <c r="M1311" i="1"/>
  <c r="L1311" i="1"/>
  <c r="O1310" i="1"/>
  <c r="N1310" i="1"/>
  <c r="M1310" i="1"/>
  <c r="L1310" i="1"/>
  <c r="O1309" i="1"/>
  <c r="N1309" i="1"/>
  <c r="M1309" i="1"/>
  <c r="L1309" i="1"/>
  <c r="O1308" i="1"/>
  <c r="N1308" i="1"/>
  <c r="M1308" i="1"/>
  <c r="L1308" i="1"/>
  <c r="O1307" i="1"/>
  <c r="N1307" i="1"/>
  <c r="M1307" i="1"/>
  <c r="L1307" i="1"/>
  <c r="O1306" i="1"/>
  <c r="N1306" i="1"/>
  <c r="M1306" i="1"/>
  <c r="L1306" i="1"/>
  <c r="O1305" i="1"/>
  <c r="N1305" i="1"/>
  <c r="M1305" i="1"/>
  <c r="L1305" i="1"/>
  <c r="O1304" i="1"/>
  <c r="N1304" i="1"/>
  <c r="M1304" i="1"/>
  <c r="L1304" i="1"/>
  <c r="O1303" i="1"/>
  <c r="N1303" i="1"/>
  <c r="M1303" i="1"/>
  <c r="L1303" i="1"/>
  <c r="O1302" i="1"/>
  <c r="N1302" i="1"/>
  <c r="M1302" i="1"/>
  <c r="L1302" i="1"/>
  <c r="O1301" i="1"/>
  <c r="N1301" i="1"/>
  <c r="M1301" i="1"/>
  <c r="L1301" i="1"/>
  <c r="O1300" i="1"/>
  <c r="N1300" i="1"/>
  <c r="M1300" i="1"/>
  <c r="L1300" i="1"/>
  <c r="O1299" i="1"/>
  <c r="N1299" i="1"/>
  <c r="M1299" i="1"/>
  <c r="L1299" i="1"/>
  <c r="O1298" i="1"/>
  <c r="N1298" i="1"/>
  <c r="M1298" i="1"/>
  <c r="L1298" i="1"/>
  <c r="O1297" i="1"/>
  <c r="N1297" i="1"/>
  <c r="M1297" i="1"/>
  <c r="L1297" i="1"/>
  <c r="O1296" i="1"/>
  <c r="N1296" i="1"/>
  <c r="M1296" i="1"/>
  <c r="L1296" i="1"/>
  <c r="O1295" i="1"/>
  <c r="N1295" i="1"/>
  <c r="M1295" i="1"/>
  <c r="L1295" i="1"/>
  <c r="O1294" i="1"/>
  <c r="N1294" i="1"/>
  <c r="M1294" i="1"/>
  <c r="L1294" i="1"/>
  <c r="O1293" i="1"/>
  <c r="N1293" i="1"/>
  <c r="M1293" i="1"/>
  <c r="L1293" i="1"/>
  <c r="O1292" i="1"/>
  <c r="N1292" i="1"/>
  <c r="M1292" i="1"/>
  <c r="L1292" i="1"/>
  <c r="O1291" i="1"/>
  <c r="N1291" i="1"/>
  <c r="M1291" i="1"/>
  <c r="L1291" i="1"/>
  <c r="O1290" i="1"/>
  <c r="N1290" i="1"/>
  <c r="M1290" i="1"/>
  <c r="L1290" i="1"/>
  <c r="O1289" i="1"/>
  <c r="N1289" i="1"/>
  <c r="M1289" i="1"/>
  <c r="L1289" i="1"/>
  <c r="O1288" i="1"/>
  <c r="N1288" i="1"/>
  <c r="M1288" i="1"/>
  <c r="L1288" i="1"/>
  <c r="O1287" i="1"/>
  <c r="N1287" i="1"/>
  <c r="M1287" i="1"/>
  <c r="L1287" i="1"/>
  <c r="O1286" i="1"/>
  <c r="N1286" i="1"/>
  <c r="M1286" i="1"/>
  <c r="L1286" i="1"/>
  <c r="O1285" i="1"/>
  <c r="N1285" i="1"/>
  <c r="M1285" i="1"/>
  <c r="L1285" i="1"/>
  <c r="O1284" i="1"/>
  <c r="N1284" i="1"/>
  <c r="M1284" i="1"/>
  <c r="L1284" i="1"/>
  <c r="O1283" i="1"/>
  <c r="N1283" i="1"/>
  <c r="M1283" i="1"/>
  <c r="L1283" i="1"/>
  <c r="O1282" i="1"/>
  <c r="N1282" i="1"/>
  <c r="M1282" i="1"/>
  <c r="L1282" i="1"/>
  <c r="O1281" i="1"/>
  <c r="N1281" i="1"/>
  <c r="M1281" i="1"/>
  <c r="L1281" i="1"/>
  <c r="O1280" i="1"/>
  <c r="N1280" i="1"/>
  <c r="M1280" i="1"/>
  <c r="L1280" i="1"/>
  <c r="O1279" i="1"/>
  <c r="N1279" i="1"/>
  <c r="M1279" i="1"/>
  <c r="L1279" i="1"/>
  <c r="O1278" i="1"/>
  <c r="N1278" i="1"/>
  <c r="M1278" i="1"/>
  <c r="L1278" i="1"/>
  <c r="O1277" i="1"/>
  <c r="N1277" i="1"/>
  <c r="M1277" i="1"/>
  <c r="L1277" i="1"/>
  <c r="O1276" i="1"/>
  <c r="N1276" i="1"/>
  <c r="M1276" i="1"/>
  <c r="L1276" i="1"/>
  <c r="O1275" i="1"/>
  <c r="N1275" i="1"/>
  <c r="M1275" i="1"/>
  <c r="L1275" i="1"/>
  <c r="O1274" i="1"/>
  <c r="N1274" i="1"/>
  <c r="M1274" i="1"/>
  <c r="L1274" i="1"/>
  <c r="O1273" i="1"/>
  <c r="N1273" i="1"/>
  <c r="M1273" i="1"/>
  <c r="L1273" i="1"/>
  <c r="O1272" i="1"/>
  <c r="N1272" i="1"/>
  <c r="M1272" i="1"/>
  <c r="L1272" i="1"/>
  <c r="O1271" i="1"/>
  <c r="N1271" i="1"/>
  <c r="M1271" i="1"/>
  <c r="L1271" i="1"/>
  <c r="O1270" i="1"/>
  <c r="N1270" i="1"/>
  <c r="M1270" i="1"/>
  <c r="L1270" i="1"/>
  <c r="O1269" i="1"/>
  <c r="N1269" i="1"/>
  <c r="M1269" i="1"/>
  <c r="L1269" i="1"/>
  <c r="O1268" i="1"/>
  <c r="N1268" i="1"/>
  <c r="M1268" i="1"/>
  <c r="L1268" i="1"/>
  <c r="O1267" i="1"/>
  <c r="N1267" i="1"/>
  <c r="M1267" i="1"/>
  <c r="L1267" i="1"/>
  <c r="O1266" i="1"/>
  <c r="N1266" i="1"/>
  <c r="M1266" i="1"/>
  <c r="L1266" i="1"/>
  <c r="O1265" i="1"/>
  <c r="N1265" i="1"/>
  <c r="M1265" i="1"/>
  <c r="L1265" i="1"/>
  <c r="O1264" i="1"/>
  <c r="N1264" i="1"/>
  <c r="M1264" i="1"/>
  <c r="L1264" i="1"/>
  <c r="O1263" i="1"/>
  <c r="N1263" i="1"/>
  <c r="M1263" i="1"/>
  <c r="L1263" i="1"/>
  <c r="O1262" i="1"/>
  <c r="N1262" i="1"/>
  <c r="M1262" i="1"/>
  <c r="L1262" i="1"/>
  <c r="O1261" i="1"/>
  <c r="N1261" i="1"/>
  <c r="M1261" i="1"/>
  <c r="L1261" i="1"/>
  <c r="O1260" i="1"/>
  <c r="N1260" i="1"/>
  <c r="M1260" i="1"/>
  <c r="L1260" i="1"/>
  <c r="O1259" i="1"/>
  <c r="N1259" i="1"/>
  <c r="M1259" i="1"/>
  <c r="L1259" i="1"/>
  <c r="O1258" i="1"/>
  <c r="N1258" i="1"/>
  <c r="M1258" i="1"/>
  <c r="L1258" i="1"/>
  <c r="O1257" i="1"/>
  <c r="N1257" i="1"/>
  <c r="M1257" i="1"/>
  <c r="L1257" i="1"/>
  <c r="O1256" i="1"/>
  <c r="N1256" i="1"/>
  <c r="M1256" i="1"/>
  <c r="L1256" i="1"/>
  <c r="O1255" i="1"/>
  <c r="N1255" i="1"/>
  <c r="M1255" i="1"/>
  <c r="L1255" i="1"/>
  <c r="O1254" i="1"/>
  <c r="N1254" i="1"/>
  <c r="M1254" i="1"/>
  <c r="L1254" i="1"/>
  <c r="O1253" i="1"/>
  <c r="N1253" i="1"/>
  <c r="M1253" i="1"/>
  <c r="L1253" i="1"/>
  <c r="O1252" i="1"/>
  <c r="N1252" i="1"/>
  <c r="M1252" i="1"/>
  <c r="L1252" i="1"/>
  <c r="O1251" i="1"/>
  <c r="N1251" i="1"/>
  <c r="M1251" i="1"/>
  <c r="L1251" i="1"/>
  <c r="O1250" i="1"/>
  <c r="N1250" i="1"/>
  <c r="M1250" i="1"/>
  <c r="L1250" i="1"/>
  <c r="O1249" i="1"/>
  <c r="N1249" i="1"/>
  <c r="M1249" i="1"/>
  <c r="L1249" i="1"/>
  <c r="O1248" i="1"/>
  <c r="N1248" i="1"/>
  <c r="M1248" i="1"/>
  <c r="L1248" i="1"/>
  <c r="O1247" i="1"/>
  <c r="N1247" i="1"/>
  <c r="M1247" i="1"/>
  <c r="L1247" i="1"/>
  <c r="O1246" i="1"/>
  <c r="N1246" i="1"/>
  <c r="M1246" i="1"/>
  <c r="L1246" i="1"/>
  <c r="O1245" i="1"/>
  <c r="N1245" i="1"/>
  <c r="M1245" i="1"/>
  <c r="L1245" i="1"/>
  <c r="O1244" i="1"/>
  <c r="N1244" i="1"/>
  <c r="M1244" i="1"/>
  <c r="L1244" i="1"/>
  <c r="O1243" i="1"/>
  <c r="N1243" i="1"/>
  <c r="M1243" i="1"/>
  <c r="L1243" i="1"/>
  <c r="O1242" i="1"/>
  <c r="N1242" i="1"/>
  <c r="M1242" i="1"/>
  <c r="L1242" i="1"/>
  <c r="O1241" i="1"/>
  <c r="N1241" i="1"/>
  <c r="M1241" i="1"/>
  <c r="L1241" i="1"/>
  <c r="O1240" i="1"/>
  <c r="N1240" i="1"/>
  <c r="M1240" i="1"/>
  <c r="L1240" i="1"/>
  <c r="O1239" i="1"/>
  <c r="N1239" i="1"/>
  <c r="M1239" i="1"/>
  <c r="L1239" i="1"/>
  <c r="O1238" i="1"/>
  <c r="N1238" i="1"/>
  <c r="M1238" i="1"/>
  <c r="L1238" i="1"/>
  <c r="O1237" i="1"/>
  <c r="N1237" i="1"/>
  <c r="M1237" i="1"/>
  <c r="L1237" i="1"/>
  <c r="O1236" i="1"/>
  <c r="N1236" i="1"/>
  <c r="M1236" i="1"/>
  <c r="L1236" i="1"/>
  <c r="O1235" i="1"/>
  <c r="N1235" i="1"/>
  <c r="M1235" i="1"/>
  <c r="L1235" i="1"/>
  <c r="O1234" i="1"/>
  <c r="N1234" i="1"/>
  <c r="M1234" i="1"/>
  <c r="L1234" i="1"/>
  <c r="O1233" i="1"/>
  <c r="N1233" i="1"/>
  <c r="M1233" i="1"/>
  <c r="L1233" i="1"/>
  <c r="O1232" i="1"/>
  <c r="N1232" i="1"/>
  <c r="M1232" i="1"/>
  <c r="L1232" i="1"/>
  <c r="O1231" i="1"/>
  <c r="N1231" i="1"/>
  <c r="M1231" i="1"/>
  <c r="L1231" i="1"/>
  <c r="O1230" i="1"/>
  <c r="N1230" i="1"/>
  <c r="M1230" i="1"/>
  <c r="L1230" i="1"/>
  <c r="O1229" i="1"/>
  <c r="N1229" i="1"/>
  <c r="M1229" i="1"/>
  <c r="L1229" i="1"/>
  <c r="O1228" i="1"/>
  <c r="N1228" i="1"/>
  <c r="M1228" i="1"/>
  <c r="L1228" i="1"/>
  <c r="O1227" i="1"/>
  <c r="N1227" i="1"/>
  <c r="M1227" i="1"/>
  <c r="L1227" i="1"/>
  <c r="O1226" i="1"/>
  <c r="N1226" i="1"/>
  <c r="M1226" i="1"/>
  <c r="L1226" i="1"/>
  <c r="O1225" i="1"/>
  <c r="N1225" i="1"/>
  <c r="M1225" i="1"/>
  <c r="L1225" i="1"/>
  <c r="O1224" i="1"/>
  <c r="N1224" i="1"/>
  <c r="M1224" i="1"/>
  <c r="L1224" i="1"/>
  <c r="O1223" i="1"/>
  <c r="N1223" i="1"/>
  <c r="M1223" i="1"/>
  <c r="L1223" i="1"/>
  <c r="O1222" i="1"/>
  <c r="N1222" i="1"/>
  <c r="M1222" i="1"/>
  <c r="L1222" i="1"/>
  <c r="O1221" i="1"/>
  <c r="N1221" i="1"/>
  <c r="M1221" i="1"/>
  <c r="L1221" i="1"/>
  <c r="O1220" i="1"/>
  <c r="N1220" i="1"/>
  <c r="M1220" i="1"/>
  <c r="L1220" i="1"/>
  <c r="O1219" i="1"/>
  <c r="N1219" i="1"/>
  <c r="M1219" i="1"/>
  <c r="L1219" i="1"/>
  <c r="O1218" i="1"/>
  <c r="N1218" i="1"/>
  <c r="M1218" i="1"/>
  <c r="L1218" i="1"/>
  <c r="O1217" i="1"/>
  <c r="N1217" i="1"/>
  <c r="M1217" i="1"/>
  <c r="L1217" i="1"/>
  <c r="O1216" i="1"/>
  <c r="N1216" i="1"/>
  <c r="M1216" i="1"/>
  <c r="L1216" i="1"/>
  <c r="O1215" i="1"/>
  <c r="N1215" i="1"/>
  <c r="M1215" i="1"/>
  <c r="L1215" i="1"/>
  <c r="O1214" i="1"/>
  <c r="N1214" i="1"/>
  <c r="M1214" i="1"/>
  <c r="L1214" i="1"/>
  <c r="O1213" i="1"/>
  <c r="N1213" i="1"/>
  <c r="M1213" i="1"/>
  <c r="L1213" i="1"/>
  <c r="O1212" i="1"/>
  <c r="N1212" i="1"/>
  <c r="M1212" i="1"/>
  <c r="L1212" i="1"/>
  <c r="O1211" i="1"/>
  <c r="N1211" i="1"/>
  <c r="M1211" i="1"/>
  <c r="L1211" i="1"/>
  <c r="O1210" i="1"/>
  <c r="N1210" i="1"/>
  <c r="M1210" i="1"/>
  <c r="L1210" i="1"/>
  <c r="O1209" i="1"/>
  <c r="N1209" i="1"/>
  <c r="M1209" i="1"/>
  <c r="L1209" i="1"/>
  <c r="O1208" i="1"/>
  <c r="N1208" i="1"/>
  <c r="M1208" i="1"/>
  <c r="L1208" i="1"/>
  <c r="O1207" i="1"/>
  <c r="N1207" i="1"/>
  <c r="M1207" i="1"/>
  <c r="L1207" i="1"/>
  <c r="O1206" i="1"/>
  <c r="N1206" i="1"/>
  <c r="M1206" i="1"/>
  <c r="L1206" i="1"/>
  <c r="O1205" i="1"/>
  <c r="N1205" i="1"/>
  <c r="M1205" i="1"/>
  <c r="L1205" i="1"/>
  <c r="O1204" i="1"/>
  <c r="N1204" i="1"/>
  <c r="M1204" i="1"/>
  <c r="L1204" i="1"/>
  <c r="O1203" i="1"/>
  <c r="N1203" i="1"/>
  <c r="M1203" i="1"/>
  <c r="L1203" i="1"/>
  <c r="O1202" i="1"/>
  <c r="N1202" i="1"/>
  <c r="M1202" i="1"/>
  <c r="L1202" i="1"/>
  <c r="O1201" i="1"/>
  <c r="N1201" i="1"/>
  <c r="M1201" i="1"/>
  <c r="L1201" i="1"/>
  <c r="O1200" i="1"/>
  <c r="N1200" i="1"/>
  <c r="M1200" i="1"/>
  <c r="L1200" i="1"/>
  <c r="O1199" i="1"/>
  <c r="N1199" i="1"/>
  <c r="M1199" i="1"/>
  <c r="L1199" i="1"/>
  <c r="O1198" i="1"/>
  <c r="N1198" i="1"/>
  <c r="M1198" i="1"/>
  <c r="L1198" i="1"/>
  <c r="O1197" i="1"/>
  <c r="N1197" i="1"/>
  <c r="M1197" i="1"/>
  <c r="L1197" i="1"/>
  <c r="O1196" i="1"/>
  <c r="N1196" i="1"/>
  <c r="M1196" i="1"/>
  <c r="L1196" i="1"/>
  <c r="O1195" i="1"/>
  <c r="N1195" i="1"/>
  <c r="M1195" i="1"/>
  <c r="L1195" i="1"/>
  <c r="O1194" i="1"/>
  <c r="N1194" i="1"/>
  <c r="M1194" i="1"/>
  <c r="L1194" i="1"/>
  <c r="O1193" i="1"/>
  <c r="N1193" i="1"/>
  <c r="M1193" i="1"/>
  <c r="L1193" i="1"/>
  <c r="O1192" i="1"/>
  <c r="N1192" i="1"/>
  <c r="M1192" i="1"/>
  <c r="L1192" i="1"/>
  <c r="O1191" i="1"/>
  <c r="N1191" i="1"/>
  <c r="M1191" i="1"/>
  <c r="L1191" i="1"/>
  <c r="O1190" i="1"/>
  <c r="N1190" i="1"/>
  <c r="M1190" i="1"/>
  <c r="L1190" i="1"/>
  <c r="O1189" i="1"/>
  <c r="N1189" i="1"/>
  <c r="M1189" i="1"/>
  <c r="L1189" i="1"/>
  <c r="O1188" i="1"/>
  <c r="N1188" i="1"/>
  <c r="M1188" i="1"/>
  <c r="L1188" i="1"/>
  <c r="O1187" i="1"/>
  <c r="N1187" i="1"/>
  <c r="M1187" i="1"/>
  <c r="L1187" i="1"/>
  <c r="O1186" i="1"/>
  <c r="N1186" i="1"/>
  <c r="M1186" i="1"/>
  <c r="L1186" i="1"/>
  <c r="O1185" i="1"/>
  <c r="N1185" i="1"/>
  <c r="M1185" i="1"/>
  <c r="L1185" i="1"/>
  <c r="O1184" i="1"/>
  <c r="N1184" i="1"/>
  <c r="M1184" i="1"/>
  <c r="L1184" i="1"/>
  <c r="O1183" i="1"/>
  <c r="N1183" i="1"/>
  <c r="M1183" i="1"/>
  <c r="L1183" i="1"/>
  <c r="O1182" i="1"/>
  <c r="N1182" i="1"/>
  <c r="M1182" i="1"/>
  <c r="L1182" i="1"/>
  <c r="O1181" i="1"/>
  <c r="N1181" i="1"/>
  <c r="M1181" i="1"/>
  <c r="L1181" i="1"/>
  <c r="O1180" i="1"/>
  <c r="N1180" i="1"/>
  <c r="M1180" i="1"/>
  <c r="L1180" i="1"/>
  <c r="O1179" i="1"/>
  <c r="N1179" i="1"/>
  <c r="M1179" i="1"/>
  <c r="L1179" i="1"/>
  <c r="O1178" i="1"/>
  <c r="N1178" i="1"/>
  <c r="M1178" i="1"/>
  <c r="L1178" i="1"/>
  <c r="O1177" i="1"/>
  <c r="N1177" i="1"/>
  <c r="M1177" i="1"/>
  <c r="L1177" i="1"/>
  <c r="O1176" i="1"/>
  <c r="N1176" i="1"/>
  <c r="M1176" i="1"/>
  <c r="L1176" i="1"/>
  <c r="O1175" i="1"/>
  <c r="N1175" i="1"/>
  <c r="M1175" i="1"/>
  <c r="L1175" i="1"/>
  <c r="O1174" i="1"/>
  <c r="N1174" i="1"/>
  <c r="M1174" i="1"/>
  <c r="L1174" i="1"/>
  <c r="O1173" i="1"/>
  <c r="N1173" i="1"/>
  <c r="M1173" i="1"/>
  <c r="L1173" i="1"/>
  <c r="O1172" i="1"/>
  <c r="N1172" i="1"/>
  <c r="M1172" i="1"/>
  <c r="L1172" i="1"/>
  <c r="O1171" i="1"/>
  <c r="N1171" i="1"/>
  <c r="M1171" i="1"/>
  <c r="L1171" i="1"/>
  <c r="O1170" i="1"/>
  <c r="N1170" i="1"/>
  <c r="M1170" i="1"/>
  <c r="L1170" i="1"/>
  <c r="O1169" i="1"/>
  <c r="N1169" i="1"/>
  <c r="M1169" i="1"/>
  <c r="L1169" i="1"/>
  <c r="O1168" i="1"/>
  <c r="N1168" i="1"/>
  <c r="M1168" i="1"/>
  <c r="L1168" i="1"/>
  <c r="O1167" i="1"/>
  <c r="N1167" i="1"/>
  <c r="M1167" i="1"/>
  <c r="L1167" i="1"/>
  <c r="O1166" i="1"/>
  <c r="N1166" i="1"/>
  <c r="M1166" i="1"/>
  <c r="L1166" i="1"/>
  <c r="O1165" i="1"/>
  <c r="N1165" i="1"/>
  <c r="M1165" i="1"/>
  <c r="L1165" i="1"/>
  <c r="O1164" i="1"/>
  <c r="N1164" i="1"/>
  <c r="M1164" i="1"/>
  <c r="L1164" i="1"/>
  <c r="O1163" i="1"/>
  <c r="N1163" i="1"/>
  <c r="M1163" i="1"/>
  <c r="L1163" i="1"/>
  <c r="O1162" i="1"/>
  <c r="N1162" i="1"/>
  <c r="M1162" i="1"/>
  <c r="L1162" i="1"/>
  <c r="O1161" i="1"/>
  <c r="N1161" i="1"/>
  <c r="M1161" i="1"/>
  <c r="L1161" i="1"/>
  <c r="O1160" i="1"/>
  <c r="N1160" i="1"/>
  <c r="M1160" i="1"/>
  <c r="L1160" i="1"/>
  <c r="O1159" i="1"/>
  <c r="N1159" i="1"/>
  <c r="M1159" i="1"/>
  <c r="L1159" i="1"/>
  <c r="O1158" i="1"/>
  <c r="N1158" i="1"/>
  <c r="M1158" i="1"/>
  <c r="L1158" i="1"/>
  <c r="O1157" i="1"/>
  <c r="N1157" i="1"/>
  <c r="M1157" i="1"/>
  <c r="L1157" i="1"/>
  <c r="O1156" i="1"/>
  <c r="N1156" i="1"/>
  <c r="M1156" i="1"/>
  <c r="L1156" i="1"/>
  <c r="O1155" i="1"/>
  <c r="N1155" i="1"/>
  <c r="M1155" i="1"/>
  <c r="L1155" i="1"/>
  <c r="O1154" i="1"/>
  <c r="N1154" i="1"/>
  <c r="M1154" i="1"/>
  <c r="L1154" i="1"/>
  <c r="O1153" i="1"/>
  <c r="N1153" i="1"/>
  <c r="M1153" i="1"/>
  <c r="L1153" i="1"/>
  <c r="O1152" i="1"/>
  <c r="N1152" i="1"/>
  <c r="M1152" i="1"/>
  <c r="L1152" i="1"/>
  <c r="O1151" i="1"/>
  <c r="N1151" i="1"/>
  <c r="M1151" i="1"/>
  <c r="L1151" i="1"/>
  <c r="O1150" i="1"/>
  <c r="N1150" i="1"/>
  <c r="M1150" i="1"/>
  <c r="L1150" i="1"/>
  <c r="O1149" i="1"/>
  <c r="N1149" i="1"/>
  <c r="M1149" i="1"/>
  <c r="L1149" i="1"/>
  <c r="O1148" i="1"/>
  <c r="N1148" i="1"/>
  <c r="M1148" i="1"/>
  <c r="L1148" i="1"/>
  <c r="O1147" i="1"/>
  <c r="N1147" i="1"/>
  <c r="M1147" i="1"/>
  <c r="L1147" i="1"/>
  <c r="O1146" i="1"/>
  <c r="N1146" i="1"/>
  <c r="M1146" i="1"/>
  <c r="L1146" i="1"/>
  <c r="O1145" i="1"/>
  <c r="N1145" i="1"/>
  <c r="M1145" i="1"/>
  <c r="L1145" i="1"/>
  <c r="O1144" i="1"/>
  <c r="N1144" i="1"/>
  <c r="M1144" i="1"/>
  <c r="L1144" i="1"/>
  <c r="O1143" i="1"/>
  <c r="N1143" i="1"/>
  <c r="M1143" i="1"/>
  <c r="L1143" i="1"/>
  <c r="O1142" i="1"/>
  <c r="N1142" i="1"/>
  <c r="M1142" i="1"/>
  <c r="L1142" i="1"/>
  <c r="O1141" i="1"/>
  <c r="N1141" i="1"/>
  <c r="M1141" i="1"/>
  <c r="L1141" i="1"/>
  <c r="O1140" i="1"/>
  <c r="N1140" i="1"/>
  <c r="M1140" i="1"/>
  <c r="L1140" i="1"/>
  <c r="O1139" i="1"/>
  <c r="N1139" i="1"/>
  <c r="M1139" i="1"/>
  <c r="L1139" i="1"/>
  <c r="O1138" i="1"/>
  <c r="N1138" i="1"/>
  <c r="M1138" i="1"/>
  <c r="L1138" i="1"/>
  <c r="O1137" i="1"/>
  <c r="N1137" i="1"/>
  <c r="M1137" i="1"/>
  <c r="L1137" i="1"/>
  <c r="O1136" i="1"/>
  <c r="N1136" i="1"/>
  <c r="M1136" i="1"/>
  <c r="L1136" i="1"/>
  <c r="O1135" i="1"/>
  <c r="N1135" i="1"/>
  <c r="M1135" i="1"/>
  <c r="L1135" i="1"/>
  <c r="O1134" i="1"/>
  <c r="N1134" i="1"/>
  <c r="M1134" i="1"/>
  <c r="L1134" i="1"/>
  <c r="O1133" i="1"/>
  <c r="N1133" i="1"/>
  <c r="M1133" i="1"/>
  <c r="L1133" i="1"/>
  <c r="O1132" i="1"/>
  <c r="N1132" i="1"/>
  <c r="M1132" i="1"/>
  <c r="L1132" i="1"/>
  <c r="O1131" i="1"/>
  <c r="N1131" i="1"/>
  <c r="M1131" i="1"/>
  <c r="L1131" i="1"/>
  <c r="O1130" i="1"/>
  <c r="N1130" i="1"/>
  <c r="M1130" i="1"/>
  <c r="L1130" i="1"/>
  <c r="O1129" i="1"/>
  <c r="N1129" i="1"/>
  <c r="M1129" i="1"/>
  <c r="L1129" i="1"/>
  <c r="O1128" i="1"/>
  <c r="N1128" i="1"/>
  <c r="M1128" i="1"/>
  <c r="L1128" i="1"/>
  <c r="O1127" i="1"/>
  <c r="N1127" i="1"/>
  <c r="M1127" i="1"/>
  <c r="L1127" i="1"/>
  <c r="O1126" i="1"/>
  <c r="N1126" i="1"/>
  <c r="M1126" i="1"/>
  <c r="L1126" i="1"/>
  <c r="O1125" i="1"/>
  <c r="N1125" i="1"/>
  <c r="M1125" i="1"/>
  <c r="L1125" i="1"/>
  <c r="O1124" i="1"/>
  <c r="N1124" i="1"/>
  <c r="M1124" i="1"/>
  <c r="L1124" i="1"/>
  <c r="O1123" i="1"/>
  <c r="N1123" i="1"/>
  <c r="M1123" i="1"/>
  <c r="L1123" i="1"/>
  <c r="O1122" i="1"/>
  <c r="N1122" i="1"/>
  <c r="M1122" i="1"/>
  <c r="L1122" i="1"/>
  <c r="O1121" i="1"/>
  <c r="N1121" i="1"/>
  <c r="M1121" i="1"/>
  <c r="L1121" i="1"/>
  <c r="O1120" i="1"/>
  <c r="N1120" i="1"/>
  <c r="M1120" i="1"/>
  <c r="L1120" i="1"/>
  <c r="O1119" i="1"/>
  <c r="N1119" i="1"/>
  <c r="M1119" i="1"/>
  <c r="L1119" i="1"/>
  <c r="O1118" i="1"/>
  <c r="N1118" i="1"/>
  <c r="M1118" i="1"/>
  <c r="L1118" i="1"/>
  <c r="O1117" i="1"/>
  <c r="N1117" i="1"/>
  <c r="M1117" i="1"/>
  <c r="L1117" i="1"/>
  <c r="O1116" i="1"/>
  <c r="N1116" i="1"/>
  <c r="M1116" i="1"/>
  <c r="L1116" i="1"/>
  <c r="O1115" i="1"/>
  <c r="N1115" i="1"/>
  <c r="M1115" i="1"/>
  <c r="L1115" i="1"/>
  <c r="O1114" i="1"/>
  <c r="N1114" i="1"/>
  <c r="M1114" i="1"/>
  <c r="L1114" i="1"/>
  <c r="O1113" i="1"/>
  <c r="N1113" i="1"/>
  <c r="M1113" i="1"/>
  <c r="L1113" i="1"/>
  <c r="O1112" i="1"/>
  <c r="N1112" i="1"/>
  <c r="M1112" i="1"/>
  <c r="L1112" i="1"/>
  <c r="O1111" i="1"/>
  <c r="N1111" i="1"/>
  <c r="M1111" i="1"/>
  <c r="L1111" i="1"/>
  <c r="O1110" i="1"/>
  <c r="N1110" i="1"/>
  <c r="M1110" i="1"/>
  <c r="L1110" i="1"/>
  <c r="O1109" i="1"/>
  <c r="N1109" i="1"/>
  <c r="M1109" i="1"/>
  <c r="L1109" i="1"/>
  <c r="O1108" i="1"/>
  <c r="N1108" i="1"/>
  <c r="M1108" i="1"/>
  <c r="L1108" i="1"/>
  <c r="O1107" i="1"/>
  <c r="N1107" i="1"/>
  <c r="M1107" i="1"/>
  <c r="L1107" i="1"/>
  <c r="O1106" i="1"/>
  <c r="N1106" i="1"/>
  <c r="M1106" i="1"/>
  <c r="L1106" i="1"/>
  <c r="O1105" i="1"/>
  <c r="N1105" i="1"/>
  <c r="M1105" i="1"/>
  <c r="L1105" i="1"/>
  <c r="O1104" i="1"/>
  <c r="N1104" i="1"/>
  <c r="M1104" i="1"/>
  <c r="L1104" i="1"/>
  <c r="O1103" i="1"/>
  <c r="N1103" i="1"/>
  <c r="M1103" i="1"/>
  <c r="L1103" i="1"/>
  <c r="O1102" i="1"/>
  <c r="N1102" i="1"/>
  <c r="M1102" i="1"/>
  <c r="L1102" i="1"/>
  <c r="O1101" i="1"/>
  <c r="N1101" i="1"/>
  <c r="M1101" i="1"/>
  <c r="L1101" i="1"/>
  <c r="O1100" i="1"/>
  <c r="N1100" i="1"/>
  <c r="M1100" i="1"/>
  <c r="L1100" i="1"/>
  <c r="O1099" i="1"/>
  <c r="N1099" i="1"/>
  <c r="M1099" i="1"/>
  <c r="L1099" i="1"/>
  <c r="O1098" i="1"/>
  <c r="N1098" i="1"/>
  <c r="M1098" i="1"/>
  <c r="L1098" i="1"/>
  <c r="O1097" i="1"/>
  <c r="N1097" i="1"/>
  <c r="M1097" i="1"/>
  <c r="L1097" i="1"/>
  <c r="O1096" i="1"/>
  <c r="N1096" i="1"/>
  <c r="M1096" i="1"/>
  <c r="L1096" i="1"/>
  <c r="O1095" i="1"/>
  <c r="N1095" i="1"/>
  <c r="M1095" i="1"/>
  <c r="L1095" i="1"/>
  <c r="O1094" i="1"/>
  <c r="N1094" i="1"/>
  <c r="M1094" i="1"/>
  <c r="L1094" i="1"/>
  <c r="O1093" i="1"/>
  <c r="N1093" i="1"/>
  <c r="M1093" i="1"/>
  <c r="L1093" i="1"/>
  <c r="O1092" i="1"/>
  <c r="N1092" i="1"/>
  <c r="M1092" i="1"/>
  <c r="L1092" i="1"/>
  <c r="O1091" i="1"/>
  <c r="N1091" i="1"/>
  <c r="M1091" i="1"/>
  <c r="L1091" i="1"/>
  <c r="O1090" i="1"/>
  <c r="N1090" i="1"/>
  <c r="M1090" i="1"/>
  <c r="L1090" i="1"/>
  <c r="O1089" i="1"/>
  <c r="N1089" i="1"/>
  <c r="M1089" i="1"/>
  <c r="L1089" i="1"/>
  <c r="O1088" i="1"/>
  <c r="N1088" i="1"/>
  <c r="M1088" i="1"/>
  <c r="L1088" i="1"/>
  <c r="O1087" i="1"/>
  <c r="N1087" i="1"/>
  <c r="M1087" i="1"/>
  <c r="L1087" i="1"/>
  <c r="O1086" i="1"/>
  <c r="N1086" i="1"/>
  <c r="M1086" i="1"/>
  <c r="L1086" i="1"/>
  <c r="O1085" i="1"/>
  <c r="N1085" i="1"/>
  <c r="M1085" i="1"/>
  <c r="L1085" i="1"/>
  <c r="O1084" i="1"/>
  <c r="N1084" i="1"/>
  <c r="M1084" i="1"/>
  <c r="L1084" i="1"/>
  <c r="O1083" i="1"/>
  <c r="N1083" i="1"/>
  <c r="M1083" i="1"/>
  <c r="L1083" i="1"/>
  <c r="O1082" i="1"/>
  <c r="N1082" i="1"/>
  <c r="M1082" i="1"/>
  <c r="L1082" i="1"/>
  <c r="O1081" i="1"/>
  <c r="N1081" i="1"/>
  <c r="M1081" i="1"/>
  <c r="L1081" i="1"/>
  <c r="O1080" i="1"/>
  <c r="N1080" i="1"/>
  <c r="M1080" i="1"/>
  <c r="L1080" i="1"/>
  <c r="O1079" i="1"/>
  <c r="N1079" i="1"/>
  <c r="M1079" i="1"/>
  <c r="L1079" i="1"/>
  <c r="O1078" i="1"/>
  <c r="N1078" i="1"/>
  <c r="M1078" i="1"/>
  <c r="L1078" i="1"/>
  <c r="O1077" i="1"/>
  <c r="N1077" i="1"/>
  <c r="M1077" i="1"/>
  <c r="L1077" i="1"/>
  <c r="O1076" i="1"/>
  <c r="N1076" i="1"/>
  <c r="M1076" i="1"/>
  <c r="L1076" i="1"/>
  <c r="O1075" i="1"/>
  <c r="N1075" i="1"/>
  <c r="M1075" i="1"/>
  <c r="L1075" i="1"/>
  <c r="O1074" i="1"/>
  <c r="N1074" i="1"/>
  <c r="M1074" i="1"/>
  <c r="L1074" i="1"/>
  <c r="O1073" i="1"/>
  <c r="N1073" i="1"/>
  <c r="M1073" i="1"/>
  <c r="L1073" i="1"/>
  <c r="O1072" i="1"/>
  <c r="N1072" i="1"/>
  <c r="M1072" i="1"/>
  <c r="L1072" i="1"/>
  <c r="O1071" i="1"/>
  <c r="N1071" i="1"/>
  <c r="M1071" i="1"/>
  <c r="L1071" i="1"/>
  <c r="O1070" i="1"/>
  <c r="N1070" i="1"/>
  <c r="M1070" i="1"/>
  <c r="L1070" i="1"/>
  <c r="O1069" i="1"/>
  <c r="N1069" i="1"/>
  <c r="M1069" i="1"/>
  <c r="L1069" i="1"/>
  <c r="O1068" i="1"/>
  <c r="N1068" i="1"/>
  <c r="M1068" i="1"/>
  <c r="L1068" i="1"/>
  <c r="O1067" i="1"/>
  <c r="N1067" i="1"/>
  <c r="M1067" i="1"/>
  <c r="L1067" i="1"/>
  <c r="O1066" i="1"/>
  <c r="N1066" i="1"/>
  <c r="M1066" i="1"/>
  <c r="L1066" i="1"/>
  <c r="O1065" i="1"/>
  <c r="N1065" i="1"/>
  <c r="M1065" i="1"/>
  <c r="L1065" i="1"/>
  <c r="O1064" i="1"/>
  <c r="N1064" i="1"/>
  <c r="M1064" i="1"/>
  <c r="L1064" i="1"/>
  <c r="O1063" i="1"/>
  <c r="N1063" i="1"/>
  <c r="M1063" i="1"/>
  <c r="L1063" i="1"/>
  <c r="O1062" i="1"/>
  <c r="N1062" i="1"/>
  <c r="M1062" i="1"/>
  <c r="L1062" i="1"/>
  <c r="O1061" i="1"/>
  <c r="N1061" i="1"/>
  <c r="M1061" i="1"/>
  <c r="L1061" i="1"/>
  <c r="O1060" i="1"/>
  <c r="N1060" i="1"/>
  <c r="M1060" i="1"/>
  <c r="L1060" i="1"/>
  <c r="O1059" i="1"/>
  <c r="N1059" i="1"/>
  <c r="M1059" i="1"/>
  <c r="L1059" i="1"/>
  <c r="O1058" i="1"/>
  <c r="N1058" i="1"/>
  <c r="M1058" i="1"/>
  <c r="L1058" i="1"/>
  <c r="O1057" i="1"/>
  <c r="N1057" i="1"/>
  <c r="M1057" i="1"/>
  <c r="L1057" i="1"/>
  <c r="O1056" i="1"/>
  <c r="N1056" i="1"/>
  <c r="M1056" i="1"/>
  <c r="L1056" i="1"/>
  <c r="O1055" i="1"/>
  <c r="N1055" i="1"/>
  <c r="M1055" i="1"/>
  <c r="L1055" i="1"/>
  <c r="O1054" i="1"/>
  <c r="N1054" i="1"/>
  <c r="M1054" i="1"/>
  <c r="L1054" i="1"/>
  <c r="O1053" i="1"/>
  <c r="N1053" i="1"/>
  <c r="M1053" i="1"/>
  <c r="L1053" i="1"/>
  <c r="O1052" i="1"/>
  <c r="N1052" i="1"/>
  <c r="M1052" i="1"/>
  <c r="L1052" i="1"/>
  <c r="O1051" i="1"/>
  <c r="N1051" i="1"/>
  <c r="M1051" i="1"/>
  <c r="L1051" i="1"/>
  <c r="O1050" i="1"/>
  <c r="N1050" i="1"/>
  <c r="M1050" i="1"/>
  <c r="L1050" i="1"/>
  <c r="O1049" i="1"/>
  <c r="N1049" i="1"/>
  <c r="M1049" i="1"/>
  <c r="L1049" i="1"/>
  <c r="O1048" i="1"/>
  <c r="N1048" i="1"/>
  <c r="M1048" i="1"/>
  <c r="L1048" i="1"/>
  <c r="O1047" i="1"/>
  <c r="N1047" i="1"/>
  <c r="M1047" i="1"/>
  <c r="L1047" i="1"/>
  <c r="O1046" i="1"/>
  <c r="N1046" i="1"/>
  <c r="M1046" i="1"/>
  <c r="L1046" i="1"/>
  <c r="O1045" i="1"/>
  <c r="N1045" i="1"/>
  <c r="M1045" i="1"/>
  <c r="L1045" i="1"/>
  <c r="O1044" i="1"/>
  <c r="N1044" i="1"/>
  <c r="M1044" i="1"/>
  <c r="L1044" i="1"/>
  <c r="O1043" i="1"/>
  <c r="N1043" i="1"/>
  <c r="M1043" i="1"/>
  <c r="L1043" i="1"/>
  <c r="O1042" i="1"/>
  <c r="N1042" i="1"/>
  <c r="M1042" i="1"/>
  <c r="L1042" i="1"/>
  <c r="O1041" i="1"/>
  <c r="N1041" i="1"/>
  <c r="M1041" i="1"/>
  <c r="L1041" i="1"/>
  <c r="O1040" i="1"/>
  <c r="N1040" i="1"/>
  <c r="M1040" i="1"/>
  <c r="L1040" i="1"/>
  <c r="O1039" i="1"/>
  <c r="N1039" i="1"/>
  <c r="M1039" i="1"/>
  <c r="L1039" i="1"/>
  <c r="O1038" i="1"/>
  <c r="N1038" i="1"/>
  <c r="M1038" i="1"/>
  <c r="L1038" i="1"/>
  <c r="O1037" i="1"/>
  <c r="N1037" i="1"/>
  <c r="M1037" i="1"/>
  <c r="L1037" i="1"/>
  <c r="O1036" i="1"/>
  <c r="N1036" i="1"/>
  <c r="M1036" i="1"/>
  <c r="L1036" i="1"/>
  <c r="O1035" i="1"/>
  <c r="N1035" i="1"/>
  <c r="M1035" i="1"/>
  <c r="L1035" i="1"/>
  <c r="O1034" i="1"/>
  <c r="N1034" i="1"/>
  <c r="M1034" i="1"/>
  <c r="L1034" i="1"/>
  <c r="O1033" i="1"/>
  <c r="N1033" i="1"/>
  <c r="M1033" i="1"/>
  <c r="L1033" i="1"/>
  <c r="O1032" i="1"/>
  <c r="N1032" i="1"/>
  <c r="M1032" i="1"/>
  <c r="L1032" i="1"/>
  <c r="O1031" i="1"/>
  <c r="N1031" i="1"/>
  <c r="M1031" i="1"/>
  <c r="L1031" i="1"/>
  <c r="O1030" i="1"/>
  <c r="N1030" i="1"/>
  <c r="M1030" i="1"/>
  <c r="L1030" i="1"/>
  <c r="O1029" i="1"/>
  <c r="N1029" i="1"/>
  <c r="M1029" i="1"/>
  <c r="L1029" i="1"/>
  <c r="O1028" i="1"/>
  <c r="N1028" i="1"/>
  <c r="M1028" i="1"/>
  <c r="L1028" i="1"/>
  <c r="O1027" i="1"/>
  <c r="N1027" i="1"/>
  <c r="M1027" i="1"/>
  <c r="L1027" i="1"/>
  <c r="O1026" i="1"/>
  <c r="N1026" i="1"/>
  <c r="M1026" i="1"/>
  <c r="L1026" i="1"/>
  <c r="O1025" i="1"/>
  <c r="N1025" i="1"/>
  <c r="M1025" i="1"/>
  <c r="L1025" i="1"/>
  <c r="O1024" i="1"/>
  <c r="N1024" i="1"/>
  <c r="M1024" i="1"/>
  <c r="L1024" i="1"/>
  <c r="O1023" i="1"/>
  <c r="N1023" i="1"/>
  <c r="M1023" i="1"/>
  <c r="L1023" i="1"/>
  <c r="O1022" i="1"/>
  <c r="N1022" i="1"/>
  <c r="M1022" i="1"/>
  <c r="L1022" i="1"/>
  <c r="O1021" i="1"/>
  <c r="N1021" i="1"/>
  <c r="M1021" i="1"/>
  <c r="L1021" i="1"/>
  <c r="O1020" i="1"/>
  <c r="N1020" i="1"/>
  <c r="M1020" i="1"/>
  <c r="L1020" i="1"/>
  <c r="O1019" i="1"/>
  <c r="N1019" i="1"/>
  <c r="M1019" i="1"/>
  <c r="L1019" i="1"/>
  <c r="O1018" i="1"/>
  <c r="N1018" i="1"/>
  <c r="M1018" i="1"/>
  <c r="L1018" i="1"/>
  <c r="O1017" i="1"/>
  <c r="N1017" i="1"/>
  <c r="M1017" i="1"/>
  <c r="L1017" i="1"/>
  <c r="O1016" i="1"/>
  <c r="N1016" i="1"/>
  <c r="M1016" i="1"/>
  <c r="L1016" i="1"/>
  <c r="O1015" i="1"/>
  <c r="N1015" i="1"/>
  <c r="M1015" i="1"/>
  <c r="L1015" i="1"/>
  <c r="O1014" i="1"/>
  <c r="N1014" i="1"/>
  <c r="M1014" i="1"/>
  <c r="L1014" i="1"/>
  <c r="O1013" i="1"/>
  <c r="N1013" i="1"/>
  <c r="M1013" i="1"/>
  <c r="L1013" i="1"/>
  <c r="O1012" i="1"/>
  <c r="N1012" i="1"/>
  <c r="M1012" i="1"/>
  <c r="L1012" i="1"/>
  <c r="O1011" i="1"/>
  <c r="N1011" i="1"/>
  <c r="M1011" i="1"/>
  <c r="L1011" i="1"/>
  <c r="O1010" i="1"/>
  <c r="N1010" i="1"/>
  <c r="M1010" i="1"/>
  <c r="L1010" i="1"/>
  <c r="O1009" i="1"/>
  <c r="N1009" i="1"/>
  <c r="M1009" i="1"/>
  <c r="L1009" i="1"/>
  <c r="O1008" i="1"/>
  <c r="N1008" i="1"/>
  <c r="M1008" i="1"/>
  <c r="L1008" i="1"/>
  <c r="O1007" i="1"/>
  <c r="N1007" i="1"/>
  <c r="M1007" i="1"/>
  <c r="L1007" i="1"/>
  <c r="O1006" i="1"/>
  <c r="N1006" i="1"/>
  <c r="M1006" i="1"/>
  <c r="L1006" i="1"/>
  <c r="O1005" i="1"/>
  <c r="N1005" i="1"/>
  <c r="M1005" i="1"/>
  <c r="L1005" i="1"/>
  <c r="O1004" i="1"/>
  <c r="N1004" i="1"/>
  <c r="M1004" i="1"/>
  <c r="L1004" i="1"/>
  <c r="O1003" i="1"/>
  <c r="N1003" i="1"/>
  <c r="M1003" i="1"/>
  <c r="L1003" i="1"/>
  <c r="O1002" i="1"/>
  <c r="N1002" i="1"/>
  <c r="M1002" i="1"/>
  <c r="L1002" i="1"/>
  <c r="O1001" i="1"/>
  <c r="N1001" i="1"/>
  <c r="M1001" i="1"/>
  <c r="L1001" i="1"/>
  <c r="O1000" i="1"/>
  <c r="N1000" i="1"/>
  <c r="M1000" i="1"/>
  <c r="L1000" i="1"/>
  <c r="O999" i="1"/>
  <c r="N999" i="1"/>
  <c r="M999" i="1"/>
  <c r="L999" i="1"/>
  <c r="O998" i="1"/>
  <c r="N998" i="1"/>
  <c r="M998" i="1"/>
  <c r="L998" i="1"/>
  <c r="O997" i="1"/>
  <c r="N997" i="1"/>
  <c r="M997" i="1"/>
  <c r="L997" i="1"/>
  <c r="O996" i="1"/>
  <c r="N996" i="1"/>
  <c r="M996" i="1"/>
  <c r="L996" i="1"/>
  <c r="O995" i="1"/>
  <c r="N995" i="1"/>
  <c r="M995" i="1"/>
  <c r="L995" i="1"/>
  <c r="O994" i="1"/>
  <c r="N994" i="1"/>
  <c r="M994" i="1"/>
  <c r="L994" i="1"/>
  <c r="O993" i="1"/>
  <c r="N993" i="1"/>
  <c r="M993" i="1"/>
  <c r="L993" i="1"/>
  <c r="O992" i="1"/>
  <c r="N992" i="1"/>
  <c r="M992" i="1"/>
  <c r="L992" i="1"/>
  <c r="O991" i="1"/>
  <c r="N991" i="1"/>
  <c r="M991" i="1"/>
  <c r="L991" i="1"/>
  <c r="O990" i="1"/>
  <c r="N990" i="1"/>
  <c r="M990" i="1"/>
  <c r="L990" i="1"/>
  <c r="O989" i="1"/>
  <c r="N989" i="1"/>
  <c r="M989" i="1"/>
  <c r="L989" i="1"/>
  <c r="O988" i="1"/>
  <c r="N988" i="1"/>
  <c r="M988" i="1"/>
  <c r="L988" i="1"/>
  <c r="O987" i="1"/>
  <c r="N987" i="1"/>
  <c r="M987" i="1"/>
  <c r="L987" i="1"/>
  <c r="O986" i="1"/>
  <c r="N986" i="1"/>
  <c r="M986" i="1"/>
  <c r="L986" i="1"/>
  <c r="O985" i="1"/>
  <c r="N985" i="1"/>
  <c r="M985" i="1"/>
  <c r="L985" i="1"/>
  <c r="O984" i="1"/>
  <c r="N984" i="1"/>
  <c r="M984" i="1"/>
  <c r="L984" i="1"/>
  <c r="O983" i="1"/>
  <c r="N983" i="1"/>
  <c r="M983" i="1"/>
  <c r="L983" i="1"/>
  <c r="O982" i="1"/>
  <c r="N982" i="1"/>
  <c r="M982" i="1"/>
  <c r="L982" i="1"/>
  <c r="O981" i="1"/>
  <c r="N981" i="1"/>
  <c r="M981" i="1"/>
  <c r="L981" i="1"/>
  <c r="O980" i="1"/>
  <c r="N980" i="1"/>
  <c r="M980" i="1"/>
  <c r="L980" i="1"/>
  <c r="O979" i="1"/>
  <c r="N979" i="1"/>
  <c r="M979" i="1"/>
  <c r="L979" i="1"/>
  <c r="O978" i="1"/>
  <c r="N978" i="1"/>
  <c r="M978" i="1"/>
  <c r="L978" i="1"/>
  <c r="O977" i="1"/>
  <c r="N977" i="1"/>
  <c r="M977" i="1"/>
  <c r="L977" i="1"/>
  <c r="O976" i="1"/>
  <c r="N976" i="1"/>
  <c r="M976" i="1"/>
  <c r="L976" i="1"/>
  <c r="O975" i="1"/>
  <c r="N975" i="1"/>
  <c r="M975" i="1"/>
  <c r="L975" i="1"/>
  <c r="O974" i="1"/>
  <c r="N974" i="1"/>
  <c r="M974" i="1"/>
  <c r="L974" i="1"/>
  <c r="O973" i="1"/>
  <c r="N973" i="1"/>
  <c r="M973" i="1"/>
  <c r="L973" i="1"/>
  <c r="O972" i="1"/>
  <c r="N972" i="1"/>
  <c r="M972" i="1"/>
  <c r="L972" i="1"/>
  <c r="O971" i="1"/>
  <c r="N971" i="1"/>
  <c r="M971" i="1"/>
  <c r="L971" i="1"/>
  <c r="O970" i="1"/>
  <c r="N970" i="1"/>
  <c r="M970" i="1"/>
  <c r="L970" i="1"/>
  <c r="O969" i="1"/>
  <c r="N969" i="1"/>
  <c r="M969" i="1"/>
  <c r="L969" i="1"/>
  <c r="O968" i="1"/>
  <c r="N968" i="1"/>
  <c r="M968" i="1"/>
  <c r="L968" i="1"/>
  <c r="O967" i="1"/>
  <c r="N967" i="1"/>
  <c r="M967" i="1"/>
  <c r="L967" i="1"/>
  <c r="O966" i="1"/>
  <c r="N966" i="1"/>
  <c r="M966" i="1"/>
  <c r="L966" i="1"/>
  <c r="O965" i="1"/>
  <c r="N965" i="1"/>
  <c r="M965" i="1"/>
  <c r="L965" i="1"/>
  <c r="O964" i="1"/>
  <c r="N964" i="1"/>
  <c r="M964" i="1"/>
  <c r="L964" i="1"/>
  <c r="O963" i="1"/>
  <c r="N963" i="1"/>
  <c r="M963" i="1"/>
  <c r="L963" i="1"/>
  <c r="O962" i="1"/>
  <c r="N962" i="1"/>
  <c r="M962" i="1"/>
  <c r="L962" i="1"/>
  <c r="O961" i="1"/>
  <c r="N961" i="1"/>
  <c r="M961" i="1"/>
  <c r="L961" i="1"/>
  <c r="O960" i="1"/>
  <c r="N960" i="1"/>
  <c r="M960" i="1"/>
  <c r="L960" i="1"/>
  <c r="O959" i="1"/>
  <c r="N959" i="1"/>
  <c r="M959" i="1"/>
  <c r="L959" i="1"/>
  <c r="O958" i="1"/>
  <c r="N958" i="1"/>
  <c r="M958" i="1"/>
  <c r="L958" i="1"/>
  <c r="O957" i="1"/>
  <c r="N957" i="1"/>
  <c r="M957" i="1"/>
  <c r="L957" i="1"/>
  <c r="O956" i="1"/>
  <c r="N956" i="1"/>
  <c r="M956" i="1"/>
  <c r="L956" i="1"/>
  <c r="O955" i="1"/>
  <c r="N955" i="1"/>
  <c r="M955" i="1"/>
  <c r="L955" i="1"/>
  <c r="O954" i="1"/>
  <c r="N954" i="1"/>
  <c r="M954" i="1"/>
  <c r="L954" i="1"/>
  <c r="O953" i="1"/>
  <c r="N953" i="1"/>
  <c r="M953" i="1"/>
  <c r="L953" i="1"/>
  <c r="O952" i="1"/>
  <c r="N952" i="1"/>
  <c r="M952" i="1"/>
  <c r="L952" i="1"/>
  <c r="O951" i="1"/>
  <c r="N951" i="1"/>
  <c r="M951" i="1"/>
  <c r="L951" i="1"/>
  <c r="O950" i="1"/>
  <c r="N950" i="1"/>
  <c r="M950" i="1"/>
  <c r="L950" i="1"/>
  <c r="O949" i="1"/>
  <c r="N949" i="1"/>
  <c r="M949" i="1"/>
  <c r="L949" i="1"/>
  <c r="O948" i="1"/>
  <c r="N948" i="1"/>
  <c r="M948" i="1"/>
  <c r="L948" i="1"/>
  <c r="O947" i="1"/>
  <c r="N947" i="1"/>
  <c r="M947" i="1"/>
  <c r="L947" i="1"/>
  <c r="O946" i="1"/>
  <c r="N946" i="1"/>
  <c r="M946" i="1"/>
  <c r="L946" i="1"/>
  <c r="O945" i="1"/>
  <c r="N945" i="1"/>
  <c r="M945" i="1"/>
  <c r="L945" i="1"/>
  <c r="O944" i="1"/>
  <c r="N944" i="1"/>
  <c r="M944" i="1"/>
  <c r="L944" i="1"/>
  <c r="O943" i="1"/>
  <c r="N943" i="1"/>
  <c r="M943" i="1"/>
  <c r="L943" i="1"/>
  <c r="O942" i="1"/>
  <c r="N942" i="1"/>
  <c r="M942" i="1"/>
  <c r="L942" i="1"/>
  <c r="O941" i="1"/>
  <c r="N941" i="1"/>
  <c r="M941" i="1"/>
  <c r="L941" i="1"/>
  <c r="O940" i="1"/>
  <c r="N940" i="1"/>
  <c r="M940" i="1"/>
  <c r="L940" i="1"/>
  <c r="O939" i="1"/>
  <c r="N939" i="1"/>
  <c r="M939" i="1"/>
  <c r="L939" i="1"/>
  <c r="O938" i="1"/>
  <c r="N938" i="1"/>
  <c r="M938" i="1"/>
  <c r="L938" i="1"/>
  <c r="O937" i="1"/>
  <c r="N937" i="1"/>
  <c r="M937" i="1"/>
  <c r="L937" i="1"/>
  <c r="O936" i="1"/>
  <c r="N936" i="1"/>
  <c r="M936" i="1"/>
  <c r="L936" i="1"/>
  <c r="O935" i="1"/>
  <c r="N935" i="1"/>
  <c r="M935" i="1"/>
  <c r="L935" i="1"/>
  <c r="O934" i="1"/>
  <c r="N934" i="1"/>
  <c r="M934" i="1"/>
  <c r="L934" i="1"/>
  <c r="O933" i="1"/>
  <c r="N933" i="1"/>
  <c r="M933" i="1"/>
  <c r="L933" i="1"/>
  <c r="O932" i="1"/>
  <c r="N932" i="1"/>
  <c r="M932" i="1"/>
  <c r="L932" i="1"/>
  <c r="O931" i="1"/>
  <c r="N931" i="1"/>
  <c r="M931" i="1"/>
  <c r="L931" i="1"/>
  <c r="O930" i="1"/>
  <c r="N930" i="1"/>
  <c r="M930" i="1"/>
  <c r="L930" i="1"/>
  <c r="O929" i="1"/>
  <c r="N929" i="1"/>
  <c r="M929" i="1"/>
  <c r="L929" i="1"/>
  <c r="O928" i="1"/>
  <c r="N928" i="1"/>
  <c r="M928" i="1"/>
  <c r="L928" i="1"/>
  <c r="O927" i="1"/>
  <c r="N927" i="1"/>
  <c r="M927" i="1"/>
  <c r="L927" i="1"/>
  <c r="O926" i="1"/>
  <c r="N926" i="1"/>
  <c r="M926" i="1"/>
  <c r="L926" i="1"/>
  <c r="O925" i="1"/>
  <c r="N925" i="1"/>
  <c r="M925" i="1"/>
  <c r="L925" i="1"/>
  <c r="O924" i="1"/>
  <c r="N924" i="1"/>
  <c r="M924" i="1"/>
  <c r="L924" i="1"/>
  <c r="O923" i="1"/>
  <c r="N923" i="1"/>
  <c r="M923" i="1"/>
  <c r="L923" i="1"/>
  <c r="O922" i="1"/>
  <c r="N922" i="1"/>
  <c r="M922" i="1"/>
  <c r="L922" i="1"/>
  <c r="O921" i="1"/>
  <c r="N921" i="1"/>
  <c r="M921" i="1"/>
  <c r="L921" i="1"/>
  <c r="O920" i="1"/>
  <c r="N920" i="1"/>
  <c r="M920" i="1"/>
  <c r="L920" i="1"/>
  <c r="O919" i="1"/>
  <c r="N919" i="1"/>
  <c r="M919" i="1"/>
  <c r="L919" i="1"/>
  <c r="O918" i="1"/>
  <c r="N918" i="1"/>
  <c r="M918" i="1"/>
  <c r="L918" i="1"/>
  <c r="O917" i="1"/>
  <c r="N917" i="1"/>
  <c r="M917" i="1"/>
  <c r="L917" i="1"/>
  <c r="O916" i="1"/>
  <c r="N916" i="1"/>
  <c r="M916" i="1"/>
  <c r="L916" i="1"/>
  <c r="O915" i="1"/>
  <c r="N915" i="1"/>
  <c r="M915" i="1"/>
  <c r="L915" i="1"/>
  <c r="O914" i="1"/>
  <c r="N914" i="1"/>
  <c r="M914" i="1"/>
  <c r="L914" i="1"/>
  <c r="O913" i="1"/>
  <c r="N913" i="1"/>
  <c r="M913" i="1"/>
  <c r="L913" i="1"/>
  <c r="O912" i="1"/>
  <c r="N912" i="1"/>
  <c r="M912" i="1"/>
  <c r="L912" i="1"/>
  <c r="O911" i="1"/>
  <c r="N911" i="1"/>
  <c r="M911" i="1"/>
  <c r="L911" i="1"/>
  <c r="O910" i="1"/>
  <c r="N910" i="1"/>
  <c r="M910" i="1"/>
  <c r="L910" i="1"/>
  <c r="O909" i="1"/>
  <c r="N909" i="1"/>
  <c r="M909" i="1"/>
  <c r="L909" i="1"/>
  <c r="O908" i="1"/>
  <c r="N908" i="1"/>
  <c r="M908" i="1"/>
  <c r="L908" i="1"/>
  <c r="O907" i="1"/>
  <c r="N907" i="1"/>
  <c r="M907" i="1"/>
  <c r="L907" i="1"/>
  <c r="O906" i="1"/>
  <c r="N906" i="1"/>
  <c r="M906" i="1"/>
  <c r="L906" i="1"/>
  <c r="O905" i="1"/>
  <c r="N905" i="1"/>
  <c r="M905" i="1"/>
  <c r="L905" i="1"/>
  <c r="O904" i="1"/>
  <c r="N904" i="1"/>
  <c r="M904" i="1"/>
  <c r="L904" i="1"/>
  <c r="O903" i="1"/>
  <c r="N903" i="1"/>
  <c r="M903" i="1"/>
  <c r="L903" i="1"/>
  <c r="O902" i="1"/>
  <c r="N902" i="1"/>
  <c r="M902" i="1"/>
  <c r="L902" i="1"/>
  <c r="O901" i="1"/>
  <c r="N901" i="1"/>
  <c r="M901" i="1"/>
  <c r="L901" i="1"/>
  <c r="O900" i="1"/>
  <c r="N900" i="1"/>
  <c r="M900" i="1"/>
  <c r="L900" i="1"/>
  <c r="O899" i="1"/>
  <c r="N899" i="1"/>
  <c r="M899" i="1"/>
  <c r="L899" i="1"/>
  <c r="O898" i="1"/>
  <c r="N898" i="1"/>
  <c r="M898" i="1"/>
  <c r="L898" i="1"/>
  <c r="O897" i="1"/>
  <c r="N897" i="1"/>
  <c r="M897" i="1"/>
  <c r="L897" i="1"/>
  <c r="O896" i="1"/>
  <c r="N896" i="1"/>
  <c r="M896" i="1"/>
  <c r="L896" i="1"/>
  <c r="O895" i="1"/>
  <c r="N895" i="1"/>
  <c r="M895" i="1"/>
  <c r="L895" i="1"/>
  <c r="O894" i="1"/>
  <c r="N894" i="1"/>
  <c r="M894" i="1"/>
  <c r="L894" i="1"/>
  <c r="O893" i="1"/>
  <c r="N893" i="1"/>
  <c r="M893" i="1"/>
  <c r="L893" i="1"/>
  <c r="O892" i="1"/>
  <c r="N892" i="1"/>
  <c r="M892" i="1"/>
  <c r="L892" i="1"/>
  <c r="O891" i="1"/>
  <c r="N891" i="1"/>
  <c r="M891" i="1"/>
  <c r="L891" i="1"/>
  <c r="O890" i="1"/>
  <c r="N890" i="1"/>
  <c r="M890" i="1"/>
  <c r="L890" i="1"/>
  <c r="O889" i="1"/>
  <c r="N889" i="1"/>
  <c r="M889" i="1"/>
  <c r="L889" i="1"/>
  <c r="O888" i="1"/>
  <c r="N888" i="1"/>
  <c r="M888" i="1"/>
  <c r="L888" i="1"/>
  <c r="O887" i="1"/>
  <c r="N887" i="1"/>
  <c r="M887" i="1"/>
  <c r="L887" i="1"/>
  <c r="O886" i="1"/>
  <c r="N886" i="1"/>
  <c r="M886" i="1"/>
  <c r="L886" i="1"/>
  <c r="O885" i="1"/>
  <c r="N885" i="1"/>
  <c r="M885" i="1"/>
  <c r="L885" i="1"/>
  <c r="O884" i="1"/>
  <c r="N884" i="1"/>
  <c r="M884" i="1"/>
  <c r="L884" i="1"/>
  <c r="O883" i="1"/>
  <c r="N883" i="1"/>
  <c r="M883" i="1"/>
  <c r="L883" i="1"/>
  <c r="O882" i="1"/>
  <c r="N882" i="1"/>
  <c r="M882" i="1"/>
  <c r="L882" i="1"/>
  <c r="O881" i="1"/>
  <c r="N881" i="1"/>
  <c r="M881" i="1"/>
  <c r="L881" i="1"/>
  <c r="O880" i="1"/>
  <c r="N880" i="1"/>
  <c r="M880" i="1"/>
  <c r="L880" i="1"/>
  <c r="O879" i="1"/>
  <c r="N879" i="1"/>
  <c r="M879" i="1"/>
  <c r="L879" i="1"/>
  <c r="O878" i="1"/>
  <c r="N878" i="1"/>
  <c r="M878" i="1"/>
  <c r="L878" i="1"/>
  <c r="O877" i="1"/>
  <c r="N877" i="1"/>
  <c r="M877" i="1"/>
  <c r="L877" i="1"/>
  <c r="O876" i="1"/>
  <c r="N876" i="1"/>
  <c r="M876" i="1"/>
  <c r="L876" i="1"/>
  <c r="O875" i="1"/>
  <c r="N875" i="1"/>
  <c r="M875" i="1"/>
  <c r="L875" i="1"/>
  <c r="O874" i="1"/>
  <c r="N874" i="1"/>
  <c r="M874" i="1"/>
  <c r="L874" i="1"/>
  <c r="O873" i="1"/>
  <c r="N873" i="1"/>
  <c r="M873" i="1"/>
  <c r="L873" i="1"/>
  <c r="O872" i="1"/>
  <c r="N872" i="1"/>
  <c r="M872" i="1"/>
  <c r="L872" i="1"/>
  <c r="O871" i="1"/>
  <c r="N871" i="1"/>
  <c r="M871" i="1"/>
  <c r="L871" i="1"/>
  <c r="O870" i="1"/>
  <c r="N870" i="1"/>
  <c r="M870" i="1"/>
  <c r="L870" i="1"/>
  <c r="O869" i="1"/>
  <c r="N869" i="1"/>
  <c r="M869" i="1"/>
  <c r="L869" i="1"/>
  <c r="O868" i="1"/>
  <c r="N868" i="1"/>
  <c r="M868" i="1"/>
  <c r="L868" i="1"/>
  <c r="O867" i="1"/>
  <c r="N867" i="1"/>
  <c r="M867" i="1"/>
  <c r="L867" i="1"/>
  <c r="O866" i="1"/>
  <c r="N866" i="1"/>
  <c r="M866" i="1"/>
  <c r="L866" i="1"/>
  <c r="O865" i="1"/>
  <c r="N865" i="1"/>
  <c r="M865" i="1"/>
  <c r="L865" i="1"/>
  <c r="O864" i="1"/>
  <c r="N864" i="1"/>
  <c r="M864" i="1"/>
  <c r="L864" i="1"/>
  <c r="O863" i="1"/>
  <c r="N863" i="1"/>
  <c r="M863" i="1"/>
  <c r="L863" i="1"/>
  <c r="O862" i="1"/>
  <c r="N862" i="1"/>
  <c r="M862" i="1"/>
  <c r="L862" i="1"/>
  <c r="O861" i="1"/>
  <c r="N861" i="1"/>
  <c r="M861" i="1"/>
  <c r="L861" i="1"/>
  <c r="O860" i="1"/>
  <c r="N860" i="1"/>
  <c r="M860" i="1"/>
  <c r="L860" i="1"/>
  <c r="O859" i="1"/>
  <c r="N859" i="1"/>
  <c r="M859" i="1"/>
  <c r="L859" i="1"/>
  <c r="O858" i="1"/>
  <c r="N858" i="1"/>
  <c r="M858" i="1"/>
  <c r="L858" i="1"/>
  <c r="O857" i="1"/>
  <c r="N857" i="1"/>
  <c r="M857" i="1"/>
  <c r="L857" i="1"/>
  <c r="O856" i="1"/>
  <c r="N856" i="1"/>
  <c r="M856" i="1"/>
  <c r="L856" i="1"/>
  <c r="O855" i="1"/>
  <c r="N855" i="1"/>
  <c r="M855" i="1"/>
  <c r="L855" i="1"/>
  <c r="O854" i="1"/>
  <c r="N854" i="1"/>
  <c r="M854" i="1"/>
  <c r="L854" i="1"/>
  <c r="O853" i="1"/>
  <c r="N853" i="1"/>
  <c r="M853" i="1"/>
  <c r="L853" i="1"/>
  <c r="O852" i="1"/>
  <c r="N852" i="1"/>
  <c r="M852" i="1"/>
  <c r="L852" i="1"/>
  <c r="O851" i="1"/>
  <c r="N851" i="1"/>
  <c r="M851" i="1"/>
  <c r="L851" i="1"/>
  <c r="O850" i="1"/>
  <c r="N850" i="1"/>
  <c r="M850" i="1"/>
  <c r="L850" i="1"/>
  <c r="O849" i="1"/>
  <c r="N849" i="1"/>
  <c r="M849" i="1"/>
  <c r="L849" i="1"/>
  <c r="O848" i="1"/>
  <c r="N848" i="1"/>
  <c r="M848" i="1"/>
  <c r="L848" i="1"/>
  <c r="O847" i="1"/>
  <c r="N847" i="1"/>
  <c r="M847" i="1"/>
  <c r="L847" i="1"/>
  <c r="O846" i="1"/>
  <c r="N846" i="1"/>
  <c r="M846" i="1"/>
  <c r="L846" i="1"/>
  <c r="O845" i="1"/>
  <c r="N845" i="1"/>
  <c r="M845" i="1"/>
  <c r="L845" i="1"/>
  <c r="O844" i="1"/>
  <c r="N844" i="1"/>
  <c r="M844" i="1"/>
  <c r="L844" i="1"/>
  <c r="O843" i="1"/>
  <c r="N843" i="1"/>
  <c r="M843" i="1"/>
  <c r="L843" i="1"/>
  <c r="O842" i="1"/>
  <c r="N842" i="1"/>
  <c r="M842" i="1"/>
  <c r="L842" i="1"/>
  <c r="O841" i="1"/>
  <c r="N841" i="1"/>
  <c r="M841" i="1"/>
  <c r="L841" i="1"/>
  <c r="O840" i="1"/>
  <c r="N840" i="1"/>
  <c r="M840" i="1"/>
  <c r="L840" i="1"/>
  <c r="O839" i="1"/>
  <c r="N839" i="1"/>
  <c r="M839" i="1"/>
  <c r="L839" i="1"/>
  <c r="O838" i="1"/>
  <c r="N838" i="1"/>
  <c r="M838" i="1"/>
  <c r="L838" i="1"/>
  <c r="O837" i="1"/>
  <c r="N837" i="1"/>
  <c r="M837" i="1"/>
  <c r="L837" i="1"/>
  <c r="O836" i="1"/>
  <c r="N836" i="1"/>
  <c r="M836" i="1"/>
  <c r="L836" i="1"/>
  <c r="O835" i="1"/>
  <c r="N835" i="1"/>
  <c r="M835" i="1"/>
  <c r="L835" i="1"/>
  <c r="O834" i="1"/>
  <c r="N834" i="1"/>
  <c r="M834" i="1"/>
  <c r="L834" i="1"/>
  <c r="O833" i="1"/>
  <c r="N833" i="1"/>
  <c r="M833" i="1"/>
  <c r="L833" i="1"/>
  <c r="O832" i="1"/>
  <c r="N832" i="1"/>
  <c r="M832" i="1"/>
  <c r="L832" i="1"/>
  <c r="O831" i="1"/>
  <c r="N831" i="1"/>
  <c r="M831" i="1"/>
  <c r="L831" i="1"/>
  <c r="O830" i="1"/>
  <c r="N830" i="1"/>
  <c r="M830" i="1"/>
  <c r="L830" i="1"/>
  <c r="O829" i="1"/>
  <c r="N829" i="1"/>
  <c r="M829" i="1"/>
  <c r="L829" i="1"/>
  <c r="O828" i="1"/>
  <c r="N828" i="1"/>
  <c r="M828" i="1"/>
  <c r="L828" i="1"/>
  <c r="O827" i="1"/>
  <c r="N827" i="1"/>
  <c r="M827" i="1"/>
  <c r="L827" i="1"/>
  <c r="O826" i="1"/>
  <c r="N826" i="1"/>
  <c r="M826" i="1"/>
  <c r="L826" i="1"/>
  <c r="O825" i="1"/>
  <c r="N825" i="1"/>
  <c r="M825" i="1"/>
  <c r="L825" i="1"/>
  <c r="O824" i="1"/>
  <c r="N824" i="1"/>
  <c r="M824" i="1"/>
  <c r="L824" i="1"/>
  <c r="O823" i="1"/>
  <c r="N823" i="1"/>
  <c r="M823" i="1"/>
  <c r="L823" i="1"/>
  <c r="O822" i="1"/>
  <c r="N822" i="1"/>
  <c r="M822" i="1"/>
  <c r="L822" i="1"/>
  <c r="O821" i="1"/>
  <c r="N821" i="1"/>
  <c r="M821" i="1"/>
  <c r="L821" i="1"/>
  <c r="O820" i="1"/>
  <c r="N820" i="1"/>
  <c r="M820" i="1"/>
  <c r="L820" i="1"/>
  <c r="O819" i="1"/>
  <c r="N819" i="1"/>
  <c r="M819" i="1"/>
  <c r="L819" i="1"/>
  <c r="O818" i="1"/>
  <c r="N818" i="1"/>
  <c r="M818" i="1"/>
  <c r="L818" i="1"/>
  <c r="O817" i="1"/>
  <c r="N817" i="1"/>
  <c r="M817" i="1"/>
  <c r="L817" i="1"/>
  <c r="O816" i="1"/>
  <c r="N816" i="1"/>
  <c r="M816" i="1"/>
  <c r="L816" i="1"/>
  <c r="O815" i="1"/>
  <c r="N815" i="1"/>
  <c r="M815" i="1"/>
  <c r="L815" i="1"/>
  <c r="O814" i="1"/>
  <c r="N814" i="1"/>
  <c r="M814" i="1"/>
  <c r="L814" i="1"/>
  <c r="O813" i="1"/>
  <c r="N813" i="1"/>
  <c r="M813" i="1"/>
  <c r="L813" i="1"/>
  <c r="O812" i="1"/>
  <c r="N812" i="1"/>
  <c r="M812" i="1"/>
  <c r="L812" i="1"/>
  <c r="O811" i="1"/>
  <c r="N811" i="1"/>
  <c r="M811" i="1"/>
  <c r="L811" i="1"/>
  <c r="O810" i="1"/>
  <c r="N810" i="1"/>
  <c r="M810" i="1"/>
  <c r="L810" i="1"/>
  <c r="O809" i="1"/>
  <c r="N809" i="1"/>
  <c r="M809" i="1"/>
  <c r="L809" i="1"/>
  <c r="O808" i="1"/>
  <c r="N808" i="1"/>
  <c r="M808" i="1"/>
  <c r="L808" i="1"/>
  <c r="O807" i="1"/>
  <c r="N807" i="1"/>
  <c r="M807" i="1"/>
  <c r="L807" i="1"/>
  <c r="O806" i="1"/>
  <c r="N806" i="1"/>
  <c r="M806" i="1"/>
  <c r="L806" i="1"/>
  <c r="O805" i="1"/>
  <c r="N805" i="1"/>
  <c r="M805" i="1"/>
  <c r="L805" i="1"/>
  <c r="O804" i="1"/>
  <c r="N804" i="1"/>
  <c r="M804" i="1"/>
  <c r="L804" i="1"/>
  <c r="O803" i="1"/>
  <c r="N803" i="1"/>
  <c r="M803" i="1"/>
  <c r="L803" i="1"/>
  <c r="O802" i="1"/>
  <c r="N802" i="1"/>
  <c r="M802" i="1"/>
  <c r="L802" i="1"/>
  <c r="O801" i="1"/>
  <c r="N801" i="1"/>
  <c r="M801" i="1"/>
  <c r="L801" i="1"/>
  <c r="O800" i="1"/>
  <c r="N800" i="1"/>
  <c r="M800" i="1"/>
  <c r="L800" i="1"/>
  <c r="O799" i="1"/>
  <c r="N799" i="1"/>
  <c r="M799" i="1"/>
  <c r="L799" i="1"/>
  <c r="O798" i="1"/>
  <c r="N798" i="1"/>
  <c r="M798" i="1"/>
  <c r="L798" i="1"/>
  <c r="O797" i="1"/>
  <c r="N797" i="1"/>
  <c r="M797" i="1"/>
  <c r="L797" i="1"/>
  <c r="O796" i="1"/>
  <c r="N796" i="1"/>
  <c r="M796" i="1"/>
  <c r="L796" i="1"/>
  <c r="O795" i="1"/>
  <c r="N795" i="1"/>
  <c r="M795" i="1"/>
  <c r="L795" i="1"/>
  <c r="O794" i="1"/>
  <c r="N794" i="1"/>
  <c r="M794" i="1"/>
  <c r="L794" i="1"/>
  <c r="O793" i="1"/>
  <c r="N793" i="1"/>
  <c r="M793" i="1"/>
  <c r="L793" i="1"/>
  <c r="O792" i="1"/>
  <c r="N792" i="1"/>
  <c r="M792" i="1"/>
  <c r="L792" i="1"/>
  <c r="O791" i="1"/>
  <c r="N791" i="1"/>
  <c r="M791" i="1"/>
  <c r="L791" i="1"/>
  <c r="O790" i="1"/>
  <c r="N790" i="1"/>
  <c r="M790" i="1"/>
  <c r="L790" i="1"/>
  <c r="O789" i="1"/>
  <c r="N789" i="1"/>
  <c r="M789" i="1"/>
  <c r="L789" i="1"/>
  <c r="O788" i="1"/>
  <c r="N788" i="1"/>
  <c r="M788" i="1"/>
  <c r="L788" i="1"/>
  <c r="O787" i="1"/>
  <c r="N787" i="1"/>
  <c r="M787" i="1"/>
  <c r="L787" i="1"/>
  <c r="O786" i="1"/>
  <c r="N786" i="1"/>
  <c r="M786" i="1"/>
  <c r="L786" i="1"/>
  <c r="O785" i="1"/>
  <c r="N785" i="1"/>
  <c r="M785" i="1"/>
  <c r="L785" i="1"/>
  <c r="O784" i="1"/>
  <c r="N784" i="1"/>
  <c r="M784" i="1"/>
  <c r="L784" i="1"/>
  <c r="O783" i="1"/>
  <c r="N783" i="1"/>
  <c r="M783" i="1"/>
  <c r="L783" i="1"/>
  <c r="O782" i="1"/>
  <c r="N782" i="1"/>
  <c r="M782" i="1"/>
  <c r="L782" i="1"/>
  <c r="O781" i="1"/>
  <c r="N781" i="1"/>
  <c r="M781" i="1"/>
  <c r="L781" i="1"/>
  <c r="O780" i="1"/>
  <c r="N780" i="1"/>
  <c r="M780" i="1"/>
  <c r="L780" i="1"/>
  <c r="O779" i="1"/>
  <c r="N779" i="1"/>
  <c r="M779" i="1"/>
  <c r="L779" i="1"/>
  <c r="O778" i="1"/>
  <c r="N778" i="1"/>
  <c r="M778" i="1"/>
  <c r="L778" i="1"/>
  <c r="O777" i="1"/>
  <c r="N777" i="1"/>
  <c r="M777" i="1"/>
  <c r="L777" i="1"/>
  <c r="O776" i="1"/>
  <c r="N776" i="1"/>
  <c r="M776" i="1"/>
  <c r="L776" i="1"/>
  <c r="O775" i="1"/>
  <c r="N775" i="1"/>
  <c r="M775" i="1"/>
  <c r="L775" i="1"/>
  <c r="O774" i="1"/>
  <c r="N774" i="1"/>
  <c r="M774" i="1"/>
  <c r="L774" i="1"/>
  <c r="O773" i="1"/>
  <c r="N773" i="1"/>
  <c r="M773" i="1"/>
  <c r="L773" i="1"/>
  <c r="O772" i="1"/>
  <c r="N772" i="1"/>
  <c r="M772" i="1"/>
  <c r="L772" i="1"/>
  <c r="O771" i="1"/>
  <c r="N771" i="1"/>
  <c r="M771" i="1"/>
  <c r="L771" i="1"/>
  <c r="O770" i="1"/>
  <c r="N770" i="1"/>
  <c r="M770" i="1"/>
  <c r="L770" i="1"/>
  <c r="O769" i="1"/>
  <c r="N769" i="1"/>
  <c r="M769" i="1"/>
  <c r="L769" i="1"/>
  <c r="O768" i="1"/>
  <c r="N768" i="1"/>
  <c r="M768" i="1"/>
  <c r="L768" i="1"/>
  <c r="O767" i="1"/>
  <c r="N767" i="1"/>
  <c r="M767" i="1"/>
  <c r="L767" i="1"/>
  <c r="O766" i="1"/>
  <c r="N766" i="1"/>
  <c r="M766" i="1"/>
  <c r="L766" i="1"/>
  <c r="O765" i="1"/>
  <c r="N765" i="1"/>
  <c r="M765" i="1"/>
  <c r="L765" i="1"/>
  <c r="O764" i="1"/>
  <c r="N764" i="1"/>
  <c r="M764" i="1"/>
  <c r="L764" i="1"/>
  <c r="O763" i="1"/>
  <c r="N763" i="1"/>
  <c r="M763" i="1"/>
  <c r="L763" i="1"/>
  <c r="O762" i="1"/>
  <c r="N762" i="1"/>
  <c r="M762" i="1"/>
  <c r="L762" i="1"/>
  <c r="O761" i="1"/>
  <c r="N761" i="1"/>
  <c r="M761" i="1"/>
  <c r="L761" i="1"/>
  <c r="O760" i="1"/>
  <c r="N760" i="1"/>
  <c r="M760" i="1"/>
  <c r="L760" i="1"/>
  <c r="O759" i="1"/>
  <c r="N759" i="1"/>
  <c r="M759" i="1"/>
  <c r="L759" i="1"/>
  <c r="O758" i="1"/>
  <c r="N758" i="1"/>
  <c r="M758" i="1"/>
  <c r="L758" i="1"/>
  <c r="O757" i="1"/>
  <c r="N757" i="1"/>
  <c r="M757" i="1"/>
  <c r="L757" i="1"/>
  <c r="O756" i="1"/>
  <c r="N756" i="1"/>
  <c r="M756" i="1"/>
  <c r="L756" i="1"/>
  <c r="O755" i="1"/>
  <c r="N755" i="1"/>
  <c r="M755" i="1"/>
  <c r="L755" i="1"/>
  <c r="O754" i="1"/>
  <c r="N754" i="1"/>
  <c r="M754" i="1"/>
  <c r="L754" i="1"/>
  <c r="O753" i="1"/>
  <c r="N753" i="1"/>
  <c r="M753" i="1"/>
  <c r="L753" i="1"/>
  <c r="O752" i="1"/>
  <c r="N752" i="1"/>
  <c r="M752" i="1"/>
  <c r="L752" i="1"/>
  <c r="O751" i="1"/>
  <c r="N751" i="1"/>
  <c r="M751" i="1"/>
  <c r="L751" i="1"/>
  <c r="O750" i="1"/>
  <c r="N750" i="1"/>
  <c r="M750" i="1"/>
  <c r="L750" i="1"/>
  <c r="O749" i="1"/>
  <c r="N749" i="1"/>
  <c r="M749" i="1"/>
  <c r="L749" i="1"/>
  <c r="O748" i="1"/>
  <c r="N748" i="1"/>
  <c r="M748" i="1"/>
  <c r="L748" i="1"/>
  <c r="O747" i="1"/>
  <c r="N747" i="1"/>
  <c r="M747" i="1"/>
  <c r="L747" i="1"/>
  <c r="O746" i="1"/>
  <c r="N746" i="1"/>
  <c r="M746" i="1"/>
  <c r="L746" i="1"/>
  <c r="O745" i="1"/>
  <c r="N745" i="1"/>
  <c r="M745" i="1"/>
  <c r="L745" i="1"/>
  <c r="O744" i="1"/>
  <c r="N744" i="1"/>
  <c r="M744" i="1"/>
  <c r="L744" i="1"/>
  <c r="O743" i="1"/>
  <c r="N743" i="1"/>
  <c r="M743" i="1"/>
  <c r="L743" i="1"/>
  <c r="O742" i="1"/>
  <c r="N742" i="1"/>
  <c r="M742" i="1"/>
  <c r="L742" i="1"/>
  <c r="O741" i="1"/>
  <c r="N741" i="1"/>
  <c r="M741" i="1"/>
  <c r="L741" i="1"/>
  <c r="O740" i="1"/>
  <c r="N740" i="1"/>
  <c r="M740" i="1"/>
  <c r="L740" i="1"/>
  <c r="O739" i="1"/>
  <c r="N739" i="1"/>
  <c r="M739" i="1"/>
  <c r="L739" i="1"/>
  <c r="O738" i="1"/>
  <c r="N738" i="1"/>
  <c r="M738" i="1"/>
  <c r="L738" i="1"/>
  <c r="O737" i="1"/>
  <c r="N737" i="1"/>
  <c r="M737" i="1"/>
  <c r="L737" i="1"/>
  <c r="O736" i="1"/>
  <c r="N736" i="1"/>
  <c r="M736" i="1"/>
  <c r="L736" i="1"/>
  <c r="O735" i="1"/>
  <c r="N735" i="1"/>
  <c r="M735" i="1"/>
  <c r="L735" i="1"/>
  <c r="O734" i="1"/>
  <c r="N734" i="1"/>
  <c r="M734" i="1"/>
  <c r="L734" i="1"/>
  <c r="O733" i="1"/>
  <c r="N733" i="1"/>
  <c r="M733" i="1"/>
  <c r="L733" i="1"/>
  <c r="O732" i="1"/>
  <c r="N732" i="1"/>
  <c r="M732" i="1"/>
  <c r="L732" i="1"/>
  <c r="O731" i="1"/>
  <c r="N731" i="1"/>
  <c r="M731" i="1"/>
  <c r="L731" i="1"/>
  <c r="O730" i="1"/>
  <c r="N730" i="1"/>
  <c r="M730" i="1"/>
  <c r="L730" i="1"/>
  <c r="O729" i="1"/>
  <c r="N729" i="1"/>
  <c r="M729" i="1"/>
  <c r="L729" i="1"/>
  <c r="O728" i="1"/>
  <c r="N728" i="1"/>
  <c r="M728" i="1"/>
  <c r="L728" i="1"/>
  <c r="O727" i="1"/>
  <c r="N727" i="1"/>
  <c r="M727" i="1"/>
  <c r="L727" i="1"/>
  <c r="O726" i="1"/>
  <c r="N726" i="1"/>
  <c r="M726" i="1"/>
  <c r="L726" i="1"/>
  <c r="O725" i="1"/>
  <c r="N725" i="1"/>
  <c r="M725" i="1"/>
  <c r="L725" i="1"/>
  <c r="O724" i="1"/>
  <c r="N724" i="1"/>
  <c r="M724" i="1"/>
  <c r="L724" i="1"/>
  <c r="O723" i="1"/>
  <c r="N723" i="1"/>
  <c r="M723" i="1"/>
  <c r="L723" i="1"/>
  <c r="O722" i="1"/>
  <c r="N722" i="1"/>
  <c r="M722" i="1"/>
  <c r="L722" i="1"/>
  <c r="O721" i="1"/>
  <c r="N721" i="1"/>
  <c r="M721" i="1"/>
  <c r="L721" i="1"/>
  <c r="O720" i="1"/>
  <c r="N720" i="1"/>
  <c r="M720" i="1"/>
  <c r="L720" i="1"/>
  <c r="O719" i="1"/>
  <c r="N719" i="1"/>
  <c r="M719" i="1"/>
  <c r="L719" i="1"/>
  <c r="O718" i="1"/>
  <c r="N718" i="1"/>
  <c r="M718" i="1"/>
  <c r="L718" i="1"/>
  <c r="O717" i="1"/>
  <c r="N717" i="1"/>
  <c r="M717" i="1"/>
  <c r="L717" i="1"/>
  <c r="O716" i="1"/>
  <c r="N716" i="1"/>
  <c r="M716" i="1"/>
  <c r="L716" i="1"/>
  <c r="O715" i="1"/>
  <c r="N715" i="1"/>
  <c r="M715" i="1"/>
  <c r="L715" i="1"/>
  <c r="O714" i="1"/>
  <c r="N714" i="1"/>
  <c r="M714" i="1"/>
  <c r="L714" i="1"/>
  <c r="O713" i="1"/>
  <c r="N713" i="1"/>
  <c r="M713" i="1"/>
  <c r="L713" i="1"/>
  <c r="O712" i="1"/>
  <c r="N712" i="1"/>
  <c r="M712" i="1"/>
  <c r="L712" i="1"/>
  <c r="O711" i="1"/>
  <c r="N711" i="1"/>
  <c r="M711" i="1"/>
  <c r="L711" i="1"/>
  <c r="O710" i="1"/>
  <c r="N710" i="1"/>
  <c r="M710" i="1"/>
  <c r="L710" i="1"/>
  <c r="O709" i="1"/>
  <c r="N709" i="1"/>
  <c r="M709" i="1"/>
  <c r="L709" i="1"/>
  <c r="O708" i="1"/>
  <c r="N708" i="1"/>
  <c r="M708" i="1"/>
  <c r="L708" i="1"/>
  <c r="O707" i="1"/>
  <c r="N707" i="1"/>
  <c r="M707" i="1"/>
  <c r="L707" i="1"/>
  <c r="O706" i="1"/>
  <c r="N706" i="1"/>
  <c r="M706" i="1"/>
  <c r="L706" i="1"/>
  <c r="O705" i="1"/>
  <c r="N705" i="1"/>
  <c r="M705" i="1"/>
  <c r="L705" i="1"/>
  <c r="O704" i="1"/>
  <c r="N704" i="1"/>
  <c r="M704" i="1"/>
  <c r="L704" i="1"/>
  <c r="O703" i="1"/>
  <c r="N703" i="1"/>
  <c r="M703" i="1"/>
  <c r="L703" i="1"/>
  <c r="O702" i="1"/>
  <c r="N702" i="1"/>
  <c r="M702" i="1"/>
  <c r="L702" i="1"/>
  <c r="O701" i="1"/>
  <c r="N701" i="1"/>
  <c r="M701" i="1"/>
  <c r="L701" i="1"/>
  <c r="O700" i="1"/>
  <c r="N700" i="1"/>
  <c r="M700" i="1"/>
  <c r="L700" i="1"/>
  <c r="O699" i="1"/>
  <c r="N699" i="1"/>
  <c r="M699" i="1"/>
  <c r="L699" i="1"/>
  <c r="O698" i="1"/>
  <c r="N698" i="1"/>
  <c r="M698" i="1"/>
  <c r="L698" i="1"/>
  <c r="O697" i="1"/>
  <c r="N697" i="1"/>
  <c r="M697" i="1"/>
  <c r="L697" i="1"/>
  <c r="O696" i="1"/>
  <c r="N696" i="1"/>
  <c r="M696" i="1"/>
  <c r="L696" i="1"/>
  <c r="O695" i="1"/>
  <c r="N695" i="1"/>
  <c r="M695" i="1"/>
  <c r="L695" i="1"/>
  <c r="O694" i="1"/>
  <c r="N694" i="1"/>
  <c r="M694" i="1"/>
  <c r="L694" i="1"/>
  <c r="O693" i="1"/>
  <c r="N693" i="1"/>
  <c r="M693" i="1"/>
  <c r="L693" i="1"/>
  <c r="O692" i="1"/>
  <c r="N692" i="1"/>
  <c r="M692" i="1"/>
  <c r="L692" i="1"/>
  <c r="O691" i="1"/>
  <c r="N691" i="1"/>
  <c r="M691" i="1"/>
  <c r="L691" i="1"/>
  <c r="O690" i="1"/>
  <c r="N690" i="1"/>
  <c r="M690" i="1"/>
  <c r="L690" i="1"/>
  <c r="O689" i="1"/>
  <c r="N689" i="1"/>
  <c r="M689" i="1"/>
  <c r="L689" i="1"/>
  <c r="O688" i="1"/>
  <c r="N688" i="1"/>
  <c r="M688" i="1"/>
  <c r="L688" i="1"/>
  <c r="O687" i="1"/>
  <c r="N687" i="1"/>
  <c r="M687" i="1"/>
  <c r="L687" i="1"/>
  <c r="O686" i="1"/>
  <c r="N686" i="1"/>
  <c r="M686" i="1"/>
  <c r="L686" i="1"/>
  <c r="O685" i="1"/>
  <c r="N685" i="1"/>
  <c r="M685" i="1"/>
  <c r="L685" i="1"/>
  <c r="O684" i="1"/>
  <c r="N684" i="1"/>
  <c r="M684" i="1"/>
  <c r="L684" i="1"/>
  <c r="O683" i="1"/>
  <c r="N683" i="1"/>
  <c r="M683" i="1"/>
  <c r="L683" i="1"/>
  <c r="O682" i="1"/>
  <c r="N682" i="1"/>
  <c r="M682" i="1"/>
  <c r="L682" i="1"/>
  <c r="O681" i="1"/>
  <c r="N681" i="1"/>
  <c r="M681" i="1"/>
  <c r="L681" i="1"/>
  <c r="O680" i="1"/>
  <c r="N680" i="1"/>
  <c r="M680" i="1"/>
  <c r="L680" i="1"/>
  <c r="O679" i="1"/>
  <c r="N679" i="1"/>
  <c r="M679" i="1"/>
  <c r="L679" i="1"/>
  <c r="O678" i="1"/>
  <c r="N678" i="1"/>
  <c r="M678" i="1"/>
  <c r="L678" i="1"/>
  <c r="O677" i="1"/>
  <c r="N677" i="1"/>
  <c r="M677" i="1"/>
  <c r="L677" i="1"/>
  <c r="O676" i="1"/>
  <c r="N676" i="1"/>
  <c r="M676" i="1"/>
  <c r="L676" i="1"/>
  <c r="O675" i="1"/>
  <c r="N675" i="1"/>
  <c r="M675" i="1"/>
  <c r="L675" i="1"/>
  <c r="O674" i="1"/>
  <c r="N674" i="1"/>
  <c r="M674" i="1"/>
  <c r="L674" i="1"/>
  <c r="O673" i="1"/>
  <c r="N673" i="1"/>
  <c r="M673" i="1"/>
  <c r="L673" i="1"/>
  <c r="O672" i="1"/>
  <c r="N672" i="1"/>
  <c r="M672" i="1"/>
  <c r="L672" i="1"/>
  <c r="O671" i="1"/>
  <c r="N671" i="1"/>
  <c r="M671" i="1"/>
  <c r="L671" i="1"/>
  <c r="O670" i="1"/>
  <c r="N670" i="1"/>
  <c r="M670" i="1"/>
  <c r="L670" i="1"/>
  <c r="O669" i="1"/>
  <c r="N669" i="1"/>
  <c r="M669" i="1"/>
  <c r="L669" i="1"/>
  <c r="O668" i="1"/>
  <c r="N668" i="1"/>
  <c r="M668" i="1"/>
  <c r="L668" i="1"/>
  <c r="O667" i="1"/>
  <c r="N667" i="1"/>
  <c r="M667" i="1"/>
  <c r="L667" i="1"/>
  <c r="O666" i="1"/>
  <c r="N666" i="1"/>
  <c r="M666" i="1"/>
  <c r="L666" i="1"/>
  <c r="O665" i="1"/>
  <c r="N665" i="1"/>
  <c r="M665" i="1"/>
  <c r="L665" i="1"/>
  <c r="O664" i="1"/>
  <c r="N664" i="1"/>
  <c r="M664" i="1"/>
  <c r="L664" i="1"/>
  <c r="O663" i="1"/>
  <c r="N663" i="1"/>
  <c r="M663" i="1"/>
  <c r="L663" i="1"/>
  <c r="O662" i="1"/>
  <c r="N662" i="1"/>
  <c r="M662" i="1"/>
  <c r="L662" i="1"/>
  <c r="O661" i="1"/>
  <c r="N661" i="1"/>
  <c r="M661" i="1"/>
  <c r="L661" i="1"/>
  <c r="O660" i="1"/>
  <c r="N660" i="1"/>
  <c r="M660" i="1"/>
  <c r="L660" i="1"/>
  <c r="O659" i="1"/>
  <c r="N659" i="1"/>
  <c r="M659" i="1"/>
  <c r="L659" i="1"/>
  <c r="O658" i="1"/>
  <c r="N658" i="1"/>
  <c r="M658" i="1"/>
  <c r="L658" i="1"/>
  <c r="O657" i="1"/>
  <c r="N657" i="1"/>
  <c r="M657" i="1"/>
  <c r="L657" i="1"/>
  <c r="O656" i="1"/>
  <c r="N656" i="1"/>
  <c r="M656" i="1"/>
  <c r="L656" i="1"/>
  <c r="O655" i="1"/>
  <c r="N655" i="1"/>
  <c r="M655" i="1"/>
  <c r="L655" i="1"/>
  <c r="O654" i="1"/>
  <c r="N654" i="1"/>
  <c r="M654" i="1"/>
  <c r="L654" i="1"/>
  <c r="O653" i="1"/>
  <c r="N653" i="1"/>
  <c r="M653" i="1"/>
  <c r="L653" i="1"/>
  <c r="O652" i="1"/>
  <c r="N652" i="1"/>
  <c r="M652" i="1"/>
  <c r="L652" i="1"/>
  <c r="O651" i="1"/>
  <c r="N651" i="1"/>
  <c r="M651" i="1"/>
  <c r="L651" i="1"/>
  <c r="O650" i="1"/>
  <c r="N650" i="1"/>
  <c r="M650" i="1"/>
  <c r="L650" i="1"/>
  <c r="O649" i="1"/>
  <c r="N649" i="1"/>
  <c r="M649" i="1"/>
  <c r="L649" i="1"/>
  <c r="O648" i="1"/>
  <c r="N648" i="1"/>
  <c r="M648" i="1"/>
  <c r="L648" i="1"/>
  <c r="O647" i="1"/>
  <c r="N647" i="1"/>
  <c r="M647" i="1"/>
  <c r="L647" i="1"/>
  <c r="O646" i="1"/>
  <c r="N646" i="1"/>
  <c r="M646" i="1"/>
  <c r="L646" i="1"/>
  <c r="O645" i="1"/>
  <c r="N645" i="1"/>
  <c r="M645" i="1"/>
  <c r="L645" i="1"/>
  <c r="O644" i="1"/>
  <c r="N644" i="1"/>
  <c r="M644" i="1"/>
  <c r="L644" i="1"/>
  <c r="O643" i="1"/>
  <c r="N643" i="1"/>
  <c r="M643" i="1"/>
  <c r="L643" i="1"/>
  <c r="O642" i="1"/>
  <c r="N642" i="1"/>
  <c r="M642" i="1"/>
  <c r="L642" i="1"/>
  <c r="O641" i="1"/>
  <c r="N641" i="1"/>
  <c r="M641" i="1"/>
  <c r="L641" i="1"/>
  <c r="O640" i="1"/>
  <c r="N640" i="1"/>
  <c r="M640" i="1"/>
  <c r="L640" i="1"/>
  <c r="O639" i="1"/>
  <c r="N639" i="1"/>
  <c r="M639" i="1"/>
  <c r="L639" i="1"/>
  <c r="O638" i="1"/>
  <c r="N638" i="1"/>
  <c r="M638" i="1"/>
  <c r="L638" i="1"/>
  <c r="O637" i="1"/>
  <c r="N637" i="1"/>
  <c r="M637" i="1"/>
  <c r="L637" i="1"/>
  <c r="O636" i="1"/>
  <c r="N636" i="1"/>
  <c r="M636" i="1"/>
  <c r="L636" i="1"/>
  <c r="O635" i="1"/>
  <c r="N635" i="1"/>
  <c r="M635" i="1"/>
  <c r="L635" i="1"/>
  <c r="O634" i="1"/>
  <c r="N634" i="1"/>
  <c r="M634" i="1"/>
  <c r="L634" i="1"/>
  <c r="O633" i="1"/>
  <c r="N633" i="1"/>
  <c r="M633" i="1"/>
  <c r="L633" i="1"/>
  <c r="O632" i="1"/>
  <c r="N632" i="1"/>
  <c r="M632" i="1"/>
  <c r="L632" i="1"/>
  <c r="O631" i="1"/>
  <c r="N631" i="1"/>
  <c r="M631" i="1"/>
  <c r="L631" i="1"/>
  <c r="O630" i="1"/>
  <c r="N630" i="1"/>
  <c r="M630" i="1"/>
  <c r="L630" i="1"/>
  <c r="O629" i="1"/>
  <c r="N629" i="1"/>
  <c r="M629" i="1"/>
  <c r="L629" i="1"/>
  <c r="O628" i="1"/>
  <c r="N628" i="1"/>
  <c r="M628" i="1"/>
  <c r="L628" i="1"/>
  <c r="O627" i="1"/>
  <c r="N627" i="1"/>
  <c r="M627" i="1"/>
  <c r="L627" i="1"/>
  <c r="O626" i="1"/>
  <c r="N626" i="1"/>
  <c r="M626" i="1"/>
  <c r="L626" i="1"/>
  <c r="O625" i="1"/>
  <c r="N625" i="1"/>
  <c r="M625" i="1"/>
  <c r="L625" i="1"/>
  <c r="O624" i="1"/>
  <c r="N624" i="1"/>
  <c r="M624" i="1"/>
  <c r="L624" i="1"/>
  <c r="O623" i="1"/>
  <c r="N623" i="1"/>
  <c r="M623" i="1"/>
  <c r="L623" i="1"/>
  <c r="O622" i="1"/>
  <c r="N622" i="1"/>
  <c r="M622" i="1"/>
  <c r="L622" i="1"/>
  <c r="O621" i="1"/>
  <c r="N621" i="1"/>
  <c r="M621" i="1"/>
  <c r="L621" i="1"/>
  <c r="O620" i="1"/>
  <c r="N620" i="1"/>
  <c r="M620" i="1"/>
  <c r="L620" i="1"/>
  <c r="O619" i="1"/>
  <c r="N619" i="1"/>
  <c r="M619" i="1"/>
  <c r="L619" i="1"/>
  <c r="O618" i="1"/>
  <c r="N618" i="1"/>
  <c r="M618" i="1"/>
  <c r="L618" i="1"/>
  <c r="O617" i="1"/>
  <c r="N617" i="1"/>
  <c r="M617" i="1"/>
  <c r="L617" i="1"/>
  <c r="O616" i="1"/>
  <c r="N616" i="1"/>
  <c r="M616" i="1"/>
  <c r="L616" i="1"/>
  <c r="O615" i="1"/>
  <c r="N615" i="1"/>
  <c r="M615" i="1"/>
  <c r="L615" i="1"/>
  <c r="O614" i="1"/>
  <c r="N614" i="1"/>
  <c r="M614" i="1"/>
  <c r="L614" i="1"/>
  <c r="O613" i="1"/>
  <c r="N613" i="1"/>
  <c r="M613" i="1"/>
  <c r="L613" i="1"/>
  <c r="O612" i="1"/>
  <c r="N612" i="1"/>
  <c r="M612" i="1"/>
  <c r="L612" i="1"/>
  <c r="O611" i="1"/>
  <c r="N611" i="1"/>
  <c r="M611" i="1"/>
  <c r="L611" i="1"/>
  <c r="O610" i="1"/>
  <c r="N610" i="1"/>
  <c r="M610" i="1"/>
  <c r="L610" i="1"/>
  <c r="O609" i="1"/>
  <c r="N609" i="1"/>
  <c r="M609" i="1"/>
  <c r="L609" i="1"/>
  <c r="O608" i="1"/>
  <c r="N608" i="1"/>
  <c r="M608" i="1"/>
  <c r="L608" i="1"/>
  <c r="O607" i="1"/>
  <c r="N607" i="1"/>
  <c r="M607" i="1"/>
  <c r="L607" i="1"/>
  <c r="O606" i="1"/>
  <c r="N606" i="1"/>
  <c r="M606" i="1"/>
  <c r="L606" i="1"/>
  <c r="O605" i="1"/>
  <c r="N605" i="1"/>
  <c r="M605" i="1"/>
  <c r="L605" i="1"/>
  <c r="O604" i="1"/>
  <c r="N604" i="1"/>
  <c r="M604" i="1"/>
  <c r="L604" i="1"/>
  <c r="O603" i="1"/>
  <c r="N603" i="1"/>
  <c r="M603" i="1"/>
  <c r="L603" i="1"/>
  <c r="O602" i="1"/>
  <c r="N602" i="1"/>
  <c r="M602" i="1"/>
  <c r="L602" i="1"/>
  <c r="O601" i="1"/>
  <c r="N601" i="1"/>
  <c r="M601" i="1"/>
  <c r="L601" i="1"/>
  <c r="O600" i="1"/>
  <c r="N600" i="1"/>
  <c r="M600" i="1"/>
  <c r="L600" i="1"/>
  <c r="O599" i="1"/>
  <c r="N599" i="1"/>
  <c r="M599" i="1"/>
  <c r="L599" i="1"/>
  <c r="O598" i="1"/>
  <c r="N598" i="1"/>
  <c r="M598" i="1"/>
  <c r="L598" i="1"/>
  <c r="O597" i="1"/>
  <c r="N597" i="1"/>
  <c r="M597" i="1"/>
  <c r="L597" i="1"/>
  <c r="O596" i="1"/>
  <c r="N596" i="1"/>
  <c r="M596" i="1"/>
  <c r="L596" i="1"/>
  <c r="O595" i="1"/>
  <c r="N595" i="1"/>
  <c r="M595" i="1"/>
  <c r="L595" i="1"/>
  <c r="O594" i="1"/>
  <c r="N594" i="1"/>
  <c r="M594" i="1"/>
  <c r="L594" i="1"/>
  <c r="O593" i="1"/>
  <c r="N593" i="1"/>
  <c r="M593" i="1"/>
  <c r="L593" i="1"/>
  <c r="O592" i="1"/>
  <c r="N592" i="1"/>
  <c r="M592" i="1"/>
  <c r="L592" i="1"/>
  <c r="O591" i="1"/>
  <c r="N591" i="1"/>
  <c r="M591" i="1"/>
  <c r="L591" i="1"/>
  <c r="O590" i="1"/>
  <c r="N590" i="1"/>
  <c r="M590" i="1"/>
  <c r="L590" i="1"/>
  <c r="O589" i="1"/>
  <c r="N589" i="1"/>
  <c r="M589" i="1"/>
  <c r="L589" i="1"/>
  <c r="O588" i="1"/>
  <c r="N588" i="1"/>
  <c r="M588" i="1"/>
  <c r="L588" i="1"/>
  <c r="O587" i="1"/>
  <c r="N587" i="1"/>
  <c r="M587" i="1"/>
  <c r="L587" i="1"/>
  <c r="O586" i="1"/>
  <c r="N586" i="1"/>
  <c r="M586" i="1"/>
  <c r="L586" i="1"/>
  <c r="O585" i="1"/>
  <c r="N585" i="1"/>
  <c r="M585" i="1"/>
  <c r="L585" i="1"/>
  <c r="O584" i="1"/>
  <c r="N584" i="1"/>
  <c r="M584" i="1"/>
  <c r="L584" i="1"/>
  <c r="O583" i="1"/>
  <c r="N583" i="1"/>
  <c r="M583" i="1"/>
  <c r="L583" i="1"/>
  <c r="O582" i="1"/>
  <c r="N582" i="1"/>
  <c r="M582" i="1"/>
  <c r="L582" i="1"/>
  <c r="O581" i="1"/>
  <c r="N581" i="1"/>
  <c r="M581" i="1"/>
  <c r="L581" i="1"/>
  <c r="O580" i="1"/>
  <c r="N580" i="1"/>
  <c r="M580" i="1"/>
  <c r="L580" i="1"/>
  <c r="O579" i="1"/>
  <c r="N579" i="1"/>
  <c r="M579" i="1"/>
  <c r="L579" i="1"/>
  <c r="O578" i="1"/>
  <c r="N578" i="1"/>
  <c r="M578" i="1"/>
  <c r="L578" i="1"/>
  <c r="O577" i="1"/>
  <c r="N577" i="1"/>
  <c r="M577" i="1"/>
  <c r="L577" i="1"/>
  <c r="O576" i="1"/>
  <c r="N576" i="1"/>
  <c r="M576" i="1"/>
  <c r="L576" i="1"/>
  <c r="O575" i="1"/>
  <c r="N575" i="1"/>
  <c r="M575" i="1"/>
  <c r="L575" i="1"/>
  <c r="O574" i="1"/>
  <c r="N574" i="1"/>
  <c r="M574" i="1"/>
  <c r="L574" i="1"/>
  <c r="O573" i="1"/>
  <c r="N573" i="1"/>
  <c r="M573" i="1"/>
  <c r="L573" i="1"/>
  <c r="O572" i="1"/>
  <c r="N572" i="1"/>
  <c r="M572" i="1"/>
  <c r="L572" i="1"/>
  <c r="O571" i="1"/>
  <c r="N571" i="1"/>
  <c r="M571" i="1"/>
  <c r="L571" i="1"/>
  <c r="O570" i="1"/>
  <c r="N570" i="1"/>
  <c r="M570" i="1"/>
  <c r="L570" i="1"/>
  <c r="O569" i="1"/>
  <c r="N569" i="1"/>
  <c r="M569" i="1"/>
  <c r="L569" i="1"/>
  <c r="O568" i="1"/>
  <c r="N568" i="1"/>
  <c r="M568" i="1"/>
  <c r="L568" i="1"/>
  <c r="O567" i="1"/>
  <c r="N567" i="1"/>
  <c r="M567" i="1"/>
  <c r="L567" i="1"/>
  <c r="O566" i="1"/>
  <c r="N566" i="1"/>
  <c r="M566" i="1"/>
  <c r="L566" i="1"/>
  <c r="O565" i="1"/>
  <c r="N565" i="1"/>
  <c r="M565" i="1"/>
  <c r="L565" i="1"/>
  <c r="O564" i="1"/>
  <c r="N564" i="1"/>
  <c r="M564" i="1"/>
  <c r="L564" i="1"/>
  <c r="O563" i="1"/>
  <c r="N563" i="1"/>
  <c r="M563" i="1"/>
  <c r="L563" i="1"/>
  <c r="O562" i="1"/>
  <c r="N562" i="1"/>
  <c r="M562" i="1"/>
  <c r="L562" i="1"/>
  <c r="O561" i="1"/>
  <c r="N561" i="1"/>
  <c r="M561" i="1"/>
  <c r="L561" i="1"/>
  <c r="O560" i="1"/>
  <c r="N560" i="1"/>
  <c r="M560" i="1"/>
  <c r="L560" i="1"/>
  <c r="O559" i="1"/>
  <c r="N559" i="1"/>
  <c r="M559" i="1"/>
  <c r="L559" i="1"/>
  <c r="O558" i="1"/>
  <c r="N558" i="1"/>
  <c r="M558" i="1"/>
  <c r="L558" i="1"/>
  <c r="O557" i="1"/>
  <c r="N557" i="1"/>
  <c r="M557" i="1"/>
  <c r="L557" i="1"/>
  <c r="O556" i="1"/>
  <c r="N556" i="1"/>
  <c r="M556" i="1"/>
  <c r="L556" i="1"/>
  <c r="O555" i="1"/>
  <c r="N555" i="1"/>
  <c r="M555" i="1"/>
  <c r="L555" i="1"/>
  <c r="O554" i="1"/>
  <c r="N554" i="1"/>
  <c r="M554" i="1"/>
  <c r="L554" i="1"/>
  <c r="O553" i="1"/>
  <c r="N553" i="1"/>
  <c r="M553" i="1"/>
  <c r="L553" i="1"/>
  <c r="O552" i="1"/>
  <c r="N552" i="1"/>
  <c r="M552" i="1"/>
  <c r="L552" i="1"/>
  <c r="O551" i="1"/>
  <c r="N551" i="1"/>
  <c r="M551" i="1"/>
  <c r="L551" i="1"/>
  <c r="O550" i="1"/>
  <c r="N550" i="1"/>
  <c r="M550" i="1"/>
  <c r="L550" i="1"/>
  <c r="O549" i="1"/>
  <c r="N549" i="1"/>
  <c r="M549" i="1"/>
  <c r="L549" i="1"/>
  <c r="O548" i="1"/>
  <c r="N548" i="1"/>
  <c r="M548" i="1"/>
  <c r="L548" i="1"/>
  <c r="O547" i="1"/>
  <c r="N547" i="1"/>
  <c r="M547" i="1"/>
  <c r="L547" i="1"/>
  <c r="O546" i="1"/>
  <c r="N546" i="1"/>
  <c r="M546" i="1"/>
  <c r="L546" i="1"/>
  <c r="O545" i="1"/>
  <c r="N545" i="1"/>
  <c r="M545" i="1"/>
  <c r="L545" i="1"/>
  <c r="O544" i="1"/>
  <c r="N544" i="1"/>
  <c r="M544" i="1"/>
  <c r="L544" i="1"/>
  <c r="O543" i="1"/>
  <c r="N543" i="1"/>
  <c r="M543" i="1"/>
  <c r="L543" i="1"/>
  <c r="O542" i="1"/>
  <c r="N542" i="1"/>
  <c r="M542" i="1"/>
  <c r="L542" i="1"/>
  <c r="O541" i="1"/>
  <c r="N541" i="1"/>
  <c r="M541" i="1"/>
  <c r="L541" i="1"/>
  <c r="O540" i="1"/>
  <c r="N540" i="1"/>
  <c r="M540" i="1"/>
  <c r="L540" i="1"/>
  <c r="O539" i="1"/>
  <c r="N539" i="1"/>
  <c r="M539" i="1"/>
  <c r="L539" i="1"/>
  <c r="O538" i="1"/>
  <c r="N538" i="1"/>
  <c r="M538" i="1"/>
  <c r="L538" i="1"/>
  <c r="O537" i="1"/>
  <c r="N537" i="1"/>
  <c r="M537" i="1"/>
  <c r="L537" i="1"/>
  <c r="O536" i="1"/>
  <c r="N536" i="1"/>
  <c r="M536" i="1"/>
  <c r="L536" i="1"/>
  <c r="O535" i="1"/>
  <c r="N535" i="1"/>
  <c r="M535" i="1"/>
  <c r="L535" i="1"/>
  <c r="O534" i="1"/>
  <c r="N534" i="1"/>
  <c r="M534" i="1"/>
  <c r="L534" i="1"/>
  <c r="O533" i="1"/>
  <c r="N533" i="1"/>
  <c r="M533" i="1"/>
  <c r="L533" i="1"/>
  <c r="O532" i="1"/>
  <c r="N532" i="1"/>
  <c r="M532" i="1"/>
  <c r="L532" i="1"/>
  <c r="O531" i="1"/>
  <c r="N531" i="1"/>
  <c r="M531" i="1"/>
  <c r="L531" i="1"/>
  <c r="O530" i="1"/>
  <c r="N530" i="1"/>
  <c r="M530" i="1"/>
  <c r="L530" i="1"/>
  <c r="O529" i="1"/>
  <c r="N529" i="1"/>
  <c r="M529" i="1"/>
  <c r="L529" i="1"/>
  <c r="O528" i="1"/>
  <c r="N528" i="1"/>
  <c r="M528" i="1"/>
  <c r="L528" i="1"/>
  <c r="O527" i="1"/>
  <c r="N527" i="1"/>
  <c r="M527" i="1"/>
  <c r="L527" i="1"/>
  <c r="O526" i="1"/>
  <c r="N526" i="1"/>
  <c r="M526" i="1"/>
  <c r="L526" i="1"/>
  <c r="O525" i="1"/>
  <c r="N525" i="1"/>
  <c r="M525" i="1"/>
  <c r="L525" i="1"/>
  <c r="O524" i="1"/>
  <c r="N524" i="1"/>
  <c r="M524" i="1"/>
  <c r="L524" i="1"/>
  <c r="O523" i="1"/>
  <c r="N523" i="1"/>
  <c r="M523" i="1"/>
  <c r="L523" i="1"/>
  <c r="O522" i="1"/>
  <c r="N522" i="1"/>
  <c r="M522" i="1"/>
  <c r="L522" i="1"/>
  <c r="O521" i="1"/>
  <c r="N521" i="1"/>
  <c r="M521" i="1"/>
  <c r="L521" i="1"/>
  <c r="O520" i="1"/>
  <c r="N520" i="1"/>
  <c r="M520" i="1"/>
  <c r="L520" i="1"/>
  <c r="O519" i="1"/>
  <c r="N519" i="1"/>
  <c r="M519" i="1"/>
  <c r="L519" i="1"/>
  <c r="O518" i="1"/>
  <c r="N518" i="1"/>
  <c r="M518" i="1"/>
  <c r="L518" i="1"/>
  <c r="O517" i="1"/>
  <c r="N517" i="1"/>
  <c r="M517" i="1"/>
  <c r="L517" i="1"/>
  <c r="O516" i="1"/>
  <c r="N516" i="1"/>
  <c r="M516" i="1"/>
  <c r="L516" i="1"/>
  <c r="O515" i="1"/>
  <c r="N515" i="1"/>
  <c r="M515" i="1"/>
  <c r="L515" i="1"/>
  <c r="O514" i="1"/>
  <c r="N514" i="1"/>
  <c r="M514" i="1"/>
  <c r="L514" i="1"/>
  <c r="O513" i="1"/>
  <c r="N513" i="1"/>
  <c r="M513" i="1"/>
  <c r="L513" i="1"/>
  <c r="O512" i="1"/>
  <c r="N512" i="1"/>
  <c r="M512" i="1"/>
  <c r="L512" i="1"/>
  <c r="O511" i="1"/>
  <c r="N511" i="1"/>
  <c r="M511" i="1"/>
  <c r="L511" i="1"/>
  <c r="O510" i="1"/>
  <c r="N510" i="1"/>
  <c r="M510" i="1"/>
  <c r="L510" i="1"/>
  <c r="O509" i="1"/>
  <c r="N509" i="1"/>
  <c r="M509" i="1"/>
  <c r="L509" i="1"/>
  <c r="O508" i="1"/>
  <c r="N508" i="1"/>
  <c r="M508" i="1"/>
  <c r="L508" i="1"/>
  <c r="O507" i="1"/>
  <c r="N507" i="1"/>
  <c r="M507" i="1"/>
  <c r="L507" i="1"/>
  <c r="O506" i="1"/>
  <c r="N506" i="1"/>
  <c r="M506" i="1"/>
  <c r="L506" i="1"/>
  <c r="O505" i="1"/>
  <c r="N505" i="1"/>
  <c r="M505" i="1"/>
  <c r="L505" i="1"/>
  <c r="O504" i="1"/>
  <c r="N504" i="1"/>
  <c r="M504" i="1"/>
  <c r="L504" i="1"/>
  <c r="O503" i="1"/>
  <c r="N503" i="1"/>
  <c r="M503" i="1"/>
  <c r="L503" i="1"/>
  <c r="O502" i="1"/>
  <c r="N502" i="1"/>
  <c r="M502" i="1"/>
  <c r="L502" i="1"/>
  <c r="O501" i="1"/>
  <c r="N501" i="1"/>
  <c r="M501" i="1"/>
  <c r="L501" i="1"/>
  <c r="O500" i="1"/>
  <c r="N500" i="1"/>
  <c r="M500" i="1"/>
  <c r="L500" i="1"/>
  <c r="O499" i="1"/>
  <c r="N499" i="1"/>
  <c r="M499" i="1"/>
  <c r="L499" i="1"/>
  <c r="O498" i="1"/>
  <c r="N498" i="1"/>
  <c r="M498" i="1"/>
  <c r="L498" i="1"/>
  <c r="O497" i="1"/>
  <c r="N497" i="1"/>
  <c r="M497" i="1"/>
  <c r="L497" i="1"/>
  <c r="O496" i="1"/>
  <c r="N496" i="1"/>
  <c r="M496" i="1"/>
  <c r="L496" i="1"/>
  <c r="O495" i="1"/>
  <c r="N495" i="1"/>
  <c r="M495" i="1"/>
  <c r="L495" i="1"/>
  <c r="O494" i="1"/>
  <c r="N494" i="1"/>
  <c r="M494" i="1"/>
  <c r="L494" i="1"/>
  <c r="O493" i="1"/>
  <c r="N493" i="1"/>
  <c r="M493" i="1"/>
  <c r="L493" i="1"/>
  <c r="O492" i="1"/>
  <c r="N492" i="1"/>
  <c r="M492" i="1"/>
  <c r="L492" i="1"/>
  <c r="O491" i="1"/>
  <c r="N491" i="1"/>
  <c r="M491" i="1"/>
  <c r="L491" i="1"/>
  <c r="O490" i="1"/>
  <c r="N490" i="1"/>
  <c r="M490" i="1"/>
  <c r="L490" i="1"/>
  <c r="O489" i="1"/>
  <c r="N489" i="1"/>
  <c r="M489" i="1"/>
  <c r="L489" i="1"/>
  <c r="O488" i="1"/>
  <c r="N488" i="1"/>
  <c r="M488" i="1"/>
  <c r="L488" i="1"/>
  <c r="O487" i="1"/>
  <c r="N487" i="1"/>
  <c r="M487" i="1"/>
  <c r="L487" i="1"/>
  <c r="O486" i="1"/>
  <c r="N486" i="1"/>
  <c r="M486" i="1"/>
  <c r="L486" i="1"/>
  <c r="O485" i="1"/>
  <c r="N485" i="1"/>
  <c r="M485" i="1"/>
  <c r="L485" i="1"/>
  <c r="O484" i="1"/>
  <c r="N484" i="1"/>
  <c r="M484" i="1"/>
  <c r="L484" i="1"/>
  <c r="O483" i="1"/>
  <c r="N483" i="1"/>
  <c r="M483" i="1"/>
  <c r="L483" i="1"/>
  <c r="O482" i="1"/>
  <c r="N482" i="1"/>
  <c r="M482" i="1"/>
  <c r="L482" i="1"/>
  <c r="O481" i="1"/>
  <c r="N481" i="1"/>
  <c r="M481" i="1"/>
  <c r="L481" i="1"/>
  <c r="O480" i="1"/>
  <c r="N480" i="1"/>
  <c r="M480" i="1"/>
  <c r="L480" i="1"/>
  <c r="O479" i="1"/>
  <c r="N479" i="1"/>
  <c r="M479" i="1"/>
  <c r="L479" i="1"/>
  <c r="O478" i="1"/>
  <c r="N478" i="1"/>
  <c r="M478" i="1"/>
  <c r="L478" i="1"/>
  <c r="O477" i="1"/>
  <c r="N477" i="1"/>
  <c r="M477" i="1"/>
  <c r="L477" i="1"/>
  <c r="O476" i="1"/>
  <c r="N476" i="1"/>
  <c r="M476" i="1"/>
  <c r="L476" i="1"/>
  <c r="O475" i="1"/>
  <c r="N475" i="1"/>
  <c r="M475" i="1"/>
  <c r="L475" i="1"/>
  <c r="O474" i="1"/>
  <c r="N474" i="1"/>
  <c r="M474" i="1"/>
  <c r="L474" i="1"/>
  <c r="O473" i="1"/>
  <c r="N473" i="1"/>
  <c r="M473" i="1"/>
  <c r="L473" i="1"/>
  <c r="O472" i="1"/>
  <c r="N472" i="1"/>
  <c r="M472" i="1"/>
  <c r="L472" i="1"/>
  <c r="O471" i="1"/>
  <c r="N471" i="1"/>
  <c r="M471" i="1"/>
  <c r="L471" i="1"/>
  <c r="O470" i="1"/>
  <c r="N470" i="1"/>
  <c r="M470" i="1"/>
  <c r="L470" i="1"/>
  <c r="O469" i="1"/>
  <c r="N469" i="1"/>
  <c r="M469" i="1"/>
  <c r="L469" i="1"/>
  <c r="O468" i="1"/>
  <c r="N468" i="1"/>
  <c r="M468" i="1"/>
  <c r="L468" i="1"/>
  <c r="O467" i="1"/>
  <c r="N467" i="1"/>
  <c r="M467" i="1"/>
  <c r="L467" i="1"/>
  <c r="O466" i="1"/>
  <c r="N466" i="1"/>
  <c r="M466" i="1"/>
  <c r="L466" i="1"/>
  <c r="O465" i="1"/>
  <c r="N465" i="1"/>
  <c r="M465" i="1"/>
  <c r="L465" i="1"/>
  <c r="O464" i="1"/>
  <c r="N464" i="1"/>
  <c r="M464" i="1"/>
  <c r="L464" i="1"/>
  <c r="O463" i="1"/>
  <c r="N463" i="1"/>
  <c r="M463" i="1"/>
  <c r="L463" i="1"/>
  <c r="O462" i="1"/>
  <c r="N462" i="1"/>
  <c r="M462" i="1"/>
  <c r="L462" i="1"/>
  <c r="O461" i="1"/>
  <c r="N461" i="1"/>
  <c r="M461" i="1"/>
  <c r="L461" i="1"/>
  <c r="O460" i="1"/>
  <c r="N460" i="1"/>
  <c r="M460" i="1"/>
  <c r="L460" i="1"/>
  <c r="O459" i="1"/>
  <c r="N459" i="1"/>
  <c r="M459" i="1"/>
  <c r="L459" i="1"/>
  <c r="O458" i="1"/>
  <c r="N458" i="1"/>
  <c r="M458" i="1"/>
  <c r="L458" i="1"/>
  <c r="O457" i="1"/>
  <c r="N457" i="1"/>
  <c r="M457" i="1"/>
  <c r="L457" i="1"/>
  <c r="O456" i="1"/>
  <c r="N456" i="1"/>
  <c r="M456" i="1"/>
  <c r="L456" i="1"/>
  <c r="O455" i="1"/>
  <c r="N455" i="1"/>
  <c r="M455" i="1"/>
  <c r="L455" i="1"/>
  <c r="O454" i="1"/>
  <c r="N454" i="1"/>
  <c r="M454" i="1"/>
  <c r="L454" i="1"/>
  <c r="O453" i="1"/>
  <c r="N453" i="1"/>
  <c r="M453" i="1"/>
  <c r="L453" i="1"/>
  <c r="O452" i="1"/>
  <c r="N452" i="1"/>
  <c r="M452" i="1"/>
  <c r="L452" i="1"/>
  <c r="O451" i="1"/>
  <c r="N451" i="1"/>
  <c r="M451" i="1"/>
  <c r="L451" i="1"/>
  <c r="O450" i="1"/>
  <c r="N450" i="1"/>
  <c r="M450" i="1"/>
  <c r="L450" i="1"/>
  <c r="O449" i="1"/>
  <c r="N449" i="1"/>
  <c r="M449" i="1"/>
  <c r="L449" i="1"/>
  <c r="O448" i="1"/>
  <c r="N448" i="1"/>
  <c r="M448" i="1"/>
  <c r="L448" i="1"/>
  <c r="O447" i="1"/>
  <c r="N447" i="1"/>
  <c r="M447" i="1"/>
  <c r="L447" i="1"/>
  <c r="O446" i="1"/>
  <c r="N446" i="1"/>
  <c r="M446" i="1"/>
  <c r="L446" i="1"/>
  <c r="O445" i="1"/>
  <c r="N445" i="1"/>
  <c r="M445" i="1"/>
  <c r="L445" i="1"/>
  <c r="O444" i="1"/>
  <c r="N444" i="1"/>
  <c r="M444" i="1"/>
  <c r="L444" i="1"/>
  <c r="O443" i="1"/>
  <c r="N443" i="1"/>
  <c r="M443" i="1"/>
  <c r="L443" i="1"/>
  <c r="O442" i="1"/>
  <c r="N442" i="1"/>
  <c r="M442" i="1"/>
  <c r="L442" i="1"/>
  <c r="O441" i="1"/>
  <c r="N441" i="1"/>
  <c r="M441" i="1"/>
  <c r="L441" i="1"/>
  <c r="O440" i="1"/>
  <c r="N440" i="1"/>
  <c r="M440" i="1"/>
  <c r="L440" i="1"/>
  <c r="O439" i="1"/>
  <c r="N439" i="1"/>
  <c r="M439" i="1"/>
  <c r="L439" i="1"/>
  <c r="O438" i="1"/>
  <c r="N438" i="1"/>
  <c r="M438" i="1"/>
  <c r="L438" i="1"/>
  <c r="O437" i="1"/>
  <c r="N437" i="1"/>
  <c r="M437" i="1"/>
  <c r="L437" i="1"/>
  <c r="O436" i="1"/>
  <c r="N436" i="1"/>
  <c r="M436" i="1"/>
  <c r="L436" i="1"/>
  <c r="O435" i="1"/>
  <c r="N435" i="1"/>
  <c r="M435" i="1"/>
  <c r="L435" i="1"/>
  <c r="O434" i="1"/>
  <c r="N434" i="1"/>
  <c r="M434" i="1"/>
  <c r="L434" i="1"/>
  <c r="O433" i="1"/>
  <c r="N433" i="1"/>
  <c r="M433" i="1"/>
  <c r="L433" i="1"/>
  <c r="O432" i="1"/>
  <c r="N432" i="1"/>
  <c r="M432" i="1"/>
  <c r="L432" i="1"/>
  <c r="O431" i="1"/>
  <c r="N431" i="1"/>
  <c r="M431" i="1"/>
  <c r="L431" i="1"/>
  <c r="O430" i="1"/>
  <c r="N430" i="1"/>
  <c r="M430" i="1"/>
  <c r="L430" i="1"/>
  <c r="O429" i="1"/>
  <c r="N429" i="1"/>
  <c r="M429" i="1"/>
  <c r="L429" i="1"/>
  <c r="O428" i="1"/>
  <c r="N428" i="1"/>
  <c r="M428" i="1"/>
  <c r="L428" i="1"/>
  <c r="O427" i="1"/>
  <c r="N427" i="1"/>
  <c r="M427" i="1"/>
  <c r="L427" i="1"/>
  <c r="O426" i="1"/>
  <c r="N426" i="1"/>
  <c r="M426" i="1"/>
  <c r="L426" i="1"/>
  <c r="O425" i="1"/>
  <c r="N425" i="1"/>
  <c r="M425" i="1"/>
  <c r="L425" i="1"/>
  <c r="O424" i="1"/>
  <c r="N424" i="1"/>
  <c r="M424" i="1"/>
  <c r="L424" i="1"/>
  <c r="O423" i="1"/>
  <c r="N423" i="1"/>
  <c r="M423" i="1"/>
  <c r="L423" i="1"/>
  <c r="O422" i="1"/>
  <c r="N422" i="1"/>
  <c r="M422" i="1"/>
  <c r="L422" i="1"/>
  <c r="O421" i="1"/>
  <c r="N421" i="1"/>
  <c r="M421" i="1"/>
  <c r="L421" i="1"/>
  <c r="O420" i="1"/>
  <c r="N420" i="1"/>
  <c r="M420" i="1"/>
  <c r="L420" i="1"/>
  <c r="O419" i="1"/>
  <c r="N419" i="1"/>
  <c r="M419" i="1"/>
  <c r="L419" i="1"/>
  <c r="O418" i="1"/>
  <c r="N418" i="1"/>
  <c r="M418" i="1"/>
  <c r="L418" i="1"/>
  <c r="O417" i="1"/>
  <c r="N417" i="1"/>
  <c r="M417" i="1"/>
  <c r="L417" i="1"/>
  <c r="O416" i="1"/>
  <c r="N416" i="1"/>
  <c r="M416" i="1"/>
  <c r="L416" i="1"/>
  <c r="O415" i="1"/>
  <c r="N415" i="1"/>
  <c r="M415" i="1"/>
  <c r="L415" i="1"/>
  <c r="O414" i="1"/>
  <c r="N414" i="1"/>
  <c r="M414" i="1"/>
  <c r="L414" i="1"/>
  <c r="O413" i="1"/>
  <c r="N413" i="1"/>
  <c r="M413" i="1"/>
  <c r="L413" i="1"/>
  <c r="O412" i="1"/>
  <c r="N412" i="1"/>
  <c r="M412" i="1"/>
  <c r="L412" i="1"/>
  <c r="O411" i="1"/>
  <c r="N411" i="1"/>
  <c r="M411" i="1"/>
  <c r="L411" i="1"/>
  <c r="O410" i="1"/>
  <c r="N410" i="1"/>
  <c r="M410" i="1"/>
  <c r="L410" i="1"/>
  <c r="O409" i="1"/>
  <c r="N409" i="1"/>
  <c r="M409" i="1"/>
  <c r="L409" i="1"/>
  <c r="O408" i="1"/>
  <c r="N408" i="1"/>
  <c r="M408" i="1"/>
  <c r="L408" i="1"/>
  <c r="O407" i="1"/>
  <c r="N407" i="1"/>
  <c r="M407" i="1"/>
  <c r="L407" i="1"/>
  <c r="O406" i="1"/>
  <c r="N406" i="1"/>
  <c r="M406" i="1"/>
  <c r="L406" i="1"/>
  <c r="O405" i="1"/>
  <c r="N405" i="1"/>
  <c r="M405" i="1"/>
  <c r="L405" i="1"/>
  <c r="O404" i="1"/>
  <c r="N404" i="1"/>
  <c r="M404" i="1"/>
  <c r="L404" i="1"/>
  <c r="O403" i="1"/>
  <c r="N403" i="1"/>
  <c r="M403" i="1"/>
  <c r="L403" i="1"/>
  <c r="O402" i="1"/>
  <c r="N402" i="1"/>
  <c r="M402" i="1"/>
  <c r="L402" i="1"/>
  <c r="O401" i="1"/>
  <c r="N401" i="1"/>
  <c r="M401" i="1"/>
  <c r="L401" i="1"/>
  <c r="O400" i="1"/>
  <c r="N400" i="1"/>
  <c r="M400" i="1"/>
  <c r="L400" i="1"/>
  <c r="O399" i="1"/>
  <c r="N399" i="1"/>
  <c r="M399" i="1"/>
  <c r="L399" i="1"/>
  <c r="O398" i="1"/>
  <c r="N398" i="1"/>
  <c r="M398" i="1"/>
  <c r="L398" i="1"/>
  <c r="O397" i="1"/>
  <c r="N397" i="1"/>
  <c r="M397" i="1"/>
  <c r="L397" i="1"/>
  <c r="O396" i="1"/>
  <c r="N396" i="1"/>
  <c r="M396" i="1"/>
  <c r="L396" i="1"/>
  <c r="O395" i="1"/>
  <c r="N395" i="1"/>
  <c r="M395" i="1"/>
  <c r="L395" i="1"/>
  <c r="O394" i="1"/>
  <c r="N394" i="1"/>
  <c r="M394" i="1"/>
  <c r="L394" i="1"/>
  <c r="O393" i="1"/>
  <c r="N393" i="1"/>
  <c r="M393" i="1"/>
  <c r="L393" i="1"/>
  <c r="O392" i="1"/>
  <c r="N392" i="1"/>
  <c r="M392" i="1"/>
  <c r="L392" i="1"/>
  <c r="O391" i="1"/>
  <c r="N391" i="1"/>
  <c r="M391" i="1"/>
  <c r="L391" i="1"/>
  <c r="O390" i="1"/>
  <c r="N390" i="1"/>
  <c r="M390" i="1"/>
  <c r="L390" i="1"/>
  <c r="O389" i="1"/>
  <c r="N389" i="1"/>
  <c r="M389" i="1"/>
  <c r="L389" i="1"/>
  <c r="O388" i="1"/>
  <c r="N388" i="1"/>
  <c r="M388" i="1"/>
  <c r="L388" i="1"/>
  <c r="O387" i="1"/>
  <c r="N387" i="1"/>
  <c r="M387" i="1"/>
  <c r="L387" i="1"/>
  <c r="O386" i="1"/>
  <c r="N386" i="1"/>
  <c r="M386" i="1"/>
  <c r="L386" i="1"/>
  <c r="O385" i="1"/>
  <c r="N385" i="1"/>
  <c r="M385" i="1"/>
  <c r="L385" i="1"/>
  <c r="O384" i="1"/>
  <c r="N384" i="1"/>
  <c r="M384" i="1"/>
  <c r="L384" i="1"/>
  <c r="O383" i="1"/>
  <c r="N383" i="1"/>
  <c r="M383" i="1"/>
  <c r="L383" i="1"/>
  <c r="O382" i="1"/>
  <c r="N382" i="1"/>
  <c r="M382" i="1"/>
  <c r="L382" i="1"/>
  <c r="O381" i="1"/>
  <c r="N381" i="1"/>
  <c r="M381" i="1"/>
  <c r="L381" i="1"/>
  <c r="O380" i="1"/>
  <c r="N380" i="1"/>
  <c r="M380" i="1"/>
  <c r="L380" i="1"/>
  <c r="O379" i="1"/>
  <c r="N379" i="1"/>
  <c r="M379" i="1"/>
  <c r="L379" i="1"/>
  <c r="O378" i="1"/>
  <c r="N378" i="1"/>
  <c r="M378" i="1"/>
  <c r="L378" i="1"/>
  <c r="O377" i="1"/>
  <c r="N377" i="1"/>
  <c r="M377" i="1"/>
  <c r="L377" i="1"/>
  <c r="O376" i="1"/>
  <c r="N376" i="1"/>
  <c r="M376" i="1"/>
  <c r="L376" i="1"/>
  <c r="O375" i="1"/>
  <c r="N375" i="1"/>
  <c r="M375" i="1"/>
  <c r="L375" i="1"/>
  <c r="O374" i="1"/>
  <c r="N374" i="1"/>
  <c r="M374" i="1"/>
  <c r="L374" i="1"/>
  <c r="O373" i="1"/>
  <c r="N373" i="1"/>
  <c r="M373" i="1"/>
  <c r="L373" i="1"/>
  <c r="O372" i="1"/>
  <c r="N372" i="1"/>
  <c r="M372" i="1"/>
  <c r="L372" i="1"/>
  <c r="O371" i="1"/>
  <c r="N371" i="1"/>
  <c r="M371" i="1"/>
  <c r="L371" i="1"/>
  <c r="O370" i="1"/>
  <c r="N370" i="1"/>
  <c r="M370" i="1"/>
  <c r="L370" i="1"/>
  <c r="O369" i="1"/>
  <c r="N369" i="1"/>
  <c r="M369" i="1"/>
  <c r="L369" i="1"/>
  <c r="O368" i="1"/>
  <c r="N368" i="1"/>
  <c r="M368" i="1"/>
  <c r="L368" i="1"/>
  <c r="O367" i="1"/>
  <c r="N367" i="1"/>
  <c r="M367" i="1"/>
  <c r="L367" i="1"/>
  <c r="O366" i="1"/>
  <c r="N366" i="1"/>
  <c r="M366" i="1"/>
  <c r="L366" i="1"/>
  <c r="O365" i="1"/>
  <c r="N365" i="1"/>
  <c r="M365" i="1"/>
  <c r="L365" i="1"/>
  <c r="O364" i="1"/>
  <c r="N364" i="1"/>
  <c r="M364" i="1"/>
  <c r="L364" i="1"/>
  <c r="O363" i="1"/>
  <c r="N363" i="1"/>
  <c r="M363" i="1"/>
  <c r="L363" i="1"/>
  <c r="O362" i="1"/>
  <c r="N362" i="1"/>
  <c r="M362" i="1"/>
  <c r="L362" i="1"/>
  <c r="O361" i="1"/>
  <c r="N361" i="1"/>
  <c r="M361" i="1"/>
  <c r="L361" i="1"/>
  <c r="O360" i="1"/>
  <c r="N360" i="1"/>
  <c r="M360" i="1"/>
  <c r="L360" i="1"/>
  <c r="O359" i="1"/>
  <c r="N359" i="1"/>
  <c r="M359" i="1"/>
  <c r="L359" i="1"/>
  <c r="O358" i="1"/>
  <c r="N358" i="1"/>
  <c r="M358" i="1"/>
  <c r="L358" i="1"/>
  <c r="O357" i="1"/>
  <c r="N357" i="1"/>
  <c r="M357" i="1"/>
  <c r="L357" i="1"/>
  <c r="O356" i="1"/>
  <c r="N356" i="1"/>
  <c r="M356" i="1"/>
  <c r="L356" i="1"/>
  <c r="O355" i="1"/>
  <c r="N355" i="1"/>
  <c r="M355" i="1"/>
  <c r="L355" i="1"/>
  <c r="O354" i="1"/>
  <c r="N354" i="1"/>
  <c r="M354" i="1"/>
  <c r="L354" i="1"/>
  <c r="O353" i="1"/>
  <c r="N353" i="1"/>
  <c r="M353" i="1"/>
  <c r="L353" i="1"/>
  <c r="O352" i="1"/>
  <c r="N352" i="1"/>
  <c r="M352" i="1"/>
  <c r="L352" i="1"/>
  <c r="O351" i="1"/>
  <c r="N351" i="1"/>
  <c r="M351" i="1"/>
  <c r="L351" i="1"/>
  <c r="O350" i="1"/>
  <c r="N350" i="1"/>
  <c r="M350" i="1"/>
  <c r="L350" i="1"/>
  <c r="O349" i="1"/>
  <c r="N349" i="1"/>
  <c r="M349" i="1"/>
  <c r="L349" i="1"/>
  <c r="O348" i="1"/>
  <c r="N348" i="1"/>
  <c r="M348" i="1"/>
  <c r="L348" i="1"/>
  <c r="O347" i="1"/>
  <c r="N347" i="1"/>
  <c r="M347" i="1"/>
  <c r="L347" i="1"/>
  <c r="O346" i="1"/>
  <c r="N346" i="1"/>
  <c r="M346" i="1"/>
  <c r="L346" i="1"/>
  <c r="O345" i="1"/>
  <c r="N345" i="1"/>
  <c r="M345" i="1"/>
  <c r="L345" i="1"/>
  <c r="O344" i="1"/>
  <c r="N344" i="1"/>
  <c r="M344" i="1"/>
  <c r="L344" i="1"/>
  <c r="O343" i="1"/>
  <c r="N343" i="1"/>
  <c r="M343" i="1"/>
  <c r="L343" i="1"/>
  <c r="O342" i="1"/>
  <c r="N342" i="1"/>
  <c r="M342" i="1"/>
  <c r="L342" i="1"/>
  <c r="O341" i="1"/>
  <c r="N341" i="1"/>
  <c r="M341" i="1"/>
  <c r="L341" i="1"/>
  <c r="O340" i="1"/>
  <c r="N340" i="1"/>
  <c r="M340" i="1"/>
  <c r="L340" i="1"/>
  <c r="O339" i="1"/>
  <c r="N339" i="1"/>
  <c r="M339" i="1"/>
  <c r="L339" i="1"/>
  <c r="O338" i="1"/>
  <c r="N338" i="1"/>
  <c r="M338" i="1"/>
  <c r="L338" i="1"/>
  <c r="O337" i="1"/>
  <c r="N337" i="1"/>
  <c r="M337" i="1"/>
  <c r="L337" i="1"/>
  <c r="O336" i="1"/>
  <c r="N336" i="1"/>
  <c r="M336" i="1"/>
  <c r="L336" i="1"/>
  <c r="O335" i="1"/>
  <c r="N335" i="1"/>
  <c r="M335" i="1"/>
  <c r="L335" i="1"/>
  <c r="O334" i="1"/>
  <c r="N334" i="1"/>
  <c r="M334" i="1"/>
  <c r="L334" i="1"/>
  <c r="O333" i="1"/>
  <c r="N333" i="1"/>
  <c r="M333" i="1"/>
  <c r="L333" i="1"/>
  <c r="O332" i="1"/>
  <c r="N332" i="1"/>
  <c r="M332" i="1"/>
  <c r="L332" i="1"/>
  <c r="O331" i="1"/>
  <c r="N331" i="1"/>
  <c r="M331" i="1"/>
  <c r="L331" i="1"/>
  <c r="O330" i="1"/>
  <c r="N330" i="1"/>
  <c r="M330" i="1"/>
  <c r="L330" i="1"/>
  <c r="O329" i="1"/>
  <c r="N329" i="1"/>
  <c r="M329" i="1"/>
  <c r="L329" i="1"/>
  <c r="O328" i="1"/>
  <c r="N328" i="1"/>
  <c r="M328" i="1"/>
  <c r="L328" i="1"/>
  <c r="O327" i="1"/>
  <c r="N327" i="1"/>
  <c r="M327" i="1"/>
  <c r="L327" i="1"/>
  <c r="O326" i="1"/>
  <c r="N326" i="1"/>
  <c r="M326" i="1"/>
  <c r="L326" i="1"/>
  <c r="O325" i="1"/>
  <c r="N325" i="1"/>
  <c r="M325" i="1"/>
  <c r="L325" i="1"/>
  <c r="O324" i="1"/>
  <c r="N324" i="1"/>
  <c r="M324" i="1"/>
  <c r="L324" i="1"/>
  <c r="O323" i="1"/>
  <c r="N323" i="1"/>
  <c r="M323" i="1"/>
  <c r="L323" i="1"/>
  <c r="O322" i="1"/>
  <c r="N322" i="1"/>
  <c r="M322" i="1"/>
  <c r="L322" i="1"/>
  <c r="O321" i="1"/>
  <c r="N321" i="1"/>
  <c r="M321" i="1"/>
  <c r="L321" i="1"/>
  <c r="O320" i="1"/>
  <c r="N320" i="1"/>
  <c r="M320" i="1"/>
  <c r="L320" i="1"/>
  <c r="O319" i="1"/>
  <c r="N319" i="1"/>
  <c r="M319" i="1"/>
  <c r="L319" i="1"/>
  <c r="O318" i="1"/>
  <c r="N318" i="1"/>
  <c r="M318" i="1"/>
  <c r="L318" i="1"/>
  <c r="O317" i="1"/>
  <c r="N317" i="1"/>
  <c r="M317" i="1"/>
  <c r="L317" i="1"/>
  <c r="O316" i="1"/>
  <c r="N316" i="1"/>
  <c r="M316" i="1"/>
  <c r="L316" i="1"/>
  <c r="O315" i="1"/>
  <c r="N315" i="1"/>
  <c r="M315" i="1"/>
  <c r="L315" i="1"/>
  <c r="O314" i="1"/>
  <c r="N314" i="1"/>
  <c r="M314" i="1"/>
  <c r="L314" i="1"/>
  <c r="O313" i="1"/>
  <c r="N313" i="1"/>
  <c r="M313" i="1"/>
  <c r="L313" i="1"/>
  <c r="O312" i="1"/>
  <c r="N312" i="1"/>
  <c r="M312" i="1"/>
  <c r="L312" i="1"/>
  <c r="O311" i="1"/>
  <c r="N311" i="1"/>
  <c r="M311" i="1"/>
  <c r="L311" i="1"/>
  <c r="O310" i="1"/>
  <c r="N310" i="1"/>
  <c r="M310" i="1"/>
  <c r="L310" i="1"/>
  <c r="O309" i="1"/>
  <c r="N309" i="1"/>
  <c r="M309" i="1"/>
  <c r="L309" i="1"/>
  <c r="O308" i="1"/>
  <c r="N308" i="1"/>
  <c r="M308" i="1"/>
  <c r="L308" i="1"/>
  <c r="O307" i="1"/>
  <c r="N307" i="1"/>
  <c r="M307" i="1"/>
  <c r="L307" i="1"/>
  <c r="O306" i="1"/>
  <c r="N306" i="1"/>
  <c r="M306" i="1"/>
  <c r="L306" i="1"/>
  <c r="O305" i="1"/>
  <c r="N305" i="1"/>
  <c r="M305" i="1"/>
  <c r="L305" i="1"/>
  <c r="O304" i="1"/>
  <c r="N304" i="1"/>
  <c r="M304" i="1"/>
  <c r="L304" i="1"/>
  <c r="O303" i="1"/>
  <c r="N303" i="1"/>
  <c r="M303" i="1"/>
  <c r="L303" i="1"/>
  <c r="O302" i="1"/>
  <c r="N302" i="1"/>
  <c r="M302" i="1"/>
  <c r="L302" i="1"/>
  <c r="O301" i="1"/>
  <c r="N301" i="1"/>
  <c r="M301" i="1"/>
  <c r="L301" i="1"/>
  <c r="O300" i="1"/>
  <c r="N300" i="1"/>
  <c r="M300" i="1"/>
  <c r="L300" i="1"/>
  <c r="O299" i="1"/>
  <c r="N299" i="1"/>
  <c r="M299" i="1"/>
  <c r="L299" i="1"/>
  <c r="O298" i="1"/>
  <c r="N298" i="1"/>
  <c r="M298" i="1"/>
  <c r="L298" i="1"/>
  <c r="O297" i="1"/>
  <c r="N297" i="1"/>
  <c r="M297" i="1"/>
  <c r="L297" i="1"/>
  <c r="O296" i="1"/>
  <c r="N296" i="1"/>
  <c r="M296" i="1"/>
  <c r="L296" i="1"/>
  <c r="O295" i="1"/>
  <c r="N295" i="1"/>
  <c r="M295" i="1"/>
  <c r="L295" i="1"/>
  <c r="O294" i="1"/>
  <c r="N294" i="1"/>
  <c r="M294" i="1"/>
  <c r="L294" i="1"/>
  <c r="O293" i="1"/>
  <c r="N293" i="1"/>
  <c r="M293" i="1"/>
  <c r="L293" i="1"/>
  <c r="O292" i="1"/>
  <c r="N292" i="1"/>
  <c r="M292" i="1"/>
  <c r="L292" i="1"/>
  <c r="O291" i="1"/>
  <c r="N291" i="1"/>
  <c r="M291" i="1"/>
  <c r="L291" i="1"/>
  <c r="O290" i="1"/>
  <c r="N290" i="1"/>
  <c r="M290" i="1"/>
  <c r="L290" i="1"/>
  <c r="O289" i="1"/>
  <c r="N289" i="1"/>
  <c r="M289" i="1"/>
  <c r="L289" i="1"/>
  <c r="O288" i="1"/>
  <c r="N288" i="1"/>
  <c r="M288" i="1"/>
  <c r="L288" i="1"/>
  <c r="O287" i="1"/>
  <c r="N287" i="1"/>
  <c r="M287" i="1"/>
  <c r="L287" i="1"/>
  <c r="O286" i="1"/>
  <c r="N286" i="1"/>
  <c r="M286" i="1"/>
  <c r="L286" i="1"/>
  <c r="O285" i="1"/>
  <c r="N285" i="1"/>
  <c r="M285" i="1"/>
  <c r="L285" i="1"/>
  <c r="O284" i="1"/>
  <c r="N284" i="1"/>
  <c r="M284" i="1"/>
  <c r="L284" i="1"/>
  <c r="O283" i="1"/>
  <c r="N283" i="1"/>
  <c r="M283" i="1"/>
  <c r="L283" i="1"/>
  <c r="O282" i="1"/>
  <c r="N282" i="1"/>
  <c r="M282" i="1"/>
  <c r="L282" i="1"/>
  <c r="O281" i="1"/>
  <c r="N281" i="1"/>
  <c r="M281" i="1"/>
  <c r="L281" i="1"/>
  <c r="O280" i="1"/>
  <c r="N280" i="1"/>
  <c r="M280" i="1"/>
  <c r="L280" i="1"/>
  <c r="O279" i="1"/>
  <c r="N279" i="1"/>
  <c r="M279" i="1"/>
  <c r="L279" i="1"/>
  <c r="O278" i="1"/>
  <c r="N278" i="1"/>
  <c r="M278" i="1"/>
  <c r="L278" i="1"/>
  <c r="O277" i="1"/>
  <c r="N277" i="1"/>
  <c r="M277" i="1"/>
  <c r="L277" i="1"/>
  <c r="O276" i="1"/>
  <c r="N276" i="1"/>
  <c r="M276" i="1"/>
  <c r="L276" i="1"/>
  <c r="O275" i="1"/>
  <c r="N275" i="1"/>
  <c r="M275" i="1"/>
  <c r="L275" i="1"/>
  <c r="O274" i="1"/>
  <c r="N274" i="1"/>
  <c r="M274" i="1"/>
  <c r="L274" i="1"/>
  <c r="O273" i="1"/>
  <c r="N273" i="1"/>
  <c r="M273" i="1"/>
  <c r="L273" i="1"/>
  <c r="O272" i="1"/>
  <c r="N272" i="1"/>
  <c r="M272" i="1"/>
  <c r="L272" i="1"/>
  <c r="O271" i="1"/>
  <c r="N271" i="1"/>
  <c r="M271" i="1"/>
  <c r="L271" i="1"/>
  <c r="O270" i="1"/>
  <c r="N270" i="1"/>
  <c r="M270" i="1"/>
  <c r="L270" i="1"/>
  <c r="O269" i="1"/>
  <c r="N269" i="1"/>
  <c r="M269" i="1"/>
  <c r="L269" i="1"/>
  <c r="O268" i="1"/>
  <c r="N268" i="1"/>
  <c r="M268" i="1"/>
  <c r="L268" i="1"/>
  <c r="O267" i="1"/>
  <c r="N267" i="1"/>
  <c r="M267" i="1"/>
  <c r="L267" i="1"/>
  <c r="O266" i="1"/>
  <c r="N266" i="1"/>
  <c r="M266" i="1"/>
  <c r="L266" i="1"/>
  <c r="O265" i="1"/>
  <c r="N265" i="1"/>
  <c r="M265" i="1"/>
  <c r="L265" i="1"/>
  <c r="O264" i="1"/>
  <c r="N264" i="1"/>
  <c r="M264" i="1"/>
  <c r="L264" i="1"/>
  <c r="O263" i="1"/>
  <c r="N263" i="1"/>
  <c r="M263" i="1"/>
  <c r="L263" i="1"/>
  <c r="O262" i="1"/>
  <c r="N262" i="1"/>
  <c r="M262" i="1"/>
  <c r="L262" i="1"/>
  <c r="O261" i="1"/>
  <c r="N261" i="1"/>
  <c r="M261" i="1"/>
  <c r="L261" i="1"/>
  <c r="O260" i="1"/>
  <c r="N260" i="1"/>
  <c r="M260" i="1"/>
  <c r="L260" i="1"/>
  <c r="O259" i="1"/>
  <c r="N259" i="1"/>
  <c r="M259" i="1"/>
  <c r="L259" i="1"/>
  <c r="O258" i="1"/>
  <c r="N258" i="1"/>
  <c r="M258" i="1"/>
  <c r="L258" i="1"/>
  <c r="O257" i="1"/>
  <c r="N257" i="1"/>
  <c r="M257" i="1"/>
  <c r="L257" i="1"/>
  <c r="O256" i="1"/>
  <c r="N256" i="1"/>
  <c r="M256" i="1"/>
  <c r="L256" i="1"/>
  <c r="O255" i="1"/>
  <c r="N255" i="1"/>
  <c r="M255" i="1"/>
  <c r="L255" i="1"/>
  <c r="O254" i="1"/>
  <c r="N254" i="1"/>
  <c r="M254" i="1"/>
  <c r="L254" i="1"/>
  <c r="O253" i="1"/>
  <c r="N253" i="1"/>
  <c r="M253" i="1"/>
  <c r="L253" i="1"/>
  <c r="O252" i="1"/>
  <c r="N252" i="1"/>
  <c r="M252" i="1"/>
  <c r="L252" i="1"/>
  <c r="O251" i="1"/>
  <c r="N251" i="1"/>
  <c r="M251" i="1"/>
  <c r="L251" i="1"/>
  <c r="O250" i="1"/>
  <c r="N250" i="1"/>
  <c r="M250" i="1"/>
  <c r="L250" i="1"/>
  <c r="O249" i="1"/>
  <c r="N249" i="1"/>
  <c r="M249" i="1"/>
  <c r="L249" i="1"/>
  <c r="O248" i="1"/>
  <c r="N248" i="1"/>
  <c r="M248" i="1"/>
  <c r="L248" i="1"/>
  <c r="O247" i="1"/>
  <c r="N247" i="1"/>
  <c r="M247" i="1"/>
  <c r="L247" i="1"/>
  <c r="O246" i="1"/>
  <c r="N246" i="1"/>
  <c r="M246" i="1"/>
  <c r="L246" i="1"/>
  <c r="O245" i="1"/>
  <c r="N245" i="1"/>
  <c r="M245" i="1"/>
  <c r="L245" i="1"/>
  <c r="O244" i="1"/>
  <c r="N244" i="1"/>
  <c r="M244" i="1"/>
  <c r="L244" i="1"/>
  <c r="O243" i="1"/>
  <c r="N243" i="1"/>
  <c r="M243" i="1"/>
  <c r="L243" i="1"/>
  <c r="O242" i="1"/>
  <c r="N242" i="1"/>
  <c r="M242" i="1"/>
  <c r="L242" i="1"/>
  <c r="O241" i="1"/>
  <c r="N241" i="1"/>
  <c r="M241" i="1"/>
  <c r="L241" i="1"/>
  <c r="O240" i="1"/>
  <c r="N240" i="1"/>
  <c r="M240" i="1"/>
  <c r="L240" i="1"/>
  <c r="O239" i="1"/>
  <c r="N239" i="1"/>
  <c r="M239" i="1"/>
  <c r="L239" i="1"/>
  <c r="O238" i="1"/>
  <c r="N238" i="1"/>
  <c r="M238" i="1"/>
  <c r="L238" i="1"/>
  <c r="O237" i="1"/>
  <c r="N237" i="1"/>
  <c r="M237" i="1"/>
  <c r="L237" i="1"/>
  <c r="O236" i="1"/>
  <c r="N236" i="1"/>
  <c r="M236" i="1"/>
  <c r="L236" i="1"/>
  <c r="O235" i="1"/>
  <c r="N235" i="1"/>
  <c r="M235" i="1"/>
  <c r="L235" i="1"/>
  <c r="O234" i="1"/>
  <c r="N234" i="1"/>
  <c r="M234" i="1"/>
  <c r="L234" i="1"/>
  <c r="O233" i="1"/>
  <c r="N233" i="1"/>
  <c r="M233" i="1"/>
  <c r="L233" i="1"/>
  <c r="O232" i="1"/>
  <c r="N232" i="1"/>
  <c r="M232" i="1"/>
  <c r="L232" i="1"/>
  <c r="O231" i="1"/>
  <c r="N231" i="1"/>
  <c r="M231" i="1"/>
  <c r="L231" i="1"/>
  <c r="O230" i="1"/>
  <c r="N230" i="1"/>
  <c r="M230" i="1"/>
  <c r="L230" i="1"/>
  <c r="O229" i="1"/>
  <c r="N229" i="1"/>
  <c r="M229" i="1"/>
  <c r="L229" i="1"/>
  <c r="O228" i="1"/>
  <c r="N228" i="1"/>
  <c r="M228" i="1"/>
  <c r="L228" i="1"/>
  <c r="O227" i="1"/>
  <c r="N227" i="1"/>
  <c r="M227" i="1"/>
  <c r="L227" i="1"/>
  <c r="O226" i="1"/>
  <c r="N226" i="1"/>
  <c r="M226" i="1"/>
  <c r="L226" i="1"/>
  <c r="O225" i="1"/>
  <c r="N225" i="1"/>
  <c r="M225" i="1"/>
  <c r="L225" i="1"/>
  <c r="O224" i="1"/>
  <c r="N224" i="1"/>
  <c r="M224" i="1"/>
  <c r="L224" i="1"/>
  <c r="O223" i="1"/>
  <c r="N223" i="1"/>
  <c r="M223" i="1"/>
  <c r="L223" i="1"/>
  <c r="O222" i="1"/>
  <c r="N222" i="1"/>
  <c r="M222" i="1"/>
  <c r="L222" i="1"/>
  <c r="O221" i="1"/>
  <c r="N221" i="1"/>
  <c r="M221" i="1"/>
  <c r="L221" i="1"/>
  <c r="O220" i="1"/>
  <c r="N220" i="1"/>
  <c r="M220" i="1"/>
  <c r="L220" i="1"/>
  <c r="O219" i="1"/>
  <c r="N219" i="1"/>
  <c r="M219" i="1"/>
  <c r="L219" i="1"/>
  <c r="O218" i="1"/>
  <c r="N218" i="1"/>
  <c r="M218" i="1"/>
  <c r="L218" i="1"/>
  <c r="O217" i="1"/>
  <c r="N217" i="1"/>
  <c r="M217" i="1"/>
  <c r="L217" i="1"/>
  <c r="O216" i="1"/>
  <c r="N216" i="1"/>
  <c r="M216" i="1"/>
  <c r="L216" i="1"/>
  <c r="O215" i="1"/>
  <c r="N215" i="1"/>
  <c r="M215" i="1"/>
  <c r="L215" i="1"/>
  <c r="O214" i="1"/>
  <c r="N214" i="1"/>
  <c r="M214" i="1"/>
  <c r="L214" i="1"/>
  <c r="O213" i="1"/>
  <c r="N213" i="1"/>
  <c r="M213" i="1"/>
  <c r="L213" i="1"/>
  <c r="O212" i="1"/>
  <c r="N212" i="1"/>
  <c r="M212" i="1"/>
  <c r="L212" i="1"/>
  <c r="O211" i="1"/>
  <c r="N211" i="1"/>
  <c r="M211" i="1"/>
  <c r="L211" i="1"/>
  <c r="O210" i="1"/>
  <c r="N210" i="1"/>
  <c r="M210" i="1"/>
  <c r="L210" i="1"/>
  <c r="O209" i="1"/>
  <c r="N209" i="1"/>
  <c r="M209" i="1"/>
  <c r="L209" i="1"/>
  <c r="O208" i="1"/>
  <c r="N208" i="1"/>
  <c r="M208" i="1"/>
  <c r="L208" i="1"/>
  <c r="O207" i="1"/>
  <c r="N207" i="1"/>
  <c r="M207" i="1"/>
  <c r="L207" i="1"/>
  <c r="O206" i="1"/>
  <c r="N206" i="1"/>
  <c r="M206" i="1"/>
  <c r="L206" i="1"/>
  <c r="O205" i="1"/>
  <c r="N205" i="1"/>
  <c r="M205" i="1"/>
  <c r="L205" i="1"/>
  <c r="O204" i="1"/>
  <c r="N204" i="1"/>
  <c r="M204" i="1"/>
  <c r="L204" i="1"/>
  <c r="O203" i="1"/>
  <c r="N203" i="1"/>
  <c r="M203" i="1"/>
  <c r="L203" i="1"/>
  <c r="O202" i="1"/>
  <c r="N202" i="1"/>
  <c r="M202" i="1"/>
  <c r="L202" i="1"/>
  <c r="O201" i="1"/>
  <c r="N201" i="1"/>
  <c r="M201" i="1"/>
  <c r="L201" i="1"/>
  <c r="O200" i="1"/>
  <c r="N200" i="1"/>
  <c r="M200" i="1"/>
  <c r="L200" i="1"/>
  <c r="O199" i="1"/>
  <c r="N199" i="1"/>
  <c r="M199" i="1"/>
  <c r="L199" i="1"/>
  <c r="O198" i="1"/>
  <c r="N198" i="1"/>
  <c r="M198" i="1"/>
  <c r="L198" i="1"/>
  <c r="O197" i="1"/>
  <c r="N197" i="1"/>
  <c r="M197" i="1"/>
  <c r="L197" i="1"/>
  <c r="O196" i="1"/>
  <c r="N196" i="1"/>
  <c r="M196" i="1"/>
  <c r="L196" i="1"/>
  <c r="O195" i="1"/>
  <c r="N195" i="1"/>
  <c r="M195" i="1"/>
  <c r="L195" i="1"/>
  <c r="O194" i="1"/>
  <c r="N194" i="1"/>
  <c r="M194" i="1"/>
  <c r="L194" i="1"/>
  <c r="O193" i="1"/>
  <c r="N193" i="1"/>
  <c r="M193" i="1"/>
  <c r="L193" i="1"/>
  <c r="O192" i="1"/>
  <c r="N192" i="1"/>
  <c r="M192" i="1"/>
  <c r="L192" i="1"/>
  <c r="O191" i="1"/>
  <c r="N191" i="1"/>
  <c r="M191" i="1"/>
  <c r="L191" i="1"/>
  <c r="O190" i="1"/>
  <c r="N190" i="1"/>
  <c r="M190" i="1"/>
  <c r="L190" i="1"/>
  <c r="O189" i="1"/>
  <c r="N189" i="1"/>
  <c r="M189" i="1"/>
  <c r="L189" i="1"/>
  <c r="O188" i="1"/>
  <c r="N188" i="1"/>
  <c r="M188" i="1"/>
  <c r="L188" i="1"/>
  <c r="O187" i="1"/>
  <c r="N187" i="1"/>
  <c r="M187" i="1"/>
  <c r="L187" i="1"/>
  <c r="O186" i="1"/>
  <c r="N186" i="1"/>
  <c r="M186" i="1"/>
  <c r="L186" i="1"/>
  <c r="O185" i="1"/>
  <c r="N185" i="1"/>
  <c r="M185" i="1"/>
  <c r="L185" i="1"/>
  <c r="O184" i="1"/>
  <c r="N184" i="1"/>
  <c r="M184" i="1"/>
  <c r="L184" i="1"/>
  <c r="O183" i="1"/>
  <c r="N183" i="1"/>
  <c r="M183" i="1"/>
  <c r="L183" i="1"/>
  <c r="O182" i="1"/>
  <c r="N182" i="1"/>
  <c r="M182" i="1"/>
  <c r="L182" i="1"/>
  <c r="O181" i="1"/>
  <c r="N181" i="1"/>
  <c r="M181" i="1"/>
  <c r="L181" i="1"/>
  <c r="O180" i="1"/>
  <c r="N180" i="1"/>
  <c r="M180" i="1"/>
  <c r="L180" i="1"/>
  <c r="O179" i="1"/>
  <c r="N179" i="1"/>
  <c r="M179" i="1"/>
  <c r="L179" i="1"/>
  <c r="O178" i="1"/>
  <c r="N178" i="1"/>
  <c r="M178" i="1"/>
  <c r="L178" i="1"/>
  <c r="O177" i="1"/>
  <c r="N177" i="1"/>
  <c r="M177" i="1"/>
  <c r="L177" i="1"/>
  <c r="O176" i="1"/>
  <c r="N176" i="1"/>
  <c r="M176" i="1"/>
  <c r="L176" i="1"/>
  <c r="O175" i="1"/>
  <c r="N175" i="1"/>
  <c r="M175" i="1"/>
  <c r="L175" i="1"/>
  <c r="O174" i="1"/>
  <c r="N174" i="1"/>
  <c r="M174" i="1"/>
  <c r="L174" i="1"/>
  <c r="O173" i="1"/>
  <c r="N173" i="1"/>
  <c r="M173" i="1"/>
  <c r="L173" i="1"/>
  <c r="O172" i="1"/>
  <c r="N172" i="1"/>
  <c r="M172" i="1"/>
  <c r="L172" i="1"/>
  <c r="O171" i="1"/>
  <c r="N171" i="1"/>
  <c r="M171" i="1"/>
  <c r="L171" i="1"/>
  <c r="O170" i="1"/>
  <c r="N170" i="1"/>
  <c r="M170" i="1"/>
  <c r="L170" i="1"/>
  <c r="O169" i="1"/>
  <c r="N169" i="1"/>
  <c r="M169" i="1"/>
  <c r="L169" i="1"/>
  <c r="O168" i="1"/>
  <c r="N168" i="1"/>
  <c r="M168" i="1"/>
  <c r="L168" i="1"/>
  <c r="O167" i="1"/>
  <c r="N167" i="1"/>
  <c r="M167" i="1"/>
  <c r="L167" i="1"/>
  <c r="O166" i="1"/>
  <c r="N166" i="1"/>
  <c r="M166" i="1"/>
  <c r="L166" i="1"/>
  <c r="O165" i="1"/>
  <c r="N165" i="1"/>
  <c r="M165" i="1"/>
  <c r="L165" i="1"/>
  <c r="O164" i="1"/>
  <c r="N164" i="1"/>
  <c r="M164" i="1"/>
  <c r="L164" i="1"/>
  <c r="O163" i="1"/>
  <c r="N163" i="1"/>
  <c r="M163" i="1"/>
  <c r="L163" i="1"/>
  <c r="O162" i="1"/>
  <c r="N162" i="1"/>
  <c r="M162" i="1"/>
  <c r="L162" i="1"/>
  <c r="O161" i="1"/>
  <c r="N161" i="1"/>
  <c r="M161" i="1"/>
  <c r="L161" i="1"/>
  <c r="O160" i="1"/>
  <c r="N160" i="1"/>
  <c r="M160" i="1"/>
  <c r="L160" i="1"/>
  <c r="O159" i="1"/>
  <c r="N159" i="1"/>
  <c r="M159" i="1"/>
  <c r="L159" i="1"/>
  <c r="O158" i="1"/>
  <c r="N158" i="1"/>
  <c r="M158" i="1"/>
  <c r="L158" i="1"/>
  <c r="O157" i="1"/>
  <c r="N157" i="1"/>
  <c r="M157" i="1"/>
  <c r="L157" i="1"/>
  <c r="O156" i="1"/>
  <c r="N156" i="1"/>
  <c r="M156" i="1"/>
  <c r="L156" i="1"/>
  <c r="O155" i="1"/>
  <c r="N155" i="1"/>
  <c r="M155" i="1"/>
  <c r="L155" i="1"/>
  <c r="O154" i="1"/>
  <c r="N154" i="1"/>
  <c r="M154" i="1"/>
  <c r="L154" i="1"/>
  <c r="O153" i="1"/>
  <c r="N153" i="1"/>
  <c r="M153" i="1"/>
  <c r="L153" i="1"/>
  <c r="O152" i="1"/>
  <c r="N152" i="1"/>
  <c r="M152" i="1"/>
  <c r="L152" i="1"/>
  <c r="O151" i="1"/>
  <c r="N151" i="1"/>
  <c r="M151" i="1"/>
  <c r="L151" i="1"/>
  <c r="O150" i="1"/>
  <c r="N150" i="1"/>
  <c r="M150" i="1"/>
  <c r="L150" i="1"/>
  <c r="O149" i="1"/>
  <c r="N149" i="1"/>
  <c r="M149" i="1"/>
  <c r="L149" i="1"/>
  <c r="O148" i="1"/>
  <c r="N148" i="1"/>
  <c r="M148" i="1"/>
  <c r="L148" i="1"/>
  <c r="O147" i="1"/>
  <c r="N147" i="1"/>
  <c r="M147" i="1"/>
  <c r="L147" i="1"/>
  <c r="O146" i="1"/>
  <c r="N146" i="1"/>
  <c r="M146" i="1"/>
  <c r="L146" i="1"/>
  <c r="O145" i="1"/>
  <c r="N145" i="1"/>
  <c r="M145" i="1"/>
  <c r="L145" i="1"/>
  <c r="O144" i="1"/>
  <c r="N144" i="1"/>
  <c r="M144" i="1"/>
  <c r="L144" i="1"/>
  <c r="O143" i="1"/>
  <c r="N143" i="1"/>
  <c r="M143" i="1"/>
  <c r="L143" i="1"/>
  <c r="O142" i="1"/>
  <c r="N142" i="1"/>
  <c r="M142" i="1"/>
  <c r="L142" i="1"/>
  <c r="O141" i="1"/>
  <c r="N141" i="1"/>
  <c r="M141" i="1"/>
  <c r="L141" i="1"/>
  <c r="O140" i="1"/>
  <c r="N140" i="1"/>
  <c r="M140" i="1"/>
  <c r="L140" i="1"/>
  <c r="O139" i="1"/>
  <c r="N139" i="1"/>
  <c r="M139" i="1"/>
  <c r="L139" i="1"/>
  <c r="O138" i="1"/>
  <c r="N138" i="1"/>
  <c r="M138" i="1"/>
  <c r="L138" i="1"/>
  <c r="O137" i="1"/>
  <c r="N137" i="1"/>
  <c r="M137" i="1"/>
  <c r="L137" i="1"/>
  <c r="O136" i="1"/>
  <c r="N136" i="1"/>
  <c r="M136" i="1"/>
  <c r="L136" i="1"/>
  <c r="O135" i="1"/>
  <c r="N135" i="1"/>
  <c r="M135" i="1"/>
  <c r="L135" i="1"/>
  <c r="O134" i="1"/>
  <c r="N134" i="1"/>
  <c r="M134" i="1"/>
  <c r="L134" i="1"/>
  <c r="O133" i="1"/>
  <c r="N133" i="1"/>
  <c r="M133" i="1"/>
  <c r="L133" i="1"/>
  <c r="O132" i="1"/>
  <c r="N132" i="1"/>
  <c r="M132" i="1"/>
  <c r="L132" i="1"/>
  <c r="O131" i="1"/>
  <c r="N131" i="1"/>
  <c r="M131" i="1"/>
  <c r="L131" i="1"/>
  <c r="O130" i="1"/>
  <c r="N130" i="1"/>
  <c r="M130" i="1"/>
  <c r="L130" i="1"/>
  <c r="O129" i="1"/>
  <c r="N129" i="1"/>
  <c r="M129" i="1"/>
  <c r="L129" i="1"/>
  <c r="O128" i="1"/>
  <c r="N128" i="1"/>
  <c r="M128" i="1"/>
  <c r="L128" i="1"/>
  <c r="O127" i="1"/>
  <c r="N127" i="1"/>
  <c r="M127" i="1"/>
  <c r="L127" i="1"/>
  <c r="O126" i="1"/>
  <c r="N126" i="1"/>
  <c r="M126" i="1"/>
  <c r="L126" i="1"/>
  <c r="O125" i="1"/>
  <c r="N125" i="1"/>
  <c r="M125" i="1"/>
  <c r="L125" i="1"/>
  <c r="O124" i="1"/>
  <c r="N124" i="1"/>
  <c r="M124" i="1"/>
  <c r="L124" i="1"/>
  <c r="O123" i="1"/>
  <c r="N123" i="1"/>
  <c r="M123" i="1"/>
  <c r="L123" i="1"/>
  <c r="O122" i="1"/>
  <c r="N122" i="1"/>
  <c r="M122" i="1"/>
  <c r="L122" i="1"/>
  <c r="O121" i="1"/>
  <c r="N121" i="1"/>
  <c r="M121" i="1"/>
  <c r="L121" i="1"/>
  <c r="O120" i="1"/>
  <c r="N120" i="1"/>
  <c r="M120" i="1"/>
  <c r="L120" i="1"/>
  <c r="O119" i="1"/>
  <c r="N119" i="1"/>
  <c r="M119" i="1"/>
  <c r="L119" i="1"/>
  <c r="O118" i="1"/>
  <c r="N118" i="1"/>
  <c r="M118" i="1"/>
  <c r="L118" i="1"/>
  <c r="O117" i="1"/>
  <c r="N117" i="1"/>
  <c r="M117" i="1"/>
  <c r="L117" i="1"/>
  <c r="O116" i="1"/>
  <c r="N116" i="1"/>
  <c r="M116" i="1"/>
  <c r="L116" i="1"/>
  <c r="O115" i="1"/>
  <c r="N115" i="1"/>
  <c r="M115" i="1"/>
  <c r="L115" i="1"/>
  <c r="O114" i="1"/>
  <c r="N114" i="1"/>
  <c r="M114" i="1"/>
  <c r="L114" i="1"/>
  <c r="O113" i="1"/>
  <c r="N113" i="1"/>
  <c r="M113" i="1"/>
  <c r="L113" i="1"/>
  <c r="O112" i="1"/>
  <c r="N112" i="1"/>
  <c r="M112" i="1"/>
  <c r="L112" i="1"/>
  <c r="O111" i="1"/>
  <c r="N111" i="1"/>
  <c r="M111" i="1"/>
  <c r="L111" i="1"/>
  <c r="O110" i="1"/>
  <c r="N110" i="1"/>
  <c r="M110" i="1"/>
  <c r="L110" i="1"/>
  <c r="O109" i="1"/>
  <c r="N109" i="1"/>
  <c r="M109" i="1"/>
  <c r="L109" i="1"/>
  <c r="O108" i="1"/>
  <c r="N108" i="1"/>
  <c r="M108" i="1"/>
  <c r="L108" i="1"/>
  <c r="O107" i="1"/>
  <c r="N107" i="1"/>
  <c r="M107" i="1"/>
  <c r="L107" i="1"/>
  <c r="O106" i="1"/>
  <c r="N106" i="1"/>
  <c r="M106" i="1"/>
  <c r="L106" i="1"/>
  <c r="O105" i="1"/>
  <c r="N105" i="1"/>
  <c r="M105" i="1"/>
  <c r="L105" i="1"/>
  <c r="O104" i="1"/>
  <c r="N104" i="1"/>
  <c r="M104" i="1"/>
  <c r="L104" i="1"/>
  <c r="O103" i="1"/>
  <c r="N103" i="1"/>
  <c r="M103" i="1"/>
  <c r="L103" i="1"/>
  <c r="O102" i="1"/>
  <c r="N102" i="1"/>
  <c r="M102" i="1"/>
  <c r="L102" i="1"/>
  <c r="O101" i="1"/>
  <c r="N101" i="1"/>
  <c r="M101" i="1"/>
  <c r="L101" i="1"/>
  <c r="O100" i="1"/>
  <c r="N100" i="1"/>
  <c r="M100" i="1"/>
  <c r="L100" i="1"/>
  <c r="O99" i="1"/>
  <c r="N99" i="1"/>
  <c r="M99" i="1"/>
  <c r="L99" i="1"/>
  <c r="O98" i="1"/>
  <c r="N98" i="1"/>
  <c r="M98" i="1"/>
  <c r="L98" i="1"/>
  <c r="O97" i="1"/>
  <c r="N97" i="1"/>
  <c r="M97" i="1"/>
  <c r="L97" i="1"/>
  <c r="O96" i="1"/>
  <c r="N96" i="1"/>
  <c r="M96" i="1"/>
  <c r="L96" i="1"/>
  <c r="O95" i="1"/>
  <c r="N95" i="1"/>
  <c r="M95" i="1"/>
  <c r="L95" i="1"/>
  <c r="O94" i="1"/>
  <c r="N94" i="1"/>
  <c r="M94" i="1"/>
  <c r="L94" i="1"/>
  <c r="O93" i="1"/>
  <c r="N93" i="1"/>
  <c r="M93" i="1"/>
  <c r="L93" i="1"/>
  <c r="O92" i="1"/>
  <c r="N92" i="1"/>
  <c r="M92" i="1"/>
  <c r="L92" i="1"/>
  <c r="O91" i="1"/>
  <c r="N91" i="1"/>
  <c r="M91" i="1"/>
  <c r="L91" i="1"/>
  <c r="O90" i="1"/>
  <c r="N90" i="1"/>
  <c r="M90" i="1"/>
  <c r="L90" i="1"/>
  <c r="O89" i="1"/>
  <c r="N89" i="1"/>
  <c r="M89" i="1"/>
  <c r="L89" i="1"/>
  <c r="O88" i="1"/>
  <c r="N88" i="1"/>
  <c r="M88" i="1"/>
  <c r="L88" i="1"/>
  <c r="O87" i="1"/>
  <c r="N87" i="1"/>
  <c r="M87" i="1"/>
  <c r="L87" i="1"/>
  <c r="O86" i="1"/>
  <c r="N86" i="1"/>
  <c r="M86" i="1"/>
  <c r="L86" i="1"/>
  <c r="O85" i="1"/>
  <c r="N85" i="1"/>
  <c r="M85" i="1"/>
  <c r="L85" i="1"/>
  <c r="O84" i="1"/>
  <c r="N84" i="1"/>
  <c r="M84" i="1"/>
  <c r="L84" i="1"/>
  <c r="O83" i="1"/>
  <c r="N83" i="1"/>
  <c r="M83" i="1"/>
  <c r="L83" i="1"/>
  <c r="O82" i="1"/>
  <c r="N82" i="1"/>
  <c r="M82" i="1"/>
  <c r="L82" i="1"/>
  <c r="O81" i="1"/>
  <c r="N81" i="1"/>
  <c r="M81" i="1"/>
  <c r="L81" i="1"/>
  <c r="O80" i="1"/>
  <c r="N80" i="1"/>
  <c r="M80" i="1"/>
  <c r="L80" i="1"/>
  <c r="O79" i="1"/>
  <c r="N79" i="1"/>
  <c r="M79" i="1"/>
  <c r="L79" i="1"/>
  <c r="O78" i="1"/>
  <c r="N78" i="1"/>
  <c r="M78" i="1"/>
  <c r="L78" i="1"/>
  <c r="O77" i="1"/>
  <c r="N77" i="1"/>
  <c r="M77" i="1"/>
  <c r="L77" i="1"/>
  <c r="O76" i="1"/>
  <c r="N76" i="1"/>
  <c r="M76" i="1"/>
  <c r="L76" i="1"/>
  <c r="O75" i="1"/>
  <c r="N75" i="1"/>
  <c r="M75" i="1"/>
  <c r="L75" i="1"/>
  <c r="O74" i="1"/>
  <c r="N74" i="1"/>
  <c r="M74" i="1"/>
  <c r="L74" i="1"/>
  <c r="O73" i="1"/>
  <c r="N73" i="1"/>
  <c r="M73" i="1"/>
  <c r="L73" i="1"/>
  <c r="O72" i="1"/>
  <c r="N72" i="1"/>
  <c r="M72" i="1"/>
  <c r="L72" i="1"/>
  <c r="O71" i="1"/>
  <c r="N71" i="1"/>
  <c r="M71" i="1"/>
  <c r="L71" i="1"/>
  <c r="O70" i="1"/>
  <c r="N70" i="1"/>
  <c r="M70" i="1"/>
  <c r="L70" i="1"/>
  <c r="O69" i="1"/>
  <c r="N69" i="1"/>
  <c r="M69" i="1"/>
  <c r="L69" i="1"/>
  <c r="O68" i="1"/>
  <c r="N68" i="1"/>
  <c r="M68" i="1"/>
  <c r="L68" i="1"/>
  <c r="O67" i="1"/>
  <c r="N67" i="1"/>
  <c r="M67" i="1"/>
  <c r="L67" i="1"/>
  <c r="O66" i="1"/>
  <c r="N66" i="1"/>
  <c r="M66" i="1"/>
  <c r="L66" i="1"/>
  <c r="O65" i="1"/>
  <c r="N65" i="1"/>
  <c r="M65" i="1"/>
  <c r="L65" i="1"/>
  <c r="O64" i="1"/>
  <c r="N64" i="1"/>
  <c r="M64" i="1"/>
  <c r="L64" i="1"/>
  <c r="O63" i="1"/>
  <c r="N63" i="1"/>
  <c r="M63" i="1"/>
  <c r="L63" i="1"/>
  <c r="O62" i="1"/>
  <c r="N62" i="1"/>
  <c r="M62" i="1"/>
  <c r="L62" i="1"/>
  <c r="O61" i="1"/>
  <c r="N61" i="1"/>
  <c r="M61" i="1"/>
  <c r="L61" i="1"/>
  <c r="O60" i="1"/>
  <c r="N60" i="1"/>
  <c r="M60" i="1"/>
  <c r="L60" i="1"/>
  <c r="O59" i="1"/>
  <c r="N59" i="1"/>
  <c r="M59" i="1"/>
  <c r="L59" i="1"/>
  <c r="O58" i="1"/>
  <c r="N58" i="1"/>
  <c r="M58" i="1"/>
  <c r="L58" i="1"/>
  <c r="O57" i="1"/>
  <c r="N57" i="1"/>
  <c r="M57" i="1"/>
  <c r="L57" i="1"/>
  <c r="O56" i="1"/>
  <c r="N56" i="1"/>
  <c r="M56" i="1"/>
  <c r="L56" i="1"/>
  <c r="O55" i="1"/>
  <c r="N55" i="1"/>
  <c r="M55" i="1"/>
  <c r="L55" i="1"/>
  <c r="O54" i="1"/>
  <c r="N54" i="1"/>
  <c r="M54" i="1"/>
  <c r="L54" i="1"/>
  <c r="O53" i="1"/>
  <c r="N53" i="1"/>
  <c r="M53" i="1"/>
  <c r="L53" i="1"/>
  <c r="O52" i="1"/>
  <c r="N52" i="1"/>
  <c r="M52" i="1"/>
  <c r="L52" i="1"/>
  <c r="O51" i="1"/>
  <c r="N51" i="1"/>
  <c r="M51" i="1"/>
  <c r="L51" i="1"/>
  <c r="O50" i="1"/>
  <c r="N50" i="1"/>
  <c r="M50" i="1"/>
  <c r="L50" i="1"/>
  <c r="O49" i="1"/>
  <c r="N49" i="1"/>
  <c r="M49" i="1"/>
  <c r="L49" i="1"/>
  <c r="O48" i="1"/>
  <c r="N48" i="1"/>
  <c r="M48" i="1"/>
  <c r="L48" i="1"/>
  <c r="O47" i="1"/>
  <c r="N47" i="1"/>
  <c r="M47" i="1"/>
  <c r="L47" i="1"/>
  <c r="O46" i="1"/>
  <c r="N46" i="1"/>
  <c r="M46" i="1"/>
  <c r="L46" i="1"/>
  <c r="O45" i="1"/>
  <c r="N45" i="1"/>
  <c r="M45" i="1"/>
  <c r="L45" i="1"/>
  <c r="O44" i="1"/>
  <c r="N44" i="1"/>
  <c r="M44" i="1"/>
  <c r="L44" i="1"/>
  <c r="O43" i="1"/>
  <c r="N43" i="1"/>
  <c r="M43" i="1"/>
  <c r="L43" i="1"/>
  <c r="O42" i="1"/>
  <c r="N42" i="1"/>
  <c r="M42" i="1"/>
  <c r="L42" i="1"/>
  <c r="O41" i="1"/>
  <c r="N41" i="1"/>
  <c r="M41" i="1"/>
  <c r="L41" i="1"/>
  <c r="O40" i="1"/>
  <c r="N40" i="1"/>
  <c r="M40" i="1"/>
  <c r="L40" i="1"/>
  <c r="O39" i="1"/>
  <c r="N39" i="1"/>
  <c r="M39" i="1"/>
  <c r="L39" i="1"/>
  <c r="O38" i="1"/>
  <c r="N38" i="1"/>
  <c r="M38" i="1"/>
  <c r="L38" i="1"/>
  <c r="O37" i="1"/>
  <c r="N37" i="1"/>
  <c r="M37" i="1"/>
  <c r="L37" i="1"/>
  <c r="O36" i="1"/>
  <c r="N36" i="1"/>
  <c r="M36" i="1"/>
  <c r="L36" i="1"/>
  <c r="O35" i="1"/>
  <c r="N35" i="1"/>
  <c r="M35" i="1"/>
  <c r="L35" i="1"/>
  <c r="O34" i="1"/>
  <c r="N34" i="1"/>
  <c r="M34" i="1"/>
  <c r="L34" i="1"/>
  <c r="O33" i="1"/>
  <c r="N33" i="1"/>
  <c r="M33" i="1"/>
  <c r="L33" i="1"/>
  <c r="O32" i="1"/>
  <c r="N32" i="1"/>
  <c r="M32" i="1"/>
  <c r="L32" i="1"/>
  <c r="O31" i="1"/>
  <c r="N31" i="1"/>
  <c r="M31" i="1"/>
  <c r="L31" i="1"/>
  <c r="O30" i="1"/>
  <c r="N30" i="1"/>
  <c r="M30" i="1"/>
  <c r="L30" i="1"/>
  <c r="O29" i="1"/>
  <c r="N29" i="1"/>
  <c r="M29" i="1"/>
  <c r="L29" i="1"/>
  <c r="O28" i="1"/>
  <c r="N28" i="1"/>
  <c r="M28" i="1"/>
  <c r="L28" i="1"/>
  <c r="O27" i="1"/>
  <c r="N27" i="1"/>
  <c r="M27" i="1"/>
  <c r="L27" i="1"/>
  <c r="O26" i="1"/>
  <c r="N26" i="1"/>
  <c r="M26" i="1"/>
  <c r="L26" i="1"/>
  <c r="O25" i="1"/>
  <c r="N25" i="1"/>
  <c r="M25" i="1"/>
  <c r="L25" i="1"/>
  <c r="O24" i="1"/>
  <c r="N24" i="1"/>
  <c r="M24" i="1"/>
  <c r="L24" i="1"/>
  <c r="O23" i="1"/>
  <c r="N23" i="1"/>
  <c r="M23" i="1"/>
  <c r="L23" i="1"/>
  <c r="O22" i="1"/>
  <c r="N22" i="1"/>
  <c r="M22" i="1"/>
  <c r="L22" i="1"/>
  <c r="O21" i="1"/>
  <c r="N21" i="1"/>
  <c r="M21" i="1"/>
  <c r="L21" i="1"/>
  <c r="O20" i="1"/>
  <c r="N20" i="1"/>
  <c r="M20" i="1"/>
  <c r="L20" i="1"/>
  <c r="O19" i="1"/>
  <c r="N19" i="1"/>
  <c r="M19" i="1"/>
  <c r="L19" i="1"/>
  <c r="O18" i="1"/>
  <c r="N18" i="1"/>
  <c r="M18" i="1"/>
  <c r="L18" i="1"/>
  <c r="O17" i="1"/>
  <c r="N17" i="1"/>
  <c r="M17" i="1"/>
  <c r="L17" i="1"/>
  <c r="O16" i="1"/>
  <c r="N16" i="1"/>
  <c r="M16" i="1"/>
  <c r="L16" i="1"/>
  <c r="O15" i="1"/>
  <c r="N15" i="1"/>
  <c r="M15" i="1"/>
  <c r="L15" i="1"/>
  <c r="O14" i="1"/>
  <c r="N14" i="1"/>
  <c r="M14" i="1"/>
  <c r="L14" i="1"/>
  <c r="O13" i="1"/>
  <c r="N13" i="1"/>
  <c r="M13" i="1"/>
  <c r="L13" i="1"/>
  <c r="O12" i="1"/>
  <c r="N12" i="1"/>
  <c r="M12" i="1"/>
  <c r="L12" i="1"/>
  <c r="O11" i="1"/>
  <c r="N11" i="1"/>
  <c r="M11" i="1"/>
  <c r="L11" i="1"/>
  <c r="O10" i="1"/>
  <c r="N10" i="1"/>
  <c r="M10" i="1"/>
  <c r="L10" i="1"/>
  <c r="O9" i="1"/>
  <c r="N9" i="1"/>
  <c r="M9" i="1"/>
  <c r="L9" i="1"/>
  <c r="O8" i="1"/>
  <c r="N8" i="1"/>
  <c r="M8" i="1"/>
  <c r="L8" i="1"/>
  <c r="O7" i="1"/>
  <c r="N7" i="1"/>
  <c r="M7" i="1"/>
  <c r="L7" i="1"/>
  <c r="O6" i="1"/>
  <c r="N6" i="1"/>
  <c r="M6" i="1"/>
  <c r="L6" i="1"/>
  <c r="O5" i="1"/>
  <c r="N5" i="1"/>
  <c r="M5" i="1"/>
  <c r="L5" i="1"/>
  <c r="O4" i="1"/>
  <c r="N4" i="1"/>
  <c r="M4" i="1"/>
  <c r="L4" i="1"/>
  <c r="O3" i="1"/>
  <c r="N3" i="1"/>
  <c r="M3" i="1"/>
  <c r="L3" i="1"/>
  <c r="O2" i="1"/>
  <c r="N2" i="1"/>
  <c r="M2" i="1"/>
  <c r="L2" i="1"/>
  <c r="I5" i="5" l="1"/>
  <c r="H6" i="5" a="1"/>
  <c r="H6" i="5" s="1"/>
  <c r="H8" i="5" s="1"/>
  <c r="H9" i="5" a="1"/>
  <c r="H9" i="5" s="1"/>
  <c r="H12" i="5" s="1"/>
  <c r="H7" i="5" a="1"/>
  <c r="H7" i="5" s="1"/>
  <c r="G6" i="5" a="1"/>
  <c r="G6" i="5" s="1"/>
  <c r="G8" i="5" s="1"/>
  <c r="H10" i="5" a="1"/>
  <c r="H10" i="5" s="1"/>
  <c r="G12" i="5"/>
  <c r="I8" i="3" a="1"/>
  <c r="I8" i="3" s="1"/>
  <c r="I9" i="3" s="1"/>
  <c r="H11" i="3" a="1"/>
  <c r="H11" i="3" s="1"/>
  <c r="H13" i="3" s="1"/>
  <c r="J6" i="3"/>
  <c r="H8" i="3" a="1"/>
  <c r="H8" i="3" s="1"/>
  <c r="H9" i="3" s="1"/>
  <c r="I10" i="3" a="1"/>
  <c r="I10" i="3" s="1"/>
  <c r="I13" i="3" s="1"/>
  <c r="I11" i="3" a="1"/>
  <c r="I11" i="3" s="1"/>
  <c r="I12" i="3" a="1"/>
  <c r="I12" i="3" s="1"/>
  <c r="H12" i="3" a="1"/>
  <c r="H12" i="3" s="1"/>
  <c r="G9" i="3"/>
  <c r="G13" i="3"/>
  <c r="S8" i="2"/>
  <c r="I7" i="5" l="1" a="1"/>
  <c r="I7" i="5" s="1"/>
  <c r="I6" i="5" a="1"/>
  <c r="I6" i="5" s="1"/>
  <c r="I11" i="5" a="1"/>
  <c r="I11" i="5" s="1"/>
  <c r="I10" i="5" a="1"/>
  <c r="I10" i="5" s="1"/>
  <c r="I9" i="5" a="1"/>
  <c r="I9" i="5" s="1"/>
  <c r="J5" i="5"/>
  <c r="H18" i="5"/>
  <c r="H19" i="5"/>
  <c r="H13" i="5"/>
  <c r="H20" i="5" s="1"/>
  <c r="G19" i="5"/>
  <c r="G13" i="5"/>
  <c r="G20" i="5" s="1"/>
  <c r="I14" i="3"/>
  <c r="J8" i="3" a="1"/>
  <c r="J8" i="3" s="1"/>
  <c r="J12" i="3" a="1"/>
  <c r="J12" i="3" s="1"/>
  <c r="J7" i="3" a="1"/>
  <c r="J7" i="3" s="1"/>
  <c r="J10" i="3" a="1"/>
  <c r="J10" i="3" s="1"/>
  <c r="J13" i="3" s="1"/>
  <c r="J11" i="3" a="1"/>
  <c r="J11" i="3" s="1"/>
  <c r="H14" i="3"/>
  <c r="G14" i="3"/>
  <c r="J11" i="5" l="1" a="1"/>
  <c r="J11" i="5" s="1"/>
  <c r="J10" i="5" a="1"/>
  <c r="J10" i="5" s="1"/>
  <c r="J9" i="5" a="1"/>
  <c r="J9" i="5" s="1"/>
  <c r="J7" i="5" a="1"/>
  <c r="J7" i="5" s="1"/>
  <c r="J6" i="5" a="1"/>
  <c r="J6" i="5" s="1"/>
  <c r="K5" i="5"/>
  <c r="L5" i="5" s="1"/>
  <c r="I12" i="5"/>
  <c r="I18" i="5"/>
  <c r="I8" i="5"/>
  <c r="J9" i="3"/>
  <c r="J14" i="3" s="1"/>
  <c r="J12" i="5" l="1"/>
  <c r="J18" i="5"/>
  <c r="J8" i="5"/>
  <c r="I19" i="5"/>
  <c r="I13" i="5"/>
  <c r="I20" i="5" s="1"/>
  <c r="G28" i="5"/>
  <c r="G27" i="5" l="1"/>
  <c r="K18" i="5" s="1"/>
  <c r="K6" i="5" s="1"/>
  <c r="G29" i="5"/>
  <c r="H28" i="5"/>
  <c r="J13" i="5"/>
  <c r="J20" i="5" s="1"/>
  <c r="G36" i="5" s="1"/>
  <c r="J19" i="5"/>
  <c r="G32" i="5" s="1"/>
  <c r="G33" i="5" l="1"/>
  <c r="H32" i="5"/>
  <c r="G31" i="5"/>
  <c r="K19" i="5" s="1"/>
  <c r="K8" i="5" s="1"/>
  <c r="H36" i="5"/>
  <c r="G35" i="5"/>
  <c r="K20" i="5" s="1"/>
  <c r="K13" i="5" s="1"/>
  <c r="G37" i="5"/>
  <c r="H27" i="5"/>
  <c r="L18" i="5" s="1"/>
  <c r="L6" i="5" s="1"/>
  <c r="H29" i="5"/>
  <c r="H35" i="5" l="1"/>
  <c r="L20" i="5" s="1"/>
  <c r="L13" i="5" s="1"/>
  <c r="H37" i="5"/>
  <c r="H31" i="5"/>
  <c r="L19" i="5" s="1"/>
  <c r="L8" i="5" s="1"/>
  <c r="H33"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<sst xmlns="http://schemas.openxmlformats.org/spreadsheetml/2006/main" count="6342" uniqueCount="623">
  <si>
    <t>Ticker Symbol</t>
  </si>
  <si>
    <t>Years</t>
  </si>
  <si>
    <t>Year</t>
  </si>
  <si>
    <t>Period Ending</t>
  </si>
  <si>
    <t xml:space="preserve"> Total Revenue </t>
  </si>
  <si>
    <t xml:space="preserve"> Cost of Goods Sold </t>
  </si>
  <si>
    <t xml:space="preserve"> Sales, General and Admin</t>
  </si>
  <si>
    <t xml:space="preserve"> Research and Development </t>
  </si>
  <si>
    <t xml:space="preserve"> Other Operating Items </t>
  </si>
  <si>
    <t>GICS Sector</t>
  </si>
  <si>
    <t>GICS Sub Industry</t>
  </si>
  <si>
    <t>AAL</t>
  </si>
  <si>
    <t>Industrials</t>
  </si>
  <si>
    <t>Airlines</t>
  </si>
  <si>
    <t>AAP</t>
  </si>
  <si>
    <t>Consumer Discretionary</t>
  </si>
  <si>
    <t>Automotive Retail</t>
  </si>
  <si>
    <t>AAPL</t>
  </si>
  <si>
    <t>Information Technology</t>
  </si>
  <si>
    <t>Computer Hardware</t>
  </si>
  <si>
    <t>ABBV</t>
  </si>
  <si>
    <t>Health Care</t>
  </si>
  <si>
    <t>Pharmaceuticals</t>
  </si>
  <si>
    <t>ABC</t>
  </si>
  <si>
    <t>Health Care Distributors</t>
  </si>
  <si>
    <t>ABT</t>
  </si>
  <si>
    <t>Health Care Equipment</t>
  </si>
  <si>
    <t>ADBE</t>
  </si>
  <si>
    <t>Application Software</t>
  </si>
  <si>
    <t>ADI</t>
  </si>
  <si>
    <t>Semiconductors</t>
  </si>
  <si>
    <t>ADM</t>
  </si>
  <si>
    <t>Consumer Staples</t>
  </si>
  <si>
    <t>Agricultural Products</t>
  </si>
  <si>
    <t>ADS</t>
  </si>
  <si>
    <t>Data Processing &amp; Outsourced Services</t>
  </si>
  <si>
    <t>ADSK</t>
  </si>
  <si>
    <t>AEE</t>
  </si>
  <si>
    <t>Utilities</t>
  </si>
  <si>
    <t>MultiUtilities</t>
  </si>
  <si>
    <t>AEP</t>
  </si>
  <si>
    <t>Electric Utilities</t>
  </si>
  <si>
    <t>AFL</t>
  </si>
  <si>
    <t>Financials</t>
  </si>
  <si>
    <t>Life &amp; Health Insurance</t>
  </si>
  <si>
    <t>AIG</t>
  </si>
  <si>
    <t>Property &amp; Casualty Insurance</t>
  </si>
  <si>
    <t>AIV</t>
  </si>
  <si>
    <t>Real Estate</t>
  </si>
  <si>
    <t>REITs</t>
  </si>
  <si>
    <t>AIZ</t>
  </si>
  <si>
    <t>Multi-line Insurance</t>
  </si>
  <si>
    <t>AKAM</t>
  </si>
  <si>
    <t>Internet Software &amp; Services</t>
  </si>
  <si>
    <t>ALB</t>
  </si>
  <si>
    <t>Materials</t>
  </si>
  <si>
    <t>Specialty Chemicals</t>
  </si>
  <si>
    <t>ALK</t>
  </si>
  <si>
    <t>ALL</t>
  </si>
  <si>
    <t>ALLE</t>
  </si>
  <si>
    <t>Building Products</t>
  </si>
  <si>
    <t>ALXN</t>
  </si>
  <si>
    <t>Biotechnology</t>
  </si>
  <si>
    <t>AMAT</t>
  </si>
  <si>
    <t>Semiconductor Equipment</t>
  </si>
  <si>
    <t>AME</t>
  </si>
  <si>
    <t>Electrical Components &amp; Equipment</t>
  </si>
  <si>
    <t>AMGN</t>
  </si>
  <si>
    <t>AMP</t>
  </si>
  <si>
    <t>Asset Management &amp; Custody Banks</t>
  </si>
  <si>
    <t>AMT</t>
  </si>
  <si>
    <t>Specialized REITs</t>
  </si>
  <si>
    <t>AMZN</t>
  </si>
  <si>
    <t>Internet &amp; Direct Marketing Retail</t>
  </si>
  <si>
    <t>AN</t>
  </si>
  <si>
    <t>Specialty Stores</t>
  </si>
  <si>
    <t>ANTM</t>
  </si>
  <si>
    <t>Managed Health Care</t>
  </si>
  <si>
    <t>APA</t>
  </si>
  <si>
    <t>Energy</t>
  </si>
  <si>
    <t>Oil &amp; Gas Exploration &amp; Production</t>
  </si>
  <si>
    <t>APC</t>
  </si>
  <si>
    <t>APD</t>
  </si>
  <si>
    <t>Industrial Gases</t>
  </si>
  <si>
    <t>APH</t>
  </si>
  <si>
    <t>Electronic Components</t>
  </si>
  <si>
    <t>ARNC</t>
  </si>
  <si>
    <t>Aerospace &amp; Defense</t>
  </si>
  <si>
    <t>ATVI</t>
  </si>
  <si>
    <t>Home Entertainment Software</t>
  </si>
  <si>
    <t>AVGO</t>
  </si>
  <si>
    <t>AVY</t>
  </si>
  <si>
    <t>Paper Packaging</t>
  </si>
  <si>
    <t>AWK</t>
  </si>
  <si>
    <t>Water Utilities</t>
  </si>
  <si>
    <t>AXP</t>
  </si>
  <si>
    <t>Consumer Finance</t>
  </si>
  <si>
    <t>AYI</t>
  </si>
  <si>
    <t>AZO</t>
  </si>
  <si>
    <t>BA</t>
  </si>
  <si>
    <t>BAC</t>
  </si>
  <si>
    <t>Banks</t>
  </si>
  <si>
    <t>BAX</t>
  </si>
  <si>
    <t>BBBY</t>
  </si>
  <si>
    <t>BBT</t>
  </si>
  <si>
    <t>BBY</t>
  </si>
  <si>
    <t>Computer &amp; Electronics Retail</t>
  </si>
  <si>
    <t>BCR</t>
  </si>
  <si>
    <t>BDX</t>
  </si>
  <si>
    <t>BHI</t>
  </si>
  <si>
    <t>Oil &amp; Gas Equipment &amp; Services</t>
  </si>
  <si>
    <t>BIIB</t>
  </si>
  <si>
    <t>BLL</t>
  </si>
  <si>
    <t>Metal &amp; Glass Containers</t>
  </si>
  <si>
    <t>BMY</t>
  </si>
  <si>
    <t>BSX</t>
  </si>
  <si>
    <t>BWA</t>
  </si>
  <si>
    <t>Auto Parts &amp; Equipment</t>
  </si>
  <si>
    <t>BXP</t>
  </si>
  <si>
    <t>CAG</t>
  </si>
  <si>
    <t>Packaged Foods &amp; Meats</t>
  </si>
  <si>
    <t>CAH</t>
  </si>
  <si>
    <t>CAT</t>
  </si>
  <si>
    <t>Construction &amp; Farm Machinery &amp; Heavy Trucks</t>
  </si>
  <si>
    <t>CB</t>
  </si>
  <si>
    <t>CBG</t>
  </si>
  <si>
    <t>Real Estate Services</t>
  </si>
  <si>
    <t>CCI</t>
  </si>
  <si>
    <t>CCL</t>
  </si>
  <si>
    <t>Hotels, Resorts &amp; Cruise Lines</t>
  </si>
  <si>
    <t>CELG</t>
  </si>
  <si>
    <t>CERN</t>
  </si>
  <si>
    <t>Health Care Technology</t>
  </si>
  <si>
    <t>CF</t>
  </si>
  <si>
    <t>Fertilizers &amp; Agricultural Chemicals</t>
  </si>
  <si>
    <t>CFG</t>
  </si>
  <si>
    <t>Regional Banks</t>
  </si>
  <si>
    <t>CHD</t>
  </si>
  <si>
    <t>Household Products</t>
  </si>
  <si>
    <t>CHK</t>
  </si>
  <si>
    <t>Integrated Oil &amp; Gas</t>
  </si>
  <si>
    <t>CHRW</t>
  </si>
  <si>
    <t>Air Freight &amp; Logistics</t>
  </si>
  <si>
    <t>CHTR</t>
  </si>
  <si>
    <t>Cable &amp; Satellite</t>
  </si>
  <si>
    <t>CI</t>
  </si>
  <si>
    <t>CINF</t>
  </si>
  <si>
    <t>CL</t>
  </si>
  <si>
    <t>CLX</t>
  </si>
  <si>
    <t>CMA</t>
  </si>
  <si>
    <t>CMG</t>
  </si>
  <si>
    <t>Restaurants</t>
  </si>
  <si>
    <t>CMI</t>
  </si>
  <si>
    <t>Industrial Machinery</t>
  </si>
  <si>
    <t>CMS</t>
  </si>
  <si>
    <t>CNC</t>
  </si>
  <si>
    <t>CNP</t>
  </si>
  <si>
    <t>COF</t>
  </si>
  <si>
    <t>COG</t>
  </si>
  <si>
    <t>COL</t>
  </si>
  <si>
    <t>Industrial Conglomerates</t>
  </si>
  <si>
    <t>COO</t>
  </si>
  <si>
    <t>Health Care Supplies</t>
  </si>
  <si>
    <t>COST</t>
  </si>
  <si>
    <t>Hypermarkets &amp; Super Centers</t>
  </si>
  <si>
    <t>COTY</t>
  </si>
  <si>
    <t>Personal Products</t>
  </si>
  <si>
    <t>CPB</t>
  </si>
  <si>
    <t>CRM</t>
  </si>
  <si>
    <t>CSCO</t>
  </si>
  <si>
    <t>Networking Equipment</t>
  </si>
  <si>
    <t>CSRA</t>
  </si>
  <si>
    <t>IT Consulting &amp; Other Services</t>
  </si>
  <si>
    <t>CSX</t>
  </si>
  <si>
    <t>Railroads</t>
  </si>
  <si>
    <t>CTAS</t>
  </si>
  <si>
    <t>Diversified Support Services</t>
  </si>
  <si>
    <t>CTL</t>
  </si>
  <si>
    <t>Telecommunications Services</t>
  </si>
  <si>
    <t>Integrated Telecommunications Services</t>
  </si>
  <si>
    <t>CTSH</t>
  </si>
  <si>
    <t>CTXS</t>
  </si>
  <si>
    <t>CVS</t>
  </si>
  <si>
    <t>Drug Retail</t>
  </si>
  <si>
    <t>CVX</t>
  </si>
  <si>
    <t>CXO</t>
  </si>
  <si>
    <t>D</t>
  </si>
  <si>
    <t>DAL</t>
  </si>
  <si>
    <t>DD</t>
  </si>
  <si>
    <t>Diversified Chemicals</t>
  </si>
  <si>
    <t>DE</t>
  </si>
  <si>
    <t>DFS</t>
  </si>
  <si>
    <t>DG</t>
  </si>
  <si>
    <t>General Merchandise Stores</t>
  </si>
  <si>
    <t>DGX</t>
  </si>
  <si>
    <t>Health Care Facilities</t>
  </si>
  <si>
    <t>DHI</t>
  </si>
  <si>
    <t>Homebuilding</t>
  </si>
  <si>
    <t>DHR</t>
  </si>
  <si>
    <t>DIS</t>
  </si>
  <si>
    <t>Broadcasting &amp; Cable TV</t>
  </si>
  <si>
    <t>DISCA</t>
  </si>
  <si>
    <t>DISCK</t>
  </si>
  <si>
    <t>DLPH</t>
  </si>
  <si>
    <t>DLR</t>
  </si>
  <si>
    <t>DLTR</t>
  </si>
  <si>
    <t>DNB</t>
  </si>
  <si>
    <t>Research &amp; Consulting Services</t>
  </si>
  <si>
    <t>DOV</t>
  </si>
  <si>
    <t>DPS</t>
  </si>
  <si>
    <t>Soft Drinks</t>
  </si>
  <si>
    <t>DRI</t>
  </si>
  <si>
    <t>DUK</t>
  </si>
  <si>
    <t>DVA</t>
  </si>
  <si>
    <t>DVN</t>
  </si>
  <si>
    <t>EA</t>
  </si>
  <si>
    <t>EBAY</t>
  </si>
  <si>
    <t>ECL</t>
  </si>
  <si>
    <t>ED</t>
  </si>
  <si>
    <t>EFX</t>
  </si>
  <si>
    <t>EIX</t>
  </si>
  <si>
    <t>EL</t>
  </si>
  <si>
    <t>EMN</t>
  </si>
  <si>
    <t>EMR</t>
  </si>
  <si>
    <t>EOG</t>
  </si>
  <si>
    <t>EQIX</t>
  </si>
  <si>
    <t>EQR</t>
  </si>
  <si>
    <t>EQT</t>
  </si>
  <si>
    <t>ES</t>
  </si>
  <si>
    <t>ESS</t>
  </si>
  <si>
    <t>Residential REITs</t>
  </si>
  <si>
    <t>ETFC</t>
  </si>
  <si>
    <t>Investment Banking &amp; Brokerage</t>
  </si>
  <si>
    <t>ETN</t>
  </si>
  <si>
    <t>ETR</t>
  </si>
  <si>
    <t>EW</t>
  </si>
  <si>
    <t>EXC</t>
  </si>
  <si>
    <t>EXPD</t>
  </si>
  <si>
    <t>EXPE</t>
  </si>
  <si>
    <t>EXR</t>
  </si>
  <si>
    <t>F</t>
  </si>
  <si>
    <t>Automobile Manufacturers</t>
  </si>
  <si>
    <t>FAST</t>
  </si>
  <si>
    <t>FB</t>
  </si>
  <si>
    <t>FBHS</t>
  </si>
  <si>
    <t>FCX</t>
  </si>
  <si>
    <t>Copper</t>
  </si>
  <si>
    <t>FDX</t>
  </si>
  <si>
    <t>FE</t>
  </si>
  <si>
    <t>FFIV</t>
  </si>
  <si>
    <t>FIS</t>
  </si>
  <si>
    <t>FISV</t>
  </si>
  <si>
    <t>FL</t>
  </si>
  <si>
    <t>Apparel Retail</t>
  </si>
  <si>
    <t>FLIR</t>
  </si>
  <si>
    <t>Electronic Equipment &amp; Instruments</t>
  </si>
  <si>
    <t>FLR</t>
  </si>
  <si>
    <t>Diversified Commercial Services</t>
  </si>
  <si>
    <t>FLS</t>
  </si>
  <si>
    <t>FMC</t>
  </si>
  <si>
    <t>FRT</t>
  </si>
  <si>
    <t>Retail REITs</t>
  </si>
  <si>
    <t>FSLR</t>
  </si>
  <si>
    <t>FTR</t>
  </si>
  <si>
    <t>GD</t>
  </si>
  <si>
    <t>GGP</t>
  </si>
  <si>
    <t>GILD</t>
  </si>
  <si>
    <t>GIS</t>
  </si>
  <si>
    <t>GLW</t>
  </si>
  <si>
    <t>GM</t>
  </si>
  <si>
    <t>GPC</t>
  </si>
  <si>
    <t>GPN</t>
  </si>
  <si>
    <t>GPS</t>
  </si>
  <si>
    <t>GRMN</t>
  </si>
  <si>
    <t>Consumer Electronics</t>
  </si>
  <si>
    <t>GT</t>
  </si>
  <si>
    <t>Tires &amp; Rubber</t>
  </si>
  <si>
    <t>GWW</t>
  </si>
  <si>
    <t>Industrial Materials</t>
  </si>
  <si>
    <t>HAL</t>
  </si>
  <si>
    <t>HAR</t>
  </si>
  <si>
    <t>HAS</t>
  </si>
  <si>
    <t>Leisure Products</t>
  </si>
  <si>
    <t>HBAN</t>
  </si>
  <si>
    <t>HBI</t>
  </si>
  <si>
    <t>Apparel, Accessories &amp; Luxury Goods</t>
  </si>
  <si>
    <t>HCA</t>
  </si>
  <si>
    <t>HCN</t>
  </si>
  <si>
    <t>HCP</t>
  </si>
  <si>
    <t>HD</t>
  </si>
  <si>
    <t>Home Improvement Retail</t>
  </si>
  <si>
    <t>HES</t>
  </si>
  <si>
    <t>HIG</t>
  </si>
  <si>
    <t>HOG</t>
  </si>
  <si>
    <t>Motorcycle Manufacturers</t>
  </si>
  <si>
    <t>HOLX</t>
  </si>
  <si>
    <t>HON</t>
  </si>
  <si>
    <t>HP</t>
  </si>
  <si>
    <t>Oil &amp; Gas Drilling</t>
  </si>
  <si>
    <t>HPE</t>
  </si>
  <si>
    <t>Technology Hardware, Storage &amp; Peripherals</t>
  </si>
  <si>
    <t>HPQ</t>
  </si>
  <si>
    <t>HRB</t>
  </si>
  <si>
    <t>HRL</t>
  </si>
  <si>
    <t>HRS</t>
  </si>
  <si>
    <t>Telecommunications Equipment</t>
  </si>
  <si>
    <t>HSIC</t>
  </si>
  <si>
    <t>HST</t>
  </si>
  <si>
    <t>HSY</t>
  </si>
  <si>
    <t>HUM</t>
  </si>
  <si>
    <t>IBM</t>
  </si>
  <si>
    <t>IDXX</t>
  </si>
  <si>
    <t>IFF</t>
  </si>
  <si>
    <t>ILMN</t>
  </si>
  <si>
    <t>Life Sciences Tools &amp; Services</t>
  </si>
  <si>
    <t>INTC</t>
  </si>
  <si>
    <t>INTU</t>
  </si>
  <si>
    <t>IP</t>
  </si>
  <si>
    <t>IPG</t>
  </si>
  <si>
    <t>Advertising</t>
  </si>
  <si>
    <t>IRM</t>
  </si>
  <si>
    <t>ISRG</t>
  </si>
  <si>
    <t>ITW</t>
  </si>
  <si>
    <t>IVZ</t>
  </si>
  <si>
    <t>JBHT</t>
  </si>
  <si>
    <t>Trucking</t>
  </si>
  <si>
    <t>JEC</t>
  </si>
  <si>
    <t>JNPR</t>
  </si>
  <si>
    <t>JPM</t>
  </si>
  <si>
    <t>JWN</t>
  </si>
  <si>
    <t>Department Stores</t>
  </si>
  <si>
    <t>K</t>
  </si>
  <si>
    <t>KEY</t>
  </si>
  <si>
    <t>KIM</t>
  </si>
  <si>
    <t>KLAC</t>
  </si>
  <si>
    <t>KMB</t>
  </si>
  <si>
    <t>KMI</t>
  </si>
  <si>
    <t>Oil &amp; Gas Refining &amp; Marketing &amp; Transportation</t>
  </si>
  <si>
    <t>KMX</t>
  </si>
  <si>
    <t>KO</t>
  </si>
  <si>
    <t>KORS</t>
  </si>
  <si>
    <t>KR</t>
  </si>
  <si>
    <t>Food Retail</t>
  </si>
  <si>
    <t>KSS</t>
  </si>
  <si>
    <t>KSU</t>
  </si>
  <si>
    <t>LB</t>
  </si>
  <si>
    <t>LEG</t>
  </si>
  <si>
    <t>LEN</t>
  </si>
  <si>
    <t>LH</t>
  </si>
  <si>
    <t>LKQ</t>
  </si>
  <si>
    <t>Distributors</t>
  </si>
  <si>
    <t>LLL</t>
  </si>
  <si>
    <t>LLTC</t>
  </si>
  <si>
    <t>LLY</t>
  </si>
  <si>
    <t>LMT</t>
  </si>
  <si>
    <t>LNT</t>
  </si>
  <si>
    <t>LOW</t>
  </si>
  <si>
    <t>LRCX</t>
  </si>
  <si>
    <t>LUK</t>
  </si>
  <si>
    <t>Multi-Sector Holdings</t>
  </si>
  <si>
    <t>LUV</t>
  </si>
  <si>
    <t>LVLT</t>
  </si>
  <si>
    <t>Alternative Carriers</t>
  </si>
  <si>
    <t>LYB</t>
  </si>
  <si>
    <t>M</t>
  </si>
  <si>
    <t>MA</t>
  </si>
  <si>
    <t>MAA</t>
  </si>
  <si>
    <t>MAC</t>
  </si>
  <si>
    <t>MAR</t>
  </si>
  <si>
    <t>MAS</t>
  </si>
  <si>
    <t>MAT</t>
  </si>
  <si>
    <t>MCD</t>
  </si>
  <si>
    <t>MCHP</t>
  </si>
  <si>
    <t>MCK</t>
  </si>
  <si>
    <t>MCO</t>
  </si>
  <si>
    <t>Diversified Financial Services</t>
  </si>
  <si>
    <t>MDLZ</t>
  </si>
  <si>
    <t>MET</t>
  </si>
  <si>
    <t>MHK</t>
  </si>
  <si>
    <t>Home Furnishings</t>
  </si>
  <si>
    <t>MJN</t>
  </si>
  <si>
    <t>MKC</t>
  </si>
  <si>
    <t>MLM</t>
  </si>
  <si>
    <t>Construction Materials</t>
  </si>
  <si>
    <t>MMC</t>
  </si>
  <si>
    <t>Insurance Brokers</t>
  </si>
  <si>
    <t>MMM</t>
  </si>
  <si>
    <t>MNST</t>
  </si>
  <si>
    <t>MO</t>
  </si>
  <si>
    <t>Tobacco</t>
  </si>
  <si>
    <t>MON</t>
  </si>
  <si>
    <t>MOS</t>
  </si>
  <si>
    <t>MPC</t>
  </si>
  <si>
    <t>MRK</t>
  </si>
  <si>
    <t>MRO</t>
  </si>
  <si>
    <t>MSFT</t>
  </si>
  <si>
    <t>Systems Software</t>
  </si>
  <si>
    <t>MTB</t>
  </si>
  <si>
    <t>MTD</t>
  </si>
  <si>
    <t>MU</t>
  </si>
  <si>
    <t>MUR</t>
  </si>
  <si>
    <t>MYL</t>
  </si>
  <si>
    <t>NBL</t>
  </si>
  <si>
    <t>NDAQ</t>
  </si>
  <si>
    <t>NEE</t>
  </si>
  <si>
    <t>NEM</t>
  </si>
  <si>
    <t>Gold</t>
  </si>
  <si>
    <t>NFLX</t>
  </si>
  <si>
    <t>NFX</t>
  </si>
  <si>
    <t>NKE</t>
  </si>
  <si>
    <t>NLSN</t>
  </si>
  <si>
    <t>NOV</t>
  </si>
  <si>
    <t>NSC</t>
  </si>
  <si>
    <t>NTAP</t>
  </si>
  <si>
    <t>NUE</t>
  </si>
  <si>
    <t>Steel</t>
  </si>
  <si>
    <t>NVDA</t>
  </si>
  <si>
    <t>NWL</t>
  </si>
  <si>
    <t>Housewares &amp; Specialties</t>
  </si>
  <si>
    <t>O</t>
  </si>
  <si>
    <t>OKE</t>
  </si>
  <si>
    <t>OMC</t>
  </si>
  <si>
    <t>ORLY</t>
  </si>
  <si>
    <t>OXY</t>
  </si>
  <si>
    <t>PBCT</t>
  </si>
  <si>
    <t>Thrifts &amp; Mortgage Finance</t>
  </si>
  <si>
    <t>PBI</t>
  </si>
  <si>
    <t>Technology, Hardware, Software and Supplies</t>
  </si>
  <si>
    <t>PCAR</t>
  </si>
  <si>
    <t>PCG</t>
  </si>
  <si>
    <t>PCLN</t>
  </si>
  <si>
    <t>PDCO</t>
  </si>
  <si>
    <t>PEG</t>
  </si>
  <si>
    <t>PEP</t>
  </si>
  <si>
    <t>PFE</t>
  </si>
  <si>
    <t>PFG</t>
  </si>
  <si>
    <t>PG</t>
  </si>
  <si>
    <t>PGR</t>
  </si>
  <si>
    <t>PH</t>
  </si>
  <si>
    <t>PHM</t>
  </si>
  <si>
    <t>PKI</t>
  </si>
  <si>
    <t>PM</t>
  </si>
  <si>
    <t>PNC</t>
  </si>
  <si>
    <t>PNR</t>
  </si>
  <si>
    <t>PNW</t>
  </si>
  <si>
    <t>PPG</t>
  </si>
  <si>
    <t>PPL</t>
  </si>
  <si>
    <t>PRU</t>
  </si>
  <si>
    <t>PSX</t>
  </si>
  <si>
    <t>PVH</t>
  </si>
  <si>
    <t>PWR</t>
  </si>
  <si>
    <t>PX</t>
  </si>
  <si>
    <t>QCOM</t>
  </si>
  <si>
    <t>QRVO</t>
  </si>
  <si>
    <t>R</t>
  </si>
  <si>
    <t>RCL</t>
  </si>
  <si>
    <t>REGN</t>
  </si>
  <si>
    <t>RHI</t>
  </si>
  <si>
    <t>Human Resource &amp; Employment Services</t>
  </si>
  <si>
    <t>RHT</t>
  </si>
  <si>
    <t>RL</t>
  </si>
  <si>
    <t>ROK</t>
  </si>
  <si>
    <t>ROP</t>
  </si>
  <si>
    <t>ROST</t>
  </si>
  <si>
    <t>RRC</t>
  </si>
  <si>
    <t>RSG</t>
  </si>
  <si>
    <t>SBUX</t>
  </si>
  <si>
    <t>SCG</t>
  </si>
  <si>
    <t>SE</t>
  </si>
  <si>
    <t>SEE</t>
  </si>
  <si>
    <t>SHW</t>
  </si>
  <si>
    <t>SIG</t>
  </si>
  <si>
    <t>SJM</t>
  </si>
  <si>
    <t>SLG</t>
  </si>
  <si>
    <t>Office REITs</t>
  </si>
  <si>
    <t>SNA</t>
  </si>
  <si>
    <t>Household Appliances</t>
  </si>
  <si>
    <t>SNI</t>
  </si>
  <si>
    <t>SO</t>
  </si>
  <si>
    <t>SPG</t>
  </si>
  <si>
    <t>SPLS</t>
  </si>
  <si>
    <t>SRCL</t>
  </si>
  <si>
    <t>SRE</t>
  </si>
  <si>
    <t>STI</t>
  </si>
  <si>
    <t>STX</t>
  </si>
  <si>
    <t>Computer Storage &amp; Peripherals</t>
  </si>
  <si>
    <t>STZ</t>
  </si>
  <si>
    <t>Distillers &amp; Vintners</t>
  </si>
  <si>
    <t>SWK</t>
  </si>
  <si>
    <t>SWKS</t>
  </si>
  <si>
    <t>SWN</t>
  </si>
  <si>
    <t>SYF</t>
  </si>
  <si>
    <t>SYK</t>
  </si>
  <si>
    <t>SYMC</t>
  </si>
  <si>
    <t>SYY</t>
  </si>
  <si>
    <t>Food Distributors</t>
  </si>
  <si>
    <t>T</t>
  </si>
  <si>
    <t>TAP</t>
  </si>
  <si>
    <t>Brewers</t>
  </si>
  <si>
    <t>TDC</t>
  </si>
  <si>
    <t>TDG</t>
  </si>
  <si>
    <t>TEL</t>
  </si>
  <si>
    <t>Electronic Manufacturing Services</t>
  </si>
  <si>
    <t>TGNA</t>
  </si>
  <si>
    <t>Publishing</t>
  </si>
  <si>
    <t>TGT</t>
  </si>
  <si>
    <t>TIF</t>
  </si>
  <si>
    <t>TJX</t>
  </si>
  <si>
    <t>TMK</t>
  </si>
  <si>
    <t>TMO</t>
  </si>
  <si>
    <t>TRIP</t>
  </si>
  <si>
    <t>TRV</t>
  </si>
  <si>
    <t>TSCO</t>
  </si>
  <si>
    <t>Specialty Retail</t>
  </si>
  <si>
    <t>TSN</t>
  </si>
  <si>
    <t>TSO</t>
  </si>
  <si>
    <t>TSS</t>
  </si>
  <si>
    <t>TXN</t>
  </si>
  <si>
    <t>TXT</t>
  </si>
  <si>
    <t>UA</t>
  </si>
  <si>
    <t>UAA</t>
  </si>
  <si>
    <t>UAL</t>
  </si>
  <si>
    <t>UDR</t>
  </si>
  <si>
    <t>ULTA</t>
  </si>
  <si>
    <t>UNH</t>
  </si>
  <si>
    <t>UNM</t>
  </si>
  <si>
    <t>UNP</t>
  </si>
  <si>
    <t>UPS</t>
  </si>
  <si>
    <t>URBN</t>
  </si>
  <si>
    <t>USB</t>
  </si>
  <si>
    <t>UTX</t>
  </si>
  <si>
    <t>V</t>
  </si>
  <si>
    <t>VAR</t>
  </si>
  <si>
    <t>VFC</t>
  </si>
  <si>
    <t>VIAB</t>
  </si>
  <si>
    <t>VLO</t>
  </si>
  <si>
    <t>VMC</t>
  </si>
  <si>
    <t>VNO</t>
  </si>
  <si>
    <t>VRSK</t>
  </si>
  <si>
    <t>VRSN</t>
  </si>
  <si>
    <t>VRTX</t>
  </si>
  <si>
    <t>VTR</t>
  </si>
  <si>
    <t>VZ</t>
  </si>
  <si>
    <t>WAT</t>
  </si>
  <si>
    <t>WDC</t>
  </si>
  <si>
    <t>WEC</t>
  </si>
  <si>
    <t>WFC</t>
  </si>
  <si>
    <t>WFM</t>
  </si>
  <si>
    <t>WHR</t>
  </si>
  <si>
    <t>WM</t>
  </si>
  <si>
    <t>Environmental Services</t>
  </si>
  <si>
    <t>WMB</t>
  </si>
  <si>
    <t>WMT</t>
  </si>
  <si>
    <t>WRK</t>
  </si>
  <si>
    <t>WU</t>
  </si>
  <si>
    <t>WY</t>
  </si>
  <si>
    <t>WYN</t>
  </si>
  <si>
    <t>WYNN</t>
  </si>
  <si>
    <t>Casinos &amp; Gaming</t>
  </si>
  <si>
    <t>XEC</t>
  </si>
  <si>
    <t>XEL</t>
  </si>
  <si>
    <t>XL</t>
  </si>
  <si>
    <t>XLNX</t>
  </si>
  <si>
    <t>XOM</t>
  </si>
  <si>
    <t>XRAY</t>
  </si>
  <si>
    <t>XRX</t>
  </si>
  <si>
    <t>XYL</t>
  </si>
  <si>
    <t>YHOO</t>
  </si>
  <si>
    <t>YUM</t>
  </si>
  <si>
    <t>ZBH</t>
  </si>
  <si>
    <t>ZION</t>
  </si>
  <si>
    <t>ZTS</t>
  </si>
  <si>
    <t>Median</t>
  </si>
  <si>
    <t>Mean</t>
  </si>
  <si>
    <t>Standard Deviation</t>
  </si>
  <si>
    <t>Gross Profit</t>
  </si>
  <si>
    <t>Total Operating Expenses</t>
  </si>
  <si>
    <t>Operating Profit (EBIT)</t>
  </si>
  <si>
    <t>Revenue Growth (%)</t>
  </si>
  <si>
    <t>Gross Margin</t>
  </si>
  <si>
    <t>Operating Margin</t>
  </si>
  <si>
    <t>Strong Case</t>
  </si>
  <si>
    <t>Base Case</t>
  </si>
  <si>
    <t>Weak Case</t>
  </si>
  <si>
    <t>Sensitivity Analysis</t>
  </si>
  <si>
    <t>Assumptions</t>
  </si>
  <si>
    <t>Financial Model</t>
  </si>
  <si>
    <t>Maximum</t>
  </si>
  <si>
    <t>Minimum</t>
  </si>
  <si>
    <t>Income Statement</t>
  </si>
  <si>
    <t>Historical</t>
  </si>
  <si>
    <t>Historical (Year)</t>
  </si>
  <si>
    <t xml:space="preserve">   Sales, General and Admin</t>
  </si>
  <si>
    <t xml:space="preserve">   Research and Development </t>
  </si>
  <si>
    <t xml:space="preserve">   Other Operating Items </t>
  </si>
  <si>
    <t xml:space="preserve">Gross Margin </t>
  </si>
  <si>
    <t xml:space="preserve">Operating Margin </t>
  </si>
  <si>
    <t>Mode</t>
  </si>
  <si>
    <t>Range (Max - Min)</t>
  </si>
  <si>
    <t>Quartile 1</t>
  </si>
  <si>
    <t>Quartile 3</t>
  </si>
  <si>
    <t>Ticker Symbol:</t>
  </si>
  <si>
    <t xml:space="preserve">  Cost of Goods Sold </t>
  </si>
  <si>
    <t xml:space="preserve">  Sales, General and Admin</t>
  </si>
  <si>
    <t xml:space="preserve">  Research and Development </t>
  </si>
  <si>
    <t xml:space="preserve">  Other Operating Items </t>
  </si>
  <si>
    <t>Historical Data (Year)</t>
  </si>
  <si>
    <t>Forecast Data (Year)</t>
  </si>
  <si>
    <t>Scenario:</t>
  </si>
  <si>
    <t>Row Labels</t>
  </si>
  <si>
    <t>Grand Total</t>
  </si>
  <si>
    <t xml:space="preserve">Operating Profit </t>
  </si>
  <si>
    <t>Operating Profit</t>
  </si>
  <si>
    <t>Sum of Operating Profit</t>
  </si>
  <si>
    <t>Count of GICS Sector</t>
  </si>
  <si>
    <t>Average of Operating Margin</t>
  </si>
  <si>
    <t>Summary Statistic for Financials and Health Care Sectors</t>
  </si>
  <si>
    <t>Operating Statistics</t>
  </si>
  <si>
    <t>Both Sectors</t>
  </si>
  <si>
    <t>Summary Statistics</t>
  </si>
  <si>
    <t>Financials Operating Profit</t>
  </si>
  <si>
    <t>Health Care Operating Profit</t>
  </si>
  <si>
    <t>Profit &amp; Loss Statement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</si>
</sst>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409]#,##0"/>
    <numFmt numFmtId="165" formatCode="0.0000"/>
    <numFmt numFmtId="166" formatCode="#,##0.0000"/>
  </numFmts>
  <fonts count="2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rgb="FF000000"/>
      <name val="Aptos Narrow"/>
      <scheme val="minor"/>
    </font>
    <font>
      <sz val="10"/>
      <name val="Arial"/>
    </font>
    <font>
      <sz val="14"/>
      <color theme="1"/>
      <name val="Aptos Narrow"/>
      <family val="2"/>
    </font>
    <font>
      <b/>
      <sz val="12"/>
      <color theme="1"/>
      <name val="Aptos Narrow"/>
      <family val="2"/>
      <scheme val="minor"/>
    </font>
    <font>
      <b/>
      <sz val="14"/>
      <color theme="1"/>
      <name val="Aptos Narrow"/>
      <family val="2"/>
      <scheme val="minor"/>
    </font>
    <font>
      <sz val="12"/>
      <color theme="1"/>
      <name val="Aptos Narrow"/>
      <family val="2"/>
      <scheme val="minor"/>
    </font>
    <font>
      <sz val="14"/>
      <color theme="1"/>
      <name val="Aptos Narrow"/>
      <family val="2"/>
      <scheme val="minor"/>
    </font>
    <font>
      <sz val="10"/>
      <color rgb="FF000000"/>
      <name val="Aptos Narrow"/>
      <family val="2"/>
      <scheme val="minor"/>
    </font>
    <font>
      <b/>
      <sz val="16"/>
      <color theme="1"/>
      <name val="Aptos Narrow"/>
      <family val="2"/>
      <scheme val="minor"/>
    </font>
    <font>
      <sz val="8"/>
      <name val="Aptos Narrow"/>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0"/>
        <bgColor theme="4"/>
      </patternFill>
    </fill>
    <fill>
      <patternFill patternType="solid">
        <fgColor theme="9" tint="0.59999389629810485"/>
        <bgColor indexed="64"/>
      </patternFill>
    </fill>
    <fill>
      <patternFill patternType="solid">
        <fgColor theme="9" tint="0.59999389629810485"/>
        <bgColor rgb="FF96DC50"/>
      </patternFill>
    </fill>
    <fill>
      <patternFill patternType="solid">
        <fgColor theme="6" tint="0.59999389629810485"/>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theme="2"/>
      </right>
      <top style="thin">
        <color theme="2"/>
      </top>
      <bottom style="thin">
        <color theme="2"/>
      </bottom>
      <diagonal/>
    </border>
    <border>
      <left/>
      <right style="thin">
        <color theme="2"/>
      </right>
      <top/>
      <bottom/>
      <diagonal/>
    </border>
    <border>
      <left style="thin">
        <color theme="2"/>
      </left>
      <right style="thin">
        <color theme="2"/>
      </right>
      <top/>
      <bottom style="thin">
        <color theme="2"/>
      </bottom>
      <diagonal/>
    </border>
    <border>
      <left/>
      <right style="thin">
        <color theme="2"/>
      </right>
      <top style="thin">
        <color theme="2"/>
      </top>
      <bottom/>
      <diagonal/>
    </border>
    <border>
      <left style="thin">
        <color theme="1"/>
      </left>
      <right style="thin">
        <color theme="1"/>
      </right>
      <top style="thin">
        <color theme="1"/>
      </top>
      <bottom style="thin">
        <color theme="1"/>
      </bottom>
      <diagonal/>
    </border>
    <border>
      <left/>
      <right/>
      <top style="thin">
        <color theme="2"/>
      </top>
      <bottom/>
      <diagonal/>
    </border>
    <border>
      <left/>
      <right/>
      <top style="thin">
        <color theme="2"/>
      </top>
      <bottom style="thin">
        <color theme="2"/>
      </bottom>
      <diagonal/>
    </border>
    <border>
      <left/>
      <right style="thin">
        <color theme="2"/>
      </right>
      <top/>
      <bottom style="thin">
        <color theme="2"/>
      </bottom>
      <diagonal/>
    </border>
    <border>
      <left style="thin">
        <color theme="2"/>
      </left>
      <right/>
      <top/>
      <bottom/>
      <diagonal/>
    </border>
    <border>
      <left style="thin">
        <color theme="1"/>
      </left>
      <right style="thin">
        <color theme="1"/>
      </right>
      <top/>
      <bottom style="thin">
        <color theme="1"/>
      </bottom>
      <diagonal/>
    </border>
    <border>
      <left style="thin">
        <color theme="1"/>
      </left>
      <right style="thin">
        <color theme="1"/>
      </right>
      <top style="thin">
        <color theme="1"/>
      </top>
      <bottom/>
      <diagonal/>
    </border>
    <border>
      <left style="thin">
        <color theme="2"/>
      </left>
      <right/>
      <top style="thin">
        <color theme="2"/>
      </top>
      <bottom/>
      <diagonal/>
    </border>
    <border>
      <left style="thin">
        <color theme="2"/>
      </left>
      <right/>
      <top/>
      <bottom style="thin">
        <color theme="2"/>
      </bottom>
      <diagonal/>
    </border>
    <border>
      <left/>
      <right/>
      <top/>
      <bottom style="medium">
        <color theme="6" tint="0.59999389629810485"/>
      </bottom>
      <diagonal/>
    </border>
    <border>
      <left/>
      <right/>
      <top/>
      <bottom style="double">
        <color indexed="64"/>
      </bottom>
      <diagonal/>
    </border>
  </borders>
  <cellStyleXfs count="45">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xf numFmtId="0" fontId="25" fillId="0" borderId="0"/>
  </cellStyleXfs>
  <cellXfs count="54">
    <xf numFmtId="0" fontId="0" fillId="0" borderId="0" xfId="0"/>
    <xf numFmtId="14" fontId="0" fillId="0" borderId="0" xfId="0" applyNumberFormat="1"/>
    <xf numFmtId="3" fontId="0" fillId="0" borderId="0" xfId="0" applyNumberFormat="1"/>
    <xf numFmtId="0" fontId="0" fillId="0" borderId="10" xfId="0" applyBorder="1"/>
    <xf numFmtId="0" fontId="0" fillId="0" borderId="0" xfId="0" applyAlignment="1">
      <alignment vertical="center"/>
    </xf>
    <xf numFmtId="0" fontId="0" fillId="33" borderId="11" xfId="0" applyFill="1" applyBorder="1"/>
    <xf numFmtId="0" fontId="0" fillId="0" borderId="12" xfId="0" applyBorder="1"/>
    <xf numFmtId="0" fontId="0" fillId="0" borderId="11" xfId="0" applyBorder="1"/>
    <xf numFmtId="0" fontId="13" fillId="34" borderId="16" xfId="0" applyFont="1" applyFill="1" applyBorder="1" applyAlignment="1">
      <alignment vertical="center"/>
    </xf>
    <xf numFmtId="0" fontId="13" fillId="34" borderId="14" xfId="0" applyFont="1" applyFill="1" applyBorder="1" applyAlignment="1">
      <alignment vertical="center"/>
    </xf>
    <xf numFmtId="0" fontId="0" fillId="0" borderId="17" xfId="0" applyBorder="1"/>
    <xf numFmtId="0" fontId="0" fillId="33" borderId="13" xfId="0" applyFill="1" applyBorder="1"/>
    <xf numFmtId="0" fontId="0" fillId="33" borderId="18" xfId="0" applyFill="1" applyBorder="1"/>
    <xf numFmtId="0" fontId="13" fillId="33" borderId="19" xfId="0" applyFont="1" applyFill="1" applyBorder="1" applyAlignment="1">
      <alignment horizontal="center" vertical="center"/>
    </xf>
    <xf numFmtId="0" fontId="19" fillId="0" borderId="0" xfId="43" applyFont="1"/>
    <xf numFmtId="0" fontId="13" fillId="0" borderId="20" xfId="0" applyFont="1" applyBorder="1" applyAlignment="1">
      <alignment horizontal="center" vertical="center"/>
    </xf>
    <xf numFmtId="0" fontId="16" fillId="0" borderId="20" xfId="0" applyFont="1" applyBorder="1" applyAlignment="1">
      <alignment horizontal="center" vertical="center"/>
    </xf>
    <xf numFmtId="0" fontId="21" fillId="0" borderId="15" xfId="0" applyFont="1" applyBorder="1"/>
    <xf numFmtId="0" fontId="23" fillId="0" borderId="15" xfId="0" applyFont="1" applyBorder="1"/>
    <xf numFmtId="164" fontId="0" fillId="0" borderId="15" xfId="1" applyNumberFormat="1" applyFont="1" applyBorder="1"/>
    <xf numFmtId="164" fontId="0" fillId="0" borderId="15" xfId="1" applyNumberFormat="1" applyFont="1" applyFill="1" applyBorder="1"/>
    <xf numFmtId="164" fontId="0" fillId="35" borderId="15" xfId="1" applyNumberFormat="1" applyFont="1" applyFill="1" applyBorder="1"/>
    <xf numFmtId="0" fontId="0" fillId="0" borderId="0" xfId="0" applyAlignment="1">
      <alignment horizontal="left"/>
    </xf>
    <xf numFmtId="0" fontId="0" fillId="35" borderId="0" xfId="0" applyFill="1"/>
    <xf numFmtId="164" fontId="0" fillId="0" borderId="0" xfId="0" applyNumberFormat="1"/>
    <xf numFmtId="165" fontId="0" fillId="0" borderId="0" xfId="0" applyNumberFormat="1"/>
    <xf numFmtId="0" fontId="16" fillId="35" borderId="10" xfId="0" applyFont="1" applyFill="1" applyBorder="1" applyAlignment="1">
      <alignment horizontal="center" vertical="center"/>
    </xf>
    <xf numFmtId="0" fontId="16" fillId="35" borderId="15" xfId="0" applyFont="1" applyFill="1" applyBorder="1" applyAlignment="1">
      <alignment horizontal="center" vertical="center"/>
    </xf>
    <xf numFmtId="0" fontId="16" fillId="0" borderId="0" xfId="0" applyFont="1"/>
    <xf numFmtId="0" fontId="21" fillId="0" borderId="0" xfId="0" applyFont="1"/>
    <xf numFmtId="0" fontId="0" fillId="0" borderId="22" xfId="0" applyBorder="1"/>
    <xf numFmtId="0" fontId="0" fillId="0" borderId="23" xfId="0" applyBorder="1"/>
    <xf numFmtId="0" fontId="0" fillId="0" borderId="24" xfId="0" applyBorder="1"/>
    <xf numFmtId="0" fontId="16" fillId="0" borderId="24" xfId="0" applyFont="1" applyBorder="1"/>
    <xf numFmtId="0" fontId="21" fillId="35" borderId="15" xfId="0" applyFont="1" applyFill="1" applyBorder="1"/>
    <xf numFmtId="0" fontId="16" fillId="37" borderId="0" xfId="0" applyFont="1" applyFill="1"/>
    <xf numFmtId="0" fontId="0" fillId="0" borderId="0" xfId="0" pivotButton="1"/>
    <xf numFmtId="166" fontId="0" fillId="0" borderId="0" xfId="0" applyNumberFormat="1"/>
    <xf numFmtId="0" fontId="26" fillId="0" borderId="0" xfId="0" applyFont="1" applyAlignment="1">
      <alignment horizontal="left"/>
    </xf>
    <xf numFmtId="0" fontId="26" fillId="0" borderId="0" xfId="0" applyFont="1" applyAlignment="1">
      <alignment horizontal="center" vertical="center"/>
    </xf>
    <xf numFmtId="0" fontId="26" fillId="36" borderId="10" xfId="43" applyFont="1" applyFill="1" applyBorder="1" applyAlignment="1">
      <alignment horizontal="center"/>
    </xf>
    <xf numFmtId="0" fontId="20" fillId="0" borderId="10" xfId="0" applyFont="1" applyBorder="1" applyAlignment="1">
      <alignment horizontal="center"/>
    </xf>
    <xf numFmtId="0" fontId="24" fillId="0" borderId="10" xfId="0" applyFont="1" applyBorder="1" applyAlignment="1">
      <alignment horizontal="center"/>
    </xf>
    <xf numFmtId="0" fontId="21" fillId="0" borderId="0" xfId="0" applyFont="1" applyAlignment="1">
      <alignment horizontal="center"/>
    </xf>
    <xf numFmtId="0" fontId="21" fillId="35" borderId="10" xfId="0" applyFont="1" applyFill="1" applyBorder="1" applyAlignment="1">
      <alignment horizontal="center" vertical="center"/>
    </xf>
    <xf numFmtId="0" fontId="22" fillId="35" borderId="15" xfId="0" applyFont="1" applyFill="1" applyBorder="1" applyAlignment="1">
      <alignment horizontal="center" vertical="center"/>
    </xf>
    <xf numFmtId="0" fontId="22" fillId="35" borderId="21" xfId="0" applyFont="1" applyFill="1" applyBorder="1" applyAlignment="1">
      <alignment horizontal="center" vertical="center"/>
    </xf>
    <xf numFmtId="0" fontId="22" fillId="0" borderId="10" xfId="0" applyFont="1" applyBorder="1" applyAlignment="1">
      <alignment horizontal="center"/>
    </xf>
    <xf numFmtId="0" fontId="16" fillId="35" borderId="25" xfId="0" applyFont="1" applyFill="1" applyBorder="1" applyAlignment="1">
      <alignment horizontal="center" vertical="center"/>
    </xf>
    <xf numFmtId="0" fontId="16" fillId="0" borderId="10" xfId="0" applyFont="1" applyBorder="1"/>
    <xf numFmtId="164" fontId="0" fillId="0" borderId="10" xfId="1" applyNumberFormat="1" applyFont="1" applyBorder="1"/>
    <xf numFmtId="164" fontId="0" fillId="0" borderId="10" xfId="0" applyNumberFormat="1" applyBorder="1"/>
    <xf numFmtId="164" fontId="0" fillId="0" borderId="15" xfId="0" applyNumberFormat="1" applyBorder="1"/>
    <xf numFmtId="0" fontId="22" fillId="37" borderId="0" xfId="0" applyFont="1" applyFill="1" applyAlignment="1"/>
  </cellXfs>
  <cellStyles count="45">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rmal 2" xfId="43" xr:uid="{6AF01F12-EC2E-469A-8A5E-D69F82BF4876}"/>
    <cellStyle name="Normal 3" xfId="44" xr:uid="{1D75648A-8E92-41A1-A173-03CCFC954A27}"/>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10">
    <dxf>
      <numFmt numFmtId="3" formatCode="#,##0"/>
    </dxf>
    <dxf>
      <numFmt numFmtId="166" formatCode="#,##0.0000"/>
    </dxf>
    <dxf>
      <numFmt numFmtId="3" formatCode="#,##0"/>
    </dxf>
    <dxf>
      <numFmt numFmtId="166" formatCode="#,##0.0000"/>
    </dxf>
    <dxf>
      <numFmt numFmtId="3" formatCode="#,##0"/>
    </dxf>
    <dxf>
      <numFmt numFmtId="3" formatCode="#,##0"/>
    </dxf>
    <dxf>
      <numFmt numFmtId="3" formatCode="#,##0"/>
    </dxf>
    <dxf>
      <numFmt numFmtId="3" formatCode="#,##0"/>
    </dxf>
    <dxf>
      <numFmt numFmtId="3" formatCode="#,##0"/>
    </dxf>
    <dxf>
      <numFmt numFmtId="19" formatCode="dd/mm/yyyy"/>
    </dxf>
  </dxfs>
  <tableStyles count="0" defaultTableStyle="TableStyleMedium2" defaultPivotStyle="PivotStyleLight16"/>
  <colors>
    <mruColors>
      <color rgb="FFF9615D"/>
      <color rgb="FF83CCE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York Stock Exchange.xlsx]Dashboard Pivot Data!PivotTable3</c:name>
    <c:fmtId val="4"/>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Top 10 Companies By Total Operating Profit (EBIT)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40000"/>
              <a:lumOff val="60000"/>
            </a:schemeClr>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Pivot Data'!$B$1</c:f>
              <c:strCache>
                <c:ptCount val="1"/>
                <c:pt idx="0">
                  <c:v>Total</c:v>
                </c:pt>
              </c:strCache>
            </c:strRef>
          </c:tx>
          <c:spPr>
            <a:solidFill>
              <a:schemeClr val="accent6">
                <a:lumMod val="40000"/>
                <a:lumOff val="60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Pivot Data'!$A$2:$A$12</c:f>
              <c:strCache>
                <c:ptCount val="10"/>
                <c:pt idx="0">
                  <c:v>AAPL</c:v>
                </c:pt>
                <c:pt idx="1">
                  <c:v>XOM</c:v>
                </c:pt>
                <c:pt idx="2">
                  <c:v>WFC</c:v>
                </c:pt>
                <c:pt idx="3">
                  <c:v>JPM</c:v>
                </c:pt>
                <c:pt idx="4">
                  <c:v>WMT</c:v>
                </c:pt>
                <c:pt idx="5">
                  <c:v>CVS</c:v>
                </c:pt>
                <c:pt idx="6">
                  <c:v>MSFT</c:v>
                </c:pt>
                <c:pt idx="7">
                  <c:v>VZ</c:v>
                </c:pt>
                <c:pt idx="8">
                  <c:v>BAC</c:v>
                </c:pt>
                <c:pt idx="9">
                  <c:v>CVX</c:v>
                </c:pt>
              </c:strCache>
            </c:strRef>
          </c:cat>
          <c:val>
            <c:numRef>
              <c:f>'Dashboard Pivot Data'!$B$2:$B$12</c:f>
              <c:numCache>
                <c:formatCode>#,##0</c:formatCode>
                <c:ptCount val="10"/>
                <c:pt idx="0">
                  <c:v>232756000000</c:v>
                </c:pt>
                <c:pt idx="1">
                  <c:v>144155000000</c:v>
                </c:pt>
                <c:pt idx="2">
                  <c:v>140984000000</c:v>
                </c:pt>
                <c:pt idx="3">
                  <c:v>106417000000</c:v>
                </c:pt>
                <c:pt idx="4">
                  <c:v>105849000000</c:v>
                </c:pt>
                <c:pt idx="5">
                  <c:v>104535000000</c:v>
                </c:pt>
                <c:pt idx="6">
                  <c:v>104114000000</c:v>
                </c:pt>
                <c:pt idx="7">
                  <c:v>97787000000</c:v>
                </c:pt>
                <c:pt idx="8">
                  <c:v>87588000000</c:v>
                </c:pt>
                <c:pt idx="9">
                  <c:v>87156000000</c:v>
                </c:pt>
              </c:numCache>
            </c:numRef>
          </c:val>
          <c:extLst>
            <c:ext xmlns:c16="http://schemas.microsoft.com/office/drawing/2014/chart" uri="{C3380CC4-5D6E-409C-BE32-E72D297353CC}">
              <c16:uniqueId val="{00000000-C55F-4609-A18B-CC152696F968}"/>
            </c:ext>
          </c:extLst>
        </c:ser>
        <c:dLbls>
          <c:showLegendKey val="0"/>
          <c:showVal val="0"/>
          <c:showCatName val="0"/>
          <c:showSerName val="0"/>
          <c:showPercent val="0"/>
          <c:showBubbleSize val="0"/>
        </c:dLbls>
        <c:gapWidth val="219"/>
        <c:overlap val="-27"/>
        <c:axId val="1152786047"/>
        <c:axId val="1152783167"/>
      </c:barChart>
      <c:catAx>
        <c:axId val="11527860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US"/>
                  <a:t>Ticker Symbol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52783167"/>
        <c:crosses val="autoZero"/>
        <c:auto val="1"/>
        <c:lblAlgn val="ctr"/>
        <c:lblOffset val="100"/>
        <c:noMultiLvlLbl val="0"/>
      </c:catAx>
      <c:valAx>
        <c:axId val="1152783167"/>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US"/>
                  <a:t> Profit in Millions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0" sourceLinked="1"/>
        <c:majorTickMark val="out"/>
        <c:minorTickMark val="none"/>
        <c:tickLblPos val="nextTo"/>
        <c:crossAx val="1152786047"/>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York Stock Exchange.xlsx]Dashboard Pivot Data!PivotTable5</c:name>
    <c:fmtId val="5"/>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Total Operating Profit By GICS Sectors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40000"/>
              <a:lumOff val="60000"/>
            </a:schemeClr>
          </a:solidFill>
          <a:ln>
            <a:noFill/>
          </a:ln>
          <a:effectLst/>
        </c:spPr>
      </c:pivotFmt>
      <c:pivotFmt>
        <c:idx val="6"/>
        <c:spPr>
          <a:solidFill>
            <a:schemeClr val="accent6">
              <a:lumMod val="40000"/>
              <a:lumOff val="60000"/>
            </a:schemeClr>
          </a:solidFill>
          <a:ln>
            <a:noFill/>
          </a:ln>
          <a:effectLst/>
        </c:spPr>
      </c:pivotFmt>
      <c:pivotFmt>
        <c:idx val="7"/>
        <c:spPr>
          <a:solidFill>
            <a:schemeClr val="accent6">
              <a:lumMod val="40000"/>
              <a:lumOff val="60000"/>
            </a:schemeClr>
          </a:solidFill>
          <a:ln>
            <a:noFill/>
          </a:ln>
          <a:effectLst/>
        </c:spPr>
      </c:pivotFmt>
      <c:pivotFmt>
        <c:idx val="8"/>
        <c:spPr>
          <a:solidFill>
            <a:schemeClr val="accent6">
              <a:lumMod val="40000"/>
              <a:lumOff val="60000"/>
            </a:schemeClr>
          </a:solidFill>
          <a:ln>
            <a:noFill/>
          </a:ln>
          <a:effectLst/>
        </c:spPr>
      </c:pivotFmt>
    </c:pivotFmts>
    <c:plotArea>
      <c:layout/>
      <c:barChart>
        <c:barDir val="col"/>
        <c:grouping val="clustered"/>
        <c:varyColors val="0"/>
        <c:ser>
          <c:idx val="0"/>
          <c:order val="0"/>
          <c:tx>
            <c:strRef>
              <c:f>'Dashboard Pivot Data'!$B$14</c:f>
              <c:strCache>
                <c:ptCount val="1"/>
                <c:pt idx="0">
                  <c:v>Total</c:v>
                </c:pt>
              </c:strCache>
            </c:strRef>
          </c:tx>
          <c:spPr>
            <a:solidFill>
              <a:schemeClr val="accent6">
                <a:lumMod val="40000"/>
                <a:lumOff val="60000"/>
              </a:schemeClr>
            </a:solidFill>
            <a:ln>
              <a:noFill/>
            </a:ln>
            <a:effectLst/>
          </c:spPr>
          <c:invertIfNegative val="0"/>
          <c:dPt>
            <c:idx val="2"/>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1-C867-4181-BD86-F38A912A1697}"/>
              </c:ext>
            </c:extLst>
          </c:dPt>
          <c:dPt>
            <c:idx val="3"/>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3-6DF9-4B50-BD2B-031CE4751C75}"/>
              </c:ext>
            </c:extLst>
          </c:dPt>
          <c:dPt>
            <c:idx val="5"/>
            <c:invertIfNegative val="0"/>
            <c:bubble3D val="0"/>
            <c:extLst>
              <c:ext xmlns:c16="http://schemas.microsoft.com/office/drawing/2014/chart" uri="{C3380CC4-5D6E-409C-BE32-E72D297353CC}">
                <c16:uniqueId val="{00000004-6DF9-4B50-BD2B-031CE4751C75}"/>
              </c:ext>
            </c:extLst>
          </c:dPt>
          <c:dPt>
            <c:idx val="6"/>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5-6DF9-4B50-BD2B-031CE4751C75}"/>
              </c:ext>
            </c:extLst>
          </c:dPt>
          <c:dPt>
            <c:idx val="8"/>
            <c:invertIfNegative val="0"/>
            <c:bubble3D val="0"/>
            <c:extLst>
              <c:ext xmlns:c16="http://schemas.microsoft.com/office/drawing/2014/chart" uri="{C3380CC4-5D6E-409C-BE32-E72D297353CC}">
                <c16:uniqueId val="{00000006-6DF9-4B50-BD2B-031CE4751C75}"/>
              </c:ext>
            </c:extLst>
          </c:dPt>
          <c:dPt>
            <c:idx val="9"/>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9-C867-4181-BD86-F38A912A1697}"/>
              </c:ext>
            </c:extLst>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 Pivot Data'!$A$15:$A$26</c:f>
              <c:strCache>
                <c:ptCount val="11"/>
                <c:pt idx="0">
                  <c:v>Information Technology</c:v>
                </c:pt>
                <c:pt idx="1">
                  <c:v>Financials</c:v>
                </c:pt>
                <c:pt idx="2">
                  <c:v>Consumer Staples</c:v>
                </c:pt>
                <c:pt idx="3">
                  <c:v>Energy</c:v>
                </c:pt>
                <c:pt idx="4">
                  <c:v>Industrials</c:v>
                </c:pt>
                <c:pt idx="5">
                  <c:v>Consumer Discretionary</c:v>
                </c:pt>
                <c:pt idx="6">
                  <c:v>Health Care</c:v>
                </c:pt>
                <c:pt idx="7">
                  <c:v>Utilities</c:v>
                </c:pt>
                <c:pt idx="8">
                  <c:v>Materials</c:v>
                </c:pt>
                <c:pt idx="9">
                  <c:v>Telecommunications Services</c:v>
                </c:pt>
                <c:pt idx="10">
                  <c:v>Real Estate</c:v>
                </c:pt>
              </c:strCache>
            </c:strRef>
          </c:cat>
          <c:val>
            <c:numRef>
              <c:f>'Dashboard Pivot Data'!$B$15:$B$26</c:f>
              <c:numCache>
                <c:formatCode>#,##0</c:formatCode>
                <c:ptCount val="11"/>
                <c:pt idx="0">
                  <c:v>201793581000</c:v>
                </c:pt>
                <c:pt idx="1">
                  <c:v>185205906000</c:v>
                </c:pt>
                <c:pt idx="2">
                  <c:v>139481481000</c:v>
                </c:pt>
                <c:pt idx="3">
                  <c:v>139259359000</c:v>
                </c:pt>
                <c:pt idx="4">
                  <c:v>133338562000</c:v>
                </c:pt>
                <c:pt idx="5">
                  <c:v>125132106000</c:v>
                </c:pt>
                <c:pt idx="6">
                  <c:v>115168179000</c:v>
                </c:pt>
                <c:pt idx="7">
                  <c:v>51620962000</c:v>
                </c:pt>
                <c:pt idx="8">
                  <c:v>37365267000</c:v>
                </c:pt>
                <c:pt idx="9">
                  <c:v>36196000000</c:v>
                </c:pt>
                <c:pt idx="10">
                  <c:v>17805082000</c:v>
                </c:pt>
              </c:numCache>
            </c:numRef>
          </c:val>
          <c:extLst>
            <c:ext xmlns:c16="http://schemas.microsoft.com/office/drawing/2014/chart" uri="{C3380CC4-5D6E-409C-BE32-E72D297353CC}">
              <c16:uniqueId val="{00000000-6DF9-4B50-BD2B-031CE4751C75}"/>
            </c:ext>
          </c:extLst>
        </c:ser>
        <c:dLbls>
          <c:showLegendKey val="0"/>
          <c:showVal val="0"/>
          <c:showCatName val="0"/>
          <c:showSerName val="0"/>
          <c:showPercent val="0"/>
          <c:showBubbleSize val="0"/>
        </c:dLbls>
        <c:gapWidth val="150"/>
        <c:axId val="1152783647"/>
        <c:axId val="1152784127"/>
      </c:barChart>
      <c:catAx>
        <c:axId val="11527836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US"/>
                  <a:t>GICS Sectors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52784127"/>
        <c:crosses val="autoZero"/>
        <c:auto val="1"/>
        <c:lblAlgn val="ctr"/>
        <c:lblOffset val="100"/>
        <c:noMultiLvlLbl val="0"/>
      </c:catAx>
      <c:valAx>
        <c:axId val="1152784127"/>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US"/>
                  <a:t>Profit in Millions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0" sourceLinked="1"/>
        <c:majorTickMark val="out"/>
        <c:minorTickMark val="none"/>
        <c:tickLblPos val="nextTo"/>
        <c:crossAx val="1152783647"/>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[New York Stock Exchange.xlsx]Dashboard Pivot Data!PivotTable7</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Frequency of GICS Sectors</a:t>
            </a:r>
          </a:p>
        </c:rich>
      </c:tx>
      <c:layout>
        <c:manualLayout>
          <c:xMode val="edge"/>
          <c:yMode val="edge"/>
          <c:x val="0.26715686274509809"/>
          <c:y val="9.2081031307550652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chemeClr val="accent6"/>
          </a:solidFill>
          <a:ln w="19050">
            <a:solidFill>
              <a:schemeClr val="lt1"/>
            </a:solidFill>
          </a:ln>
          <a:effectLst/>
        </c:spPr>
      </c:pivotFmt>
      <c:pivotFmt>
        <c:idx val="12"/>
        <c:spPr>
          <a:solidFill>
            <a:schemeClr val="accent6"/>
          </a:solidFill>
          <a:ln w="19050">
            <a:solidFill>
              <a:schemeClr val="lt1"/>
            </a:solidFill>
          </a:ln>
          <a:effectLst/>
        </c:spPr>
      </c:pivotFmt>
      <c:pivotFmt>
        <c:idx val="13"/>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non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6">
              <a:shade val="41000"/>
            </a:schemeClr>
          </a:solidFill>
          <a:ln w="19050">
            <a:solidFill>
              <a:schemeClr val="lt1"/>
            </a:solidFill>
          </a:ln>
          <a:effectLst/>
        </c:spPr>
        <c:dLbl>
          <c:idx val="0"/>
          <c:layout>
            <c:manualLayout>
              <c:x val="0.11944444444444445"/>
              <c:y val="-4.16666666666667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non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6">
              <a:shade val="53000"/>
            </a:schemeClr>
          </a:solidFill>
          <a:ln w="19050">
            <a:solidFill>
              <a:schemeClr val="lt1"/>
            </a:solidFill>
          </a:ln>
          <a:effectLst/>
        </c:spPr>
        <c:dLbl>
          <c:idx val="0"/>
          <c:layout>
            <c:manualLayout>
              <c:x val="0.15277777777777768"/>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non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6">
              <a:shade val="65000"/>
            </a:schemeClr>
          </a:solidFill>
          <a:ln w="19050">
            <a:solidFill>
              <a:schemeClr val="lt1"/>
            </a:solidFill>
          </a:ln>
          <a:effectLst/>
        </c:spPr>
        <c:dLbl>
          <c:idx val="0"/>
          <c:layout>
            <c:manualLayout>
              <c:x val="0.17777777777777778"/>
              <c:y val="4.62962962962962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non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6">
              <a:shade val="76000"/>
            </a:schemeClr>
          </a:solidFill>
          <a:ln w="19050">
            <a:solidFill>
              <a:schemeClr val="lt1"/>
            </a:solidFill>
          </a:ln>
          <a:effectLst/>
        </c:spPr>
        <c:dLbl>
          <c:idx val="0"/>
          <c:layout>
            <c:manualLayout>
              <c:x val="-6.3888888888888939E-2"/>
              <c:y val="8.796296296296279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non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6">
              <a:shade val="88000"/>
            </a:schemeClr>
          </a:solidFill>
          <a:ln w="19050">
            <a:solidFill>
              <a:schemeClr val="lt1"/>
            </a:solidFill>
          </a:ln>
          <a:effectLst/>
        </c:spPr>
        <c:dLbl>
          <c:idx val="0"/>
          <c:layout>
            <c:manualLayout>
              <c:x val="-0.17777777777777781"/>
              <c:y val="0.11111111111111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non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6"/>
          </a:solidFill>
          <a:ln w="19050">
            <a:solidFill>
              <a:schemeClr val="lt1"/>
            </a:solidFill>
          </a:ln>
          <a:effectLst/>
        </c:spPr>
        <c:dLbl>
          <c:idx val="0"/>
          <c:layout>
            <c:manualLayout>
              <c:x val="-0.15277777777777779"/>
              <c:y val="7.4074074074074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non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6">
              <a:tint val="89000"/>
            </a:schemeClr>
          </a:solidFill>
          <a:ln w="19050">
            <a:solidFill>
              <a:schemeClr val="lt1"/>
            </a:solidFill>
          </a:ln>
          <a:effectLst/>
        </c:spPr>
        <c:dLbl>
          <c:idx val="0"/>
          <c:layout>
            <c:manualLayout>
              <c:x val="-0.10555555555555556"/>
              <c:y val="4.62962962962962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non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6">
              <a:tint val="77000"/>
            </a:schemeClr>
          </a:solidFill>
          <a:ln w="19050">
            <a:solidFill>
              <a:schemeClr val="lt1"/>
            </a:solidFill>
          </a:ln>
          <a:effectLst/>
        </c:spPr>
        <c:dLbl>
          <c:idx val="0"/>
          <c:layout>
            <c:manualLayout>
              <c:x val="-0.10833333333333334"/>
              <c:y val="1.851851851851851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non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6">
              <a:tint val="65000"/>
            </a:schemeClr>
          </a:solidFill>
          <a:ln w="19050">
            <a:solidFill>
              <a:schemeClr val="lt1"/>
            </a:solidFill>
          </a:ln>
          <a:effectLst/>
        </c:spPr>
        <c:dLbl>
          <c:idx val="0"/>
          <c:layout>
            <c:manualLayout>
              <c:x val="-0.15833333333333335"/>
              <c:y val="-7.407407407407409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non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6">
              <a:tint val="54000"/>
            </a:schemeClr>
          </a:solidFill>
          <a:ln w="19050">
            <a:solidFill>
              <a:schemeClr val="lt1"/>
            </a:solidFill>
          </a:ln>
          <a:effectLst/>
        </c:spPr>
        <c:dLbl>
          <c:idx val="0"/>
          <c:layout>
            <c:manualLayout>
              <c:x val="-0.1111111111111111"/>
              <c:y val="-8.79629629629629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non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6">
              <a:tint val="42000"/>
            </a:schemeClr>
          </a:solidFill>
          <a:ln w="19050">
            <a:solidFill>
              <a:schemeClr val="lt1"/>
            </a:solidFill>
          </a:ln>
          <a:effectLst/>
        </c:spPr>
        <c:dLbl>
          <c:idx val="0"/>
          <c:layout>
            <c:manualLayout>
              <c:x val="2.2653063450171221E-2"/>
              <c:y val="-8.67212912488503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non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'Dashboard Pivot Data'!$B$28</c:f>
              <c:strCache>
                <c:ptCount val="1"/>
                <c:pt idx="0">
                  <c:v>Total</c:v>
                </c:pt>
              </c:strCache>
            </c:strRef>
          </c:tx>
          <c:dPt>
            <c:idx val="0"/>
            <c:bubble3D val="0"/>
            <c:spPr>
              <a:solidFill>
                <a:schemeClr val="accent6">
                  <a:shade val="41000"/>
                </a:schemeClr>
              </a:solidFill>
              <a:ln w="19050">
                <a:solidFill>
                  <a:schemeClr val="lt1"/>
                </a:solidFill>
              </a:ln>
              <a:effectLst/>
            </c:spPr>
            <c:extLst>
              <c:ext xmlns:c16="http://schemas.microsoft.com/office/drawing/2014/chart" uri="{C3380CC4-5D6E-409C-BE32-E72D297353CC}">
                <c16:uniqueId val="{00000001-1BBF-499C-9103-665E3857F03A}"/>
              </c:ext>
            </c:extLst>
          </c:dPt>
          <c:dPt>
            <c:idx val="1"/>
            <c:bubble3D val="0"/>
            <c:spPr>
              <a:solidFill>
                <a:schemeClr val="accent6">
                  <a:shade val="53000"/>
                </a:schemeClr>
              </a:solidFill>
              <a:ln w="19050">
                <a:solidFill>
                  <a:schemeClr val="lt1"/>
                </a:solidFill>
              </a:ln>
              <a:effectLst/>
            </c:spPr>
            <c:extLst>
              <c:ext xmlns:c16="http://schemas.microsoft.com/office/drawing/2014/chart" uri="{C3380CC4-5D6E-409C-BE32-E72D297353CC}">
                <c16:uniqueId val="{00000003-1BBF-499C-9103-665E3857F03A}"/>
              </c:ext>
            </c:extLst>
          </c:dPt>
          <c:dPt>
            <c:idx val="2"/>
            <c:bubble3D val="0"/>
            <c:spPr>
              <a:solidFill>
                <a:schemeClr val="accent6">
                  <a:shade val="65000"/>
                </a:schemeClr>
              </a:solidFill>
              <a:ln w="19050">
                <a:solidFill>
                  <a:schemeClr val="lt1"/>
                </a:solidFill>
              </a:ln>
              <a:effectLst/>
            </c:spPr>
            <c:extLst>
              <c:ext xmlns:c16="http://schemas.microsoft.com/office/drawing/2014/chart" uri="{C3380CC4-5D6E-409C-BE32-E72D297353CC}">
                <c16:uniqueId val="{00000005-1BBF-499C-9103-665E3857F03A}"/>
              </c:ext>
            </c:extLst>
          </c:dPt>
          <c:dPt>
            <c:idx val="3"/>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7-1BBF-499C-9103-665E3857F03A}"/>
              </c:ext>
            </c:extLst>
          </c:dPt>
          <c:dPt>
            <c:idx val="4"/>
            <c:bubble3D val="0"/>
            <c:spPr>
              <a:solidFill>
                <a:schemeClr val="accent6">
                  <a:shade val="88000"/>
                </a:schemeClr>
              </a:solidFill>
              <a:ln w="19050">
                <a:solidFill>
                  <a:schemeClr val="lt1"/>
                </a:solidFill>
              </a:ln>
              <a:effectLst/>
            </c:spPr>
            <c:extLst>
              <c:ext xmlns:c16="http://schemas.microsoft.com/office/drawing/2014/chart" uri="{C3380CC4-5D6E-409C-BE32-E72D297353CC}">
                <c16:uniqueId val="{00000009-1BBF-499C-9103-665E3857F03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BBF-499C-9103-665E3857F03A}"/>
              </c:ext>
            </c:extLst>
          </c:dPt>
          <c:dPt>
            <c:idx val="6"/>
            <c:bubble3D val="0"/>
            <c:spPr>
              <a:solidFill>
                <a:schemeClr val="accent6">
                  <a:tint val="89000"/>
                </a:schemeClr>
              </a:solidFill>
              <a:ln w="19050">
                <a:solidFill>
                  <a:schemeClr val="lt1"/>
                </a:solidFill>
              </a:ln>
              <a:effectLst/>
            </c:spPr>
            <c:extLst>
              <c:ext xmlns:c16="http://schemas.microsoft.com/office/drawing/2014/chart" uri="{C3380CC4-5D6E-409C-BE32-E72D297353CC}">
                <c16:uniqueId val="{0000000D-1BBF-499C-9103-665E3857F03A}"/>
              </c:ext>
            </c:extLst>
          </c:dPt>
          <c:dPt>
            <c:idx val="7"/>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F-1BBF-499C-9103-665E3857F03A}"/>
              </c:ext>
            </c:extLst>
          </c:dPt>
          <c:dPt>
            <c:idx val="8"/>
            <c:bubble3D val="0"/>
            <c:spPr>
              <a:solidFill>
                <a:schemeClr val="accent6">
                  <a:tint val="65000"/>
                </a:schemeClr>
              </a:solidFill>
              <a:ln w="19050">
                <a:solidFill>
                  <a:schemeClr val="lt1"/>
                </a:solidFill>
              </a:ln>
              <a:effectLst/>
            </c:spPr>
            <c:extLst>
              <c:ext xmlns:c16="http://schemas.microsoft.com/office/drawing/2014/chart" uri="{C3380CC4-5D6E-409C-BE32-E72D297353CC}">
                <c16:uniqueId val="{00000011-1BBF-499C-9103-665E3857F03A}"/>
              </c:ext>
            </c:extLst>
          </c:dPt>
          <c:dPt>
            <c:idx val="9"/>
            <c:bubble3D val="0"/>
            <c:spPr>
              <a:solidFill>
                <a:schemeClr val="accent6">
                  <a:tint val="54000"/>
                </a:schemeClr>
              </a:solidFill>
              <a:ln w="19050">
                <a:solidFill>
                  <a:schemeClr val="lt1"/>
                </a:solidFill>
              </a:ln>
              <a:effectLst/>
            </c:spPr>
            <c:extLst>
              <c:ext xmlns:c16="http://schemas.microsoft.com/office/drawing/2014/chart" uri="{C3380CC4-5D6E-409C-BE32-E72D297353CC}">
                <c16:uniqueId val="{00000013-1BBF-499C-9103-665E3857F03A}"/>
              </c:ext>
            </c:extLst>
          </c:dPt>
          <c:dPt>
            <c:idx val="10"/>
            <c:bubble3D val="0"/>
            <c:spPr>
              <a:solidFill>
                <a:schemeClr val="accent6">
                  <a:tint val="42000"/>
                </a:schemeClr>
              </a:solidFill>
              <a:ln w="19050">
                <a:solidFill>
                  <a:schemeClr val="lt1"/>
                </a:solidFill>
              </a:ln>
              <a:effectLst/>
            </c:spPr>
            <c:extLst>
              <c:ext xmlns:c16="http://schemas.microsoft.com/office/drawing/2014/chart" uri="{C3380CC4-5D6E-409C-BE32-E72D297353CC}">
                <c16:uniqueId val="{00000015-1BBF-499C-9103-665E3857F03A}"/>
              </c:ext>
            </c:extLst>
          </c:dPt>
          <c:dLbls>
            <c:dLbl>
              <c:idx val="0"/>
              <c:layout>
                <c:manualLayout>
                  <c:x val="0.11944444444444445"/>
                  <c:y val="-4.1666666666666706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1BBF-499C-9103-665E3857F03A}"/>
                </c:ext>
              </c:extLst>
            </c:dLbl>
            <c:dLbl>
              <c:idx val="1"/>
              <c:layout>
                <c:manualLayout>
                  <c:x val="0.15277777777777768"/>
                  <c:y val="0"/>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BBF-499C-9103-665E3857F03A}"/>
                </c:ext>
              </c:extLst>
            </c:dLbl>
            <c:dLbl>
              <c:idx val="2"/>
              <c:layout>
                <c:manualLayout>
                  <c:x val="0.17777777777777778"/>
                  <c:y val="4.629629629629621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1BBF-499C-9103-665E3857F03A}"/>
                </c:ext>
              </c:extLst>
            </c:dLbl>
            <c:dLbl>
              <c:idx val="3"/>
              <c:layout>
                <c:manualLayout>
                  <c:x val="-6.3888888888888939E-2"/>
                  <c:y val="8.7962962962962798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1BBF-499C-9103-665E3857F03A}"/>
                </c:ext>
              </c:extLst>
            </c:dLbl>
            <c:dLbl>
              <c:idx val="4"/>
              <c:layout>
                <c:manualLayout>
                  <c:x val="-0.17777777777777781"/>
                  <c:y val="0.1111111111111111"/>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9-1BBF-499C-9103-665E3857F03A}"/>
                </c:ext>
              </c:extLst>
            </c:dLbl>
            <c:dLbl>
              <c:idx val="5"/>
              <c:layout>
                <c:manualLayout>
                  <c:x val="-0.15277777777777779"/>
                  <c:y val="7.407407407407407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B-1BBF-499C-9103-665E3857F03A}"/>
                </c:ext>
              </c:extLst>
            </c:dLbl>
            <c:dLbl>
              <c:idx val="6"/>
              <c:layout>
                <c:manualLayout>
                  <c:x val="-0.10555555555555556"/>
                  <c:y val="4.629629629629621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D-1BBF-499C-9103-665E3857F03A}"/>
                </c:ext>
              </c:extLst>
            </c:dLbl>
            <c:dLbl>
              <c:idx val="7"/>
              <c:layout>
                <c:manualLayout>
                  <c:x val="-0.10833333333333334"/>
                  <c:y val="1.8518518518518517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F-1BBF-499C-9103-665E3857F03A}"/>
                </c:ext>
              </c:extLst>
            </c:dLbl>
            <c:dLbl>
              <c:idx val="8"/>
              <c:layout>
                <c:manualLayout>
                  <c:x val="-0.15833333333333335"/>
                  <c:y val="-7.4074074074074098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1-1BBF-499C-9103-665E3857F03A}"/>
                </c:ext>
              </c:extLst>
            </c:dLbl>
            <c:dLbl>
              <c:idx val="9"/>
              <c:layout>
                <c:manualLayout>
                  <c:x val="-0.1111111111111111"/>
                  <c:y val="-8.7962962962962965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3-1BBF-499C-9103-665E3857F03A}"/>
                </c:ext>
              </c:extLst>
            </c:dLbl>
            <c:dLbl>
              <c:idx val="10"/>
              <c:layout>
                <c:manualLayout>
                  <c:x val="2.2653063450171221E-2"/>
                  <c:y val="-8.6721291248850307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5-1BBF-499C-9103-665E3857F03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non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1"/>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'Dashboard Pivot Data'!$A$29:$A$40</c:f>
              <c:strCache>
                <c:ptCount val="11"/>
                <c:pt idx="0">
                  <c:v>Consumer Discretionary</c:v>
                </c:pt>
                <c:pt idx="1">
                  <c:v>Industrials</c:v>
                </c:pt>
                <c:pt idx="2">
                  <c:v>Information Technology</c:v>
                </c:pt>
                <c:pt idx="3">
                  <c:v>Health Care</c:v>
                </c:pt>
                <c:pt idx="4">
                  <c:v>Financials</c:v>
                </c:pt>
                <c:pt idx="5">
                  <c:v>Consumer Staples</c:v>
                </c:pt>
                <c:pt idx="6">
                  <c:v>Energy</c:v>
                </c:pt>
                <c:pt idx="7">
                  <c:v>Real Estate</c:v>
                </c:pt>
                <c:pt idx="8">
                  <c:v>Utilities</c:v>
                </c:pt>
                <c:pt idx="9">
                  <c:v>Materials</c:v>
                </c:pt>
                <c:pt idx="10">
                  <c:v>Telecommunications Services</c:v>
                </c:pt>
              </c:strCache>
            </c:strRef>
          </c:cat>
          <c:val>
            <c:numRef>
              <c:f>'Dashboard Pivot Data'!$B$29:$B$40</c:f>
              <c:numCache>
                <c:formatCode>General</c:formatCode>
                <c:ptCount val="11"/>
                <c:pt idx="0">
                  <c:v>72</c:v>
                </c:pt>
                <c:pt idx="1">
                  <c:v>61</c:v>
                </c:pt>
                <c:pt idx="2">
                  <c:v>57</c:v>
                </c:pt>
                <c:pt idx="3">
                  <c:v>47</c:v>
                </c:pt>
                <c:pt idx="4">
                  <c:v>41</c:v>
                </c:pt>
                <c:pt idx="5">
                  <c:v>31</c:v>
                </c:pt>
                <c:pt idx="6">
                  <c:v>31</c:v>
                </c:pt>
                <c:pt idx="7">
                  <c:v>26</c:v>
                </c:pt>
                <c:pt idx="8">
                  <c:v>24</c:v>
                </c:pt>
                <c:pt idx="9">
                  <c:v>23</c:v>
                </c:pt>
                <c:pt idx="10">
                  <c:v>5</c:v>
                </c:pt>
              </c:numCache>
            </c:numRef>
          </c:val>
          <c:extLst>
            <c:ext xmlns:c16="http://schemas.microsoft.com/office/drawing/2014/chart" uri="{C3380CC4-5D6E-409C-BE32-E72D297353CC}">
              <c16:uniqueId val="{00000016-1BBF-499C-9103-665E3857F03A}"/>
            </c:ext>
          </c:extLst>
        </c:ser>
        <c:dLbls>
          <c:showLegendKey val="0"/>
          <c:showVal val="0"/>
          <c:showCatName val="0"/>
          <c:showSerName val="0"/>
          <c:showPercent val="0"/>
          <c:showBubbleSize val="0"/>
          <c:showLeaderLines val="0"/>
        </c:dLbls>
        <c:firstSliceAng val="0"/>
        <c:holeSize val="73"/>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York Stock Exchange.xlsx]Dashboard Pivot Data!PivotTable4</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aseline="0"/>
              <a:t>The Top 5 Industries</a:t>
            </a:r>
            <a:r>
              <a:rPr lang="en-US"/>
              <a:t> With</a:t>
            </a:r>
            <a:r>
              <a:rPr lang="en-US" baseline="0"/>
              <a:t> The Highest Operating Margin</a:t>
            </a:r>
            <a:endParaRPr lang="en-US"/>
          </a:p>
        </c:rich>
      </c:tx>
      <c:layout>
        <c:manualLayout>
          <c:xMode val="edge"/>
          <c:yMode val="edge"/>
          <c:x val="0.11273185911641283"/>
          <c:y val="5.591054313099041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barChart>
        <c:barDir val="col"/>
        <c:grouping val="clustered"/>
        <c:varyColors val="0"/>
        <c:ser>
          <c:idx val="0"/>
          <c:order val="0"/>
          <c:tx>
            <c:strRef>
              <c:f>'Dashboard Pivot Data'!$B$42</c:f>
              <c:strCache>
                <c:ptCount val="1"/>
                <c:pt idx="0">
                  <c:v>Total</c:v>
                </c:pt>
              </c:strCache>
            </c:strRef>
          </c:tx>
          <c:spPr>
            <a:solidFill>
              <a:schemeClr val="accent6">
                <a:lumMod val="40000"/>
                <a:lumOff val="60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1"/>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Pivot Data'!$A$43:$A$48</c:f>
              <c:strCache>
                <c:ptCount val="5"/>
                <c:pt idx="0">
                  <c:v>Retail REITs</c:v>
                </c:pt>
                <c:pt idx="1">
                  <c:v>Specialized REITs</c:v>
                </c:pt>
                <c:pt idx="2">
                  <c:v>Investment Banking &amp; Brokerage</c:v>
                </c:pt>
                <c:pt idx="3">
                  <c:v>Water Utilities</c:v>
                </c:pt>
                <c:pt idx="4">
                  <c:v>Consumer Finance</c:v>
                </c:pt>
              </c:strCache>
            </c:strRef>
          </c:cat>
          <c:val>
            <c:numRef>
              <c:f>'Dashboard Pivot Data'!$B$43:$B$48</c:f>
              <c:numCache>
                <c:formatCode>#,##0.0000</c:formatCode>
                <c:ptCount val="5"/>
                <c:pt idx="0">
                  <c:v>0.37218414868830363</c:v>
                </c:pt>
                <c:pt idx="1">
                  <c:v>0.34880028973358507</c:v>
                </c:pt>
                <c:pt idx="2">
                  <c:v>0.34294294294294292</c:v>
                </c:pt>
                <c:pt idx="3">
                  <c:v>0.33244769179674527</c:v>
                </c:pt>
                <c:pt idx="4">
                  <c:v>0.32410764796212416</c:v>
                </c:pt>
              </c:numCache>
            </c:numRef>
          </c:val>
          <c:extLst>
            <c:ext xmlns:c16="http://schemas.microsoft.com/office/drawing/2014/chart" uri="{C3380CC4-5D6E-409C-BE32-E72D297353CC}">
              <c16:uniqueId val="{00000000-2728-495D-9DF7-4138E395387F}"/>
            </c:ext>
          </c:extLst>
        </c:ser>
        <c:dLbls>
          <c:showLegendKey val="0"/>
          <c:showVal val="0"/>
          <c:showCatName val="0"/>
          <c:showSerName val="0"/>
          <c:showPercent val="0"/>
          <c:showBubbleSize val="0"/>
        </c:dLbls>
        <c:gapWidth val="219"/>
        <c:overlap val="-27"/>
        <c:axId val="1095849488"/>
        <c:axId val="1095869648"/>
      </c:barChart>
      <c:catAx>
        <c:axId val="1095849488"/>
        <c:scaling>
          <c:orientation val="minMax"/>
        </c:scaling>
        <c:delete val="1"/>
        <c:axPos val="b"/>
        <c:numFmt formatCode="General" sourceLinked="1"/>
        <c:majorTickMark val="out"/>
        <c:minorTickMark val="none"/>
        <c:tickLblPos val="nextTo"/>
        <c:crossAx val="1095869648"/>
        <c:crosses val="autoZero"/>
        <c:auto val="1"/>
        <c:lblAlgn val="ctr"/>
        <c:lblOffset val="100"/>
        <c:noMultiLvlLbl val="0"/>
      </c:catAx>
      <c:valAx>
        <c:axId val="1095869648"/>
        <c:scaling>
          <c:orientation val="minMax"/>
          <c:max val="1"/>
          <c:min val="-1"/>
        </c:scaling>
        <c:delete val="1"/>
        <c:axPos val="l"/>
        <c:numFmt formatCode="#,##0.0000" sourceLinked="1"/>
        <c:majorTickMark val="out"/>
        <c:minorTickMark val="none"/>
        <c:tickLblPos val="nextTo"/>
        <c:crossAx val="1095849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York Stock Exchange.xlsx]Dashboard Pivot Data!PivotTable6</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The Bottom 5 Industries With The Lowest Operating Margin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barChart>
        <c:barDir val="col"/>
        <c:grouping val="clustered"/>
        <c:varyColors val="0"/>
        <c:ser>
          <c:idx val="0"/>
          <c:order val="0"/>
          <c:tx>
            <c:strRef>
              <c:f>'Dashboard Pivot Data'!$B$50</c:f>
              <c:strCache>
                <c:ptCount val="1"/>
                <c:pt idx="0">
                  <c:v>Total</c:v>
                </c:pt>
              </c:strCache>
            </c:strRef>
          </c:tx>
          <c:spPr>
            <a:solidFill>
              <a:schemeClr val="accent6">
                <a:lumMod val="40000"/>
                <a:lumOff val="60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1"/>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Pivot Data'!$A$51:$A$56</c:f>
              <c:strCache>
                <c:ptCount val="5"/>
                <c:pt idx="0">
                  <c:v>Oil &amp; Gas Exploration &amp; Production</c:v>
                </c:pt>
                <c:pt idx="1">
                  <c:v>Oil &amp; Gas Drilling</c:v>
                </c:pt>
                <c:pt idx="2">
                  <c:v>Integrated Oil &amp; Gas</c:v>
                </c:pt>
                <c:pt idx="3">
                  <c:v>Oil &amp; Gas Equipment &amp; Services</c:v>
                </c:pt>
                <c:pt idx="4">
                  <c:v>Oil &amp; Gas Refining &amp; Marketing &amp; Transportation</c:v>
                </c:pt>
              </c:strCache>
            </c:strRef>
          </c:cat>
          <c:val>
            <c:numRef>
              <c:f>'Dashboard Pivot Data'!$B$51:$B$56</c:f>
              <c:numCache>
                <c:formatCode>#,##0.0000</c:formatCode>
                <c:ptCount val="5"/>
                <c:pt idx="0">
                  <c:v>0.29322521538739288</c:v>
                </c:pt>
                <c:pt idx="1">
                  <c:v>0.28341847938410664</c:v>
                </c:pt>
                <c:pt idx="2">
                  <c:v>0.19192149879341633</c:v>
                </c:pt>
                <c:pt idx="3">
                  <c:v>0.14977538502057475</c:v>
                </c:pt>
                <c:pt idx="4">
                  <c:v>0.12688903392559067</c:v>
                </c:pt>
              </c:numCache>
            </c:numRef>
          </c:val>
          <c:extLst>
            <c:ext xmlns:c16="http://schemas.microsoft.com/office/drawing/2014/chart" uri="{C3380CC4-5D6E-409C-BE32-E72D297353CC}">
              <c16:uniqueId val="{00000000-AAEF-415F-9C49-F8BCC35B0FA4}"/>
            </c:ext>
          </c:extLst>
        </c:ser>
        <c:dLbls>
          <c:showLegendKey val="0"/>
          <c:showVal val="0"/>
          <c:showCatName val="0"/>
          <c:showSerName val="0"/>
          <c:showPercent val="0"/>
          <c:showBubbleSize val="0"/>
        </c:dLbls>
        <c:gapWidth val="219"/>
        <c:overlap val="-27"/>
        <c:axId val="58001584"/>
        <c:axId val="58010224"/>
      </c:barChart>
      <c:catAx>
        <c:axId val="58001584"/>
        <c:scaling>
          <c:orientation val="minMax"/>
        </c:scaling>
        <c:delete val="1"/>
        <c:axPos val="b"/>
        <c:numFmt formatCode="General" sourceLinked="1"/>
        <c:majorTickMark val="out"/>
        <c:minorTickMark val="none"/>
        <c:tickLblPos val="nextTo"/>
        <c:crossAx val="58010224"/>
        <c:crosses val="autoZero"/>
        <c:auto val="1"/>
        <c:lblAlgn val="ctr"/>
        <c:lblOffset val="100"/>
        <c:noMultiLvlLbl val="0"/>
      </c:catAx>
      <c:valAx>
        <c:axId val="58010224"/>
        <c:scaling>
          <c:orientation val="minMax"/>
          <c:max val="1"/>
          <c:min val="-1"/>
        </c:scaling>
        <c:delete val="1"/>
        <c:axPos val="l"/>
        <c:numFmt formatCode="#,##0.0000" sourceLinked="1"/>
        <c:majorTickMark val="out"/>
        <c:minorTickMark val="none"/>
        <c:tickLblPos val="nextTo"/>
        <c:crossAx val="58001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132080</xdr:colOff>
      <xdr:row>0</xdr:row>
      <xdr:rowOff>76200</xdr:rowOff>
    </xdr:from>
    <xdr:to>
      <xdr:col>4</xdr:col>
      <xdr:colOff>1066800</xdr:colOff>
      <xdr:row>19</xdr:row>
      <xdr:rowOff>139700</xdr:rowOff>
    </xdr:to>
    <xdr:graphicFrame macro="">
      <xdr:nvGraphicFramePr>
        <xdr:cNvPr id="5" name="Chart 4">
          <a:extLst>
            <a:ext uri="{FF2B5EF4-FFF2-40B4-BE49-F238E27FC236}">
              <a16:creationId xmlns:a16="http://schemas.microsoft.com/office/drawing/2014/main" id="{5359A265-B19D-485D-9857-3D672237B8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38100</xdr:colOff>
      <xdr:row>0</xdr:row>
      <xdr:rowOff>71120</xdr:rowOff>
    </xdr:from>
    <xdr:to>
      <xdr:col>10</xdr:col>
      <xdr:colOff>901700</xdr:colOff>
      <xdr:row>35</xdr:row>
      <xdr:rowOff>121920</xdr:rowOff>
    </xdr:to>
    <xdr:graphicFrame macro="">
      <xdr:nvGraphicFramePr>
        <xdr:cNvPr id="6" name="Chart 5">
          <a:extLst>
            <a:ext uri="{FF2B5EF4-FFF2-40B4-BE49-F238E27FC236}">
              <a16:creationId xmlns:a16="http://schemas.microsoft.com/office/drawing/2014/main" id="{6DCF1705-6943-47A4-A71F-A6C7F27380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365760</xdr:colOff>
      <xdr:row>0</xdr:row>
      <xdr:rowOff>15240</xdr:rowOff>
    </xdr:from>
    <xdr:to>
      <xdr:col>17</xdr:col>
      <xdr:colOff>55880</xdr:colOff>
      <xdr:row>18</xdr:row>
      <xdr:rowOff>0</xdr:rowOff>
    </xdr:to>
    <mc:AlternateContent xmlns:mc="http://schemas.openxmlformats.org/markup-compatibility/2006" xmlns:a14="http://schemas.microsoft.com/office/drawing/2010/main">
      <mc:Choice Requires="a14">
        <xdr:graphicFrame macro="">
          <xdr:nvGraphicFramePr>
            <xdr:cNvPr id="7" name="Year">
              <a:extLst>
                <a:ext uri="{FF2B5EF4-FFF2-40B4-BE49-F238E27FC236}">
                  <a16:creationId xmlns:a16="http://schemas.microsoft.com/office/drawing/2014/main" id="{E2440485-E5E0-C8A2-BADC-D18F8A94D60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5859760" y="15240"/>
              <a:ext cx="1823720" cy="3185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121920</xdr:colOff>
      <xdr:row>20</xdr:row>
      <xdr:rowOff>10160</xdr:rowOff>
    </xdr:from>
    <xdr:to>
      <xdr:col>4</xdr:col>
      <xdr:colOff>1066800</xdr:colOff>
      <xdr:row>35</xdr:row>
      <xdr:rowOff>137160</xdr:rowOff>
    </xdr:to>
    <xdr:graphicFrame macro="">
      <xdr:nvGraphicFramePr>
        <xdr:cNvPr id="8" name="Chart 7">
          <a:extLst>
            <a:ext uri="{FF2B5EF4-FFF2-40B4-BE49-F238E27FC236}">
              <a16:creationId xmlns:a16="http://schemas.microsoft.com/office/drawing/2014/main" id="{135E1CBD-87E7-4582-BE9A-97AD77D7F3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7620</xdr:colOff>
      <xdr:row>0</xdr:row>
      <xdr:rowOff>43180</xdr:rowOff>
    </xdr:from>
    <xdr:to>
      <xdr:col>15</xdr:col>
      <xdr:colOff>317500</xdr:colOff>
      <xdr:row>17</xdr:row>
      <xdr:rowOff>114300</xdr:rowOff>
    </xdr:to>
    <xdr:graphicFrame macro="">
      <xdr:nvGraphicFramePr>
        <xdr:cNvPr id="3" name="Chart 2">
          <a:extLst>
            <a:ext uri="{FF2B5EF4-FFF2-40B4-BE49-F238E27FC236}">
              <a16:creationId xmlns:a16="http://schemas.microsoft.com/office/drawing/2014/main" id="{C2A6C229-7DC7-4460-B7C4-FE6C5061B3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7620</xdr:colOff>
      <xdr:row>17</xdr:row>
      <xdr:rowOff>157480</xdr:rowOff>
    </xdr:from>
    <xdr:to>
      <xdr:col>15</xdr:col>
      <xdr:colOff>330200</xdr:colOff>
      <xdr:row>35</xdr:row>
      <xdr:rowOff>137160</xdr:rowOff>
    </xdr:to>
    <xdr:graphicFrame macro="">
      <xdr:nvGraphicFramePr>
        <xdr:cNvPr id="4" name="Chart 3">
          <a:extLst>
            <a:ext uri="{FF2B5EF4-FFF2-40B4-BE49-F238E27FC236}">
              <a16:creationId xmlns:a16="http://schemas.microsoft.com/office/drawing/2014/main" id="{05DF07D1-B498-4A76-9BD8-468A80F5FA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381000</xdr:colOff>
      <xdr:row>18</xdr:row>
      <xdr:rowOff>45720</xdr:rowOff>
    </xdr:from>
    <xdr:to>
      <xdr:col>17</xdr:col>
      <xdr:colOff>76200</xdr:colOff>
      <xdr:row>35</xdr:row>
      <xdr:rowOff>167640</xdr:rowOff>
    </xdr:to>
    <mc:AlternateContent xmlns:mc="http://schemas.openxmlformats.org/markup-compatibility/2006" xmlns:a14="http://schemas.microsoft.com/office/drawing/2010/main">
      <mc:Choice Requires="a14">
        <xdr:graphicFrame macro="">
          <xdr:nvGraphicFramePr>
            <xdr:cNvPr id="2" name="GICS Sector">
              <a:extLst>
                <a:ext uri="{FF2B5EF4-FFF2-40B4-BE49-F238E27FC236}">
                  <a16:creationId xmlns:a16="http://schemas.microsoft.com/office/drawing/2014/main" id="{83BC9C8D-3D37-4E33-B465-1C532970B4A0}"/>
                </a:ext>
              </a:extLst>
            </xdr:cNvPr>
            <xdr:cNvGraphicFramePr/>
          </xdr:nvGraphicFramePr>
          <xdr:xfrm>
            <a:off x="0" y="0"/>
            <a:ext cx="0" cy="0"/>
          </xdr:xfrm>
          <a:graphic>
            <a:graphicData uri="http://schemas.microsoft.com/office/drawing/2010/slicer">
              <sle:slicer xmlns:sle="http://schemas.microsoft.com/office/drawing/2010/slicer" name="GICS Sector"/>
            </a:graphicData>
          </a:graphic>
        </xdr:graphicFrame>
      </mc:Choice>
      <mc:Fallback xmlns="">
        <xdr:sp macro="" textlink="">
          <xdr:nvSpPr>
            <xdr:cNvPr id="0" name=""/>
            <xdr:cNvSpPr>
              <a:spLocks noTextEdit="1"/>
            </xdr:cNvSpPr>
          </xdr:nvSpPr>
          <xdr:spPr>
            <a:xfrm>
              <a:off x="15875000" y="32461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mo" refreshedDate="45972.133086458336" createdVersion="8" refreshedVersion="8" minRefreshableVersion="3" recordCount="1710" xr:uid="{C0B66525-63BF-4F29-9AA9-EB2E55EF152D}">
  <cacheSource type="worksheet">
    <worksheetSource name="data"/>
  </cacheSource>
  <cacheFields count="15">
    <cacheField name="Ticker Symbol" numFmtId="0">
      <sharedItems count="430">
        <s v="AAL"/>
        <s v="AAP"/>
        <s v="AAPL"/>
        <s v="AFL"/>
        <s v="AIG"/>
        <s v="AIZ"/>
        <s v="ADBE"/>
        <s v="ADI"/>
        <s v="ADM"/>
        <s v="ADS"/>
        <s v="ADSK"/>
        <s v="AEE"/>
        <s v="AEP"/>
        <s v="ALL"/>
        <s v="AMP"/>
        <s v="AIV"/>
        <s v="AXP"/>
        <s v="AKAM"/>
        <s v="ALB"/>
        <s v="ALK"/>
        <s v="BAC"/>
        <s v="ALLE"/>
        <s v="BBT"/>
        <s v="AMAT"/>
        <s v="AME"/>
        <s v="CB"/>
        <s v="CFG"/>
        <s v="AMT"/>
        <s v="AMZN"/>
        <s v="AN"/>
        <s v="CINF"/>
        <s v="APA"/>
        <s v="APC"/>
        <s v="APD"/>
        <s v="APH"/>
        <s v="ARNC"/>
        <s v="ATVI"/>
        <s v="AVGO"/>
        <s v="AVY"/>
        <s v="AWK"/>
        <s v="CMA"/>
        <s v="AYI"/>
        <s v="AZO"/>
        <s v="BA"/>
        <s v="COF"/>
        <s v="DFS"/>
        <s v="BBBY"/>
        <s v="ETFC"/>
        <s v="BBY"/>
        <s v="HBAN"/>
        <s v="HIG"/>
        <s v="BHI"/>
        <s v="HRB"/>
        <s v="BLL"/>
        <s v="IVZ"/>
        <s v="JPM"/>
        <s v="BWA"/>
        <s v="BXP"/>
        <s v="CAG"/>
        <s v="KEY"/>
        <s v="CAT"/>
        <s v="LUK"/>
        <s v="CBG"/>
        <s v="CCI"/>
        <s v="CCL"/>
        <s v="MCO"/>
        <s v="MET"/>
        <s v="CF"/>
        <s v="MMC"/>
        <s v="CHD"/>
        <s v="CHK"/>
        <s v="CHRW"/>
        <s v="CHTR"/>
        <s v="MTB"/>
        <s v="NDAQ"/>
        <s v="CL"/>
        <s v="CLX"/>
        <s v="PBCT"/>
        <s v="CMG"/>
        <s v="CMI"/>
        <s v="CMS"/>
        <s v="PFG"/>
        <s v="CNP"/>
        <s v="PGR"/>
        <s v="COG"/>
        <s v="COL"/>
        <s v="PNC"/>
        <s v="COST"/>
        <s v="COTY"/>
        <s v="CPB"/>
        <s v="CRM"/>
        <s v="CSCO"/>
        <s v="CSRA"/>
        <s v="CSX"/>
        <s v="CTAS"/>
        <s v="CTL"/>
        <s v="CTSH"/>
        <s v="CTXS"/>
        <s v="CVS"/>
        <s v="CVX"/>
        <s v="CXO"/>
        <s v="D"/>
        <s v="DAL"/>
        <s v="DD"/>
        <s v="DE"/>
        <s v="PRU"/>
        <s v="DG"/>
        <s v="STI"/>
        <s v="DHI"/>
        <s v="DHR"/>
        <s v="DIS"/>
        <s v="DISCA"/>
        <s v="DISCK"/>
        <s v="DLPH"/>
        <s v="DLR"/>
        <s v="DLTR"/>
        <s v="DNB"/>
        <s v="DOV"/>
        <s v="DPS"/>
        <s v="DRI"/>
        <s v="DUK"/>
        <s v="SYF"/>
        <s v="DVN"/>
        <s v="EA"/>
        <s v="EBAY"/>
        <s v="ECL"/>
        <s v="ED"/>
        <s v="EFX"/>
        <s v="EIX"/>
        <s v="EL"/>
        <s v="EMN"/>
        <s v="EMR"/>
        <s v="EOG"/>
        <s v="EQIX"/>
        <s v="EQR"/>
        <s v="EQT"/>
        <s v="ES"/>
        <s v="ESS"/>
        <s v="TMK"/>
        <s v="ETN"/>
        <s v="ETR"/>
        <s v="TRV"/>
        <s v="EXC"/>
        <s v="EXPD"/>
        <s v="EXPE"/>
        <s v="EXR"/>
        <s v="F"/>
        <s v="FAST"/>
        <s v="FB"/>
        <s v="FBHS"/>
        <s v="FCX"/>
        <s v="FDX"/>
        <s v="FE"/>
        <s v="FFIV"/>
        <s v="FIS"/>
        <s v="FISV"/>
        <s v="FL"/>
        <s v="FLIR"/>
        <s v="FLR"/>
        <s v="FLS"/>
        <s v="FMC"/>
        <s v="FRT"/>
        <s v="FSLR"/>
        <s v="FTR"/>
        <s v="GD"/>
        <s v="GGP"/>
        <s v="UNM"/>
        <s v="GIS"/>
        <s v="GLW"/>
        <s v="GM"/>
        <s v="GPC"/>
        <s v="GPN"/>
        <s v="GPS"/>
        <s v="GRMN"/>
        <s v="GT"/>
        <s v="GWW"/>
        <s v="HAL"/>
        <s v="HAR"/>
        <s v="HAS"/>
        <s v="USB"/>
        <s v="HBI"/>
        <s v="WFC"/>
        <s v="HCN"/>
        <s v="HCP"/>
        <s v="HD"/>
        <s v="HES"/>
        <s v="XL"/>
        <s v="HOG"/>
        <s v="ZION"/>
        <s v="HON"/>
        <s v="HP"/>
        <s v="HPE"/>
        <s v="HPQ"/>
        <s v="ABBV"/>
        <s v="HRL"/>
        <s v="HRS"/>
        <s v="ABC"/>
        <s v="HST"/>
        <s v="HSY"/>
        <s v="ABT"/>
        <s v="IBM"/>
        <s v="ALXN"/>
        <s v="IFF"/>
        <s v="AMGN"/>
        <s v="INTC"/>
        <s v="INTU"/>
        <s v="IP"/>
        <s v="IPG"/>
        <s v="IRM"/>
        <s v="ANTM"/>
        <s v="ITW"/>
        <s v="BAX"/>
        <s v="JBHT"/>
        <s v="JEC"/>
        <s v="JNPR"/>
        <s v="BCR"/>
        <s v="JWN"/>
        <s v="K"/>
        <s v="BDX"/>
        <s v="KIM"/>
        <s v="KLAC"/>
        <s v="KMB"/>
        <s v="KMI"/>
        <s v="KMX"/>
        <s v="KO"/>
        <s v="KORS"/>
        <s v="KR"/>
        <s v="KSS"/>
        <s v="KSU"/>
        <s v="LB"/>
        <s v="LEG"/>
        <s v="LEN"/>
        <s v="BIIB"/>
        <s v="LKQ"/>
        <s v="LLL"/>
        <s v="LLTC"/>
        <s v="BMY"/>
        <s v="LMT"/>
        <s v="LNT"/>
        <s v="LOW"/>
        <s v="LRCX"/>
        <s v="BSX"/>
        <s v="LUV"/>
        <s v="LVLT"/>
        <s v="LYB"/>
        <s v="M"/>
        <s v="MA"/>
        <s v="MAA"/>
        <s v="MAC"/>
        <s v="MAR"/>
        <s v="MAS"/>
        <s v="MAT"/>
        <s v="MCD"/>
        <s v="MCHP"/>
        <s v="CAH"/>
        <s v="CELG"/>
        <s v="MDLZ"/>
        <s v="CERN"/>
        <s v="MHK"/>
        <s v="MJN"/>
        <s v="MKC"/>
        <s v="MLM"/>
        <s v="CI"/>
        <s v="MMM"/>
        <s v="MNST"/>
        <s v="MO"/>
        <s v="MON"/>
        <s v="MOS"/>
        <s v="MPC"/>
        <s v="CNC"/>
        <s v="MRO"/>
        <s v="MSFT"/>
        <s v="COO"/>
        <s v="DGX"/>
        <s v="MU"/>
        <s v="MUR"/>
        <s v="DVA"/>
        <s v="NBL"/>
        <s v="EW"/>
        <s v="NEE"/>
        <s v="NEM"/>
        <s v="NFLX"/>
        <s v="NFX"/>
        <s v="NKE"/>
        <s v="NLSN"/>
        <s v="NOV"/>
        <s v="NSC"/>
        <s v="NTAP"/>
        <s v="NUE"/>
        <s v="NVDA"/>
        <s v="NWL"/>
        <s v="O"/>
        <s v="OKE"/>
        <s v="OMC"/>
        <s v="ORLY"/>
        <s v="OXY"/>
        <s v="GILD"/>
        <s v="PBI"/>
        <s v="PCAR"/>
        <s v="PCG"/>
        <s v="PCLN"/>
        <s v="HCA"/>
        <s v="PEG"/>
        <s v="PEP"/>
        <s v="HOLX"/>
        <s v="HSIC"/>
        <s v="PG"/>
        <s v="HUM"/>
        <s v="PH"/>
        <s v="PHM"/>
        <s v="IDXX"/>
        <s v="PM"/>
        <s v="ILMN"/>
        <s v="PNR"/>
        <s v="PNW"/>
        <s v="PPG"/>
        <s v="PPL"/>
        <s v="ISRG"/>
        <s v="PSX"/>
        <s v="PVH"/>
        <s v="PWR"/>
        <s v="PX"/>
        <s v="QCOM"/>
        <s v="QRVO"/>
        <s v="R"/>
        <s v="RCL"/>
        <s v="LH"/>
        <s v="RHI"/>
        <s v="RHT"/>
        <s v="RL"/>
        <s v="ROK"/>
        <s v="ROP"/>
        <s v="ROST"/>
        <s v="RRC"/>
        <s v="RSG"/>
        <s v="SBUX"/>
        <s v="SCG"/>
        <s v="SE"/>
        <s v="SEE"/>
        <s v="SHW"/>
        <s v="SIG"/>
        <s v="SJM"/>
        <s v="SLG"/>
        <s v="SNA"/>
        <s v="SNI"/>
        <s v="SO"/>
        <s v="SPG"/>
        <s v="SPLS"/>
        <s v="SRCL"/>
        <s v="SRE"/>
        <s v="LLY"/>
        <s v="STX"/>
        <s v="STZ"/>
        <s v="SWK"/>
        <s v="SWKS"/>
        <s v="SWN"/>
        <s v="MCK"/>
        <s v="MRK"/>
        <s v="SYMC"/>
        <s v="SYY"/>
        <s v="T"/>
        <s v="TAP"/>
        <s v="TDC"/>
        <s v="TDG"/>
        <s v="TEL"/>
        <s v="TGNA"/>
        <s v="TGT"/>
        <s v="TIF"/>
        <s v="TJX"/>
        <s v="MTD"/>
        <s v="MYL"/>
        <s v="TRIP"/>
        <s v="PDCO"/>
        <s v="TSCO"/>
        <s v="TSN"/>
        <s v="TSO"/>
        <s v="TSS"/>
        <s v="TXN"/>
        <s v="TXT"/>
        <s v="UA"/>
        <s v="UAA"/>
        <s v="UAL"/>
        <s v="UDR"/>
        <s v="ULTA"/>
        <s v="PFE"/>
        <s v="PKI"/>
        <s v="UNP"/>
        <s v="UPS"/>
        <s v="URBN"/>
        <s v="REGN"/>
        <s v="UTX"/>
        <s v="V"/>
        <s v="SYK"/>
        <s v="VFC"/>
        <s v="VIAB"/>
        <s v="VLO"/>
        <s v="VMC"/>
        <s v="VNO"/>
        <s v="VRSK"/>
        <s v="VRSN"/>
        <s v="TMO"/>
        <s v="VTR"/>
        <s v="VZ"/>
        <s v="UNH"/>
        <s v="WDC"/>
        <s v="WEC"/>
        <s v="VAR"/>
        <s v="WFM"/>
        <s v="WHR"/>
        <s v="WM"/>
        <s v="WMB"/>
        <s v="WMT"/>
        <s v="WRK"/>
        <s v="WU"/>
        <s v="WY"/>
        <s v="WYN"/>
        <s v="WYNN"/>
        <s v="XEC"/>
        <s v="XEL"/>
        <s v="VRTX"/>
        <s v="XLNX"/>
        <s v="XOM"/>
        <s v="WAT"/>
        <s v="XRX"/>
        <s v="XYL"/>
        <s v="YHOO"/>
        <s v="YUM"/>
        <s v="XRAY"/>
        <s v="ZBH"/>
        <s v="ZTS"/>
      </sharedItems>
    </cacheField>
    <cacheField name="Years" numFmtId="0">
      <sharedItems containsSemiMixedTypes="0" containsString="0" containsNumber="1" containsInteger="1" minValue="1" maxValue="4"/>
    </cacheField>
    <cacheField name="Year" numFmtId="0">
      <sharedItems containsSemiMixedTypes="0" containsString="0" containsNumber="1" containsInteger="1" minValue="2003" maxValue="2017"/>
    </cacheField>
    <cacheField name="Period Ending" numFmtId="14">
      <sharedItems containsSemiMixedTypes="0" containsNonDate="0" containsDate="1" containsString="0" minDate="2003-06-30T00:00:00" maxDate="2017-01-02T00:00:00" count="162">
        <d v="2012-12-31T00:00:00"/>
        <d v="2013-12-31T00:00:00"/>
        <d v="2014-12-31T00:00:00"/>
        <d v="2015-12-31T00:00:00"/>
        <d v="2012-12-29T00:00:00"/>
        <d v="2013-12-28T00:00:00"/>
        <d v="2015-01-03T00:00:00"/>
        <d v="2016-01-02T00:00:00"/>
        <d v="2013-09-28T00:00:00"/>
        <d v="2014-09-27T00:00:00"/>
        <d v="2015-09-26T00:00:00"/>
        <d v="2016-09-24T00:00:00"/>
        <d v="2016-12-31T00:00:00"/>
        <d v="2013-11-29T00:00:00"/>
        <d v="2014-11-28T00:00:00"/>
        <d v="2015-11-27T00:00:00"/>
        <d v="2016-12-02T00:00:00"/>
        <d v="2013-11-02T00:00:00"/>
        <d v="2014-11-01T00:00:00"/>
        <d v="2015-10-31T00:00:00"/>
        <d v="2016-10-29T00:00:00"/>
        <d v="2013-01-31T00:00:00"/>
        <d v="2014-01-31T00:00:00"/>
        <d v="2015-01-31T00:00:00"/>
        <d v="2016-01-31T00:00:00"/>
        <d v="2013-10-27T00:00:00"/>
        <d v="2014-10-26T00:00:00"/>
        <d v="2015-10-25T00:00:00"/>
        <d v="2016-10-30T00:00:00"/>
        <d v="2013-09-30T00:00:00"/>
        <d v="2014-09-30T00:00:00"/>
        <d v="2015-09-30T00:00:00"/>
        <d v="2016-09-30T00:00:00"/>
        <d v="2015-11-01T00:00:00"/>
        <d v="2013-08-31T00:00:00"/>
        <d v="2014-08-31T00:00:00"/>
        <d v="2015-08-31T00:00:00"/>
        <d v="2016-08-31T00:00:00"/>
        <d v="2014-08-30T00:00:00"/>
        <d v="2015-08-29T00:00:00"/>
        <d v="2016-08-27T00:00:00"/>
        <d v="2012-11-30T00:00:00"/>
        <d v="2013-03-02T00:00:00"/>
        <d v="2014-03-01T00:00:00"/>
        <d v="2015-02-28T00:00:00"/>
        <d v="2016-02-27T00:00:00"/>
        <d v="2012-03-03T00:00:00"/>
        <d v="2014-02-01T00:00:00"/>
        <d v="2016-01-30T00:00:00"/>
        <d v="2013-04-30T00:00:00"/>
        <d v="2014-04-30T00:00:00"/>
        <d v="2015-04-30T00:00:00"/>
        <d v="2016-04-30T00:00:00"/>
        <d v="2013-05-26T00:00:00"/>
        <d v="2014-05-25T00:00:00"/>
        <d v="2015-05-31T00:00:00"/>
        <d v="2016-05-29T00:00:00"/>
        <d v="2013-11-30T00:00:00"/>
        <d v="2014-11-30T00:00:00"/>
        <d v="2015-11-30T00:00:00"/>
        <d v="2016-11-30T00:00:00"/>
        <d v="2013-06-30T00:00:00"/>
        <d v="2014-06-30T00:00:00"/>
        <d v="2015-06-30T00:00:00"/>
        <d v="2016-06-30T00:00:00"/>
        <d v="2013-09-01T00:00:00"/>
        <d v="2015-08-30T00:00:00"/>
        <d v="2016-08-28T00:00:00"/>
        <d v="2003-06-30T00:00:00"/>
        <d v="2004-06-30T00:00:00"/>
        <d v="2006-02-28T00:00:00"/>
        <d v="2007-02-28T00:00:00"/>
        <d v="2013-07-28T00:00:00"/>
        <d v="2014-08-03T00:00:00"/>
        <d v="2015-08-02T00:00:00"/>
        <d v="2016-07-31T00:00:00"/>
        <d v="2013-07-27T00:00:00"/>
        <d v="2014-07-26T00:00:00"/>
        <d v="2015-07-25T00:00:00"/>
        <d v="2016-07-30T00:00:00"/>
        <d v="2015-04-03T00:00:00"/>
        <d v="2016-04-01T00:00:00"/>
        <d v="2014-12-26T00:00:00"/>
        <d v="2015-12-25T00:00:00"/>
        <d v="2016-12-30T00:00:00"/>
        <d v="2013-05-31T00:00:00"/>
        <d v="2014-05-31T00:00:00"/>
        <d v="2016-05-31T00:00:00"/>
        <d v="2013-10-31T00:00:00"/>
        <d v="2014-10-31T00:00:00"/>
        <d v="2016-10-31T00:00:00"/>
        <d v="2013-02-01T00:00:00"/>
        <d v="2015-01-30T00:00:00"/>
        <d v="2016-01-29T00:00:00"/>
        <d v="2015-10-03T00:00:00"/>
        <d v="2016-10-01T00:00:00"/>
        <d v="2013-02-02T00:00:00"/>
        <d v="2013-03-31T00:00:00"/>
        <d v="2014-03-31T00:00:00"/>
        <d v="2015-03-31T00:00:00"/>
        <d v="2016-03-31T00:00:00"/>
        <d v="2014-12-27T00:00:00"/>
        <d v="2015-12-26T00:00:00"/>
        <d v="2013-12-29T00:00:00"/>
        <d v="2014-12-28T00:00:00"/>
        <d v="2015-12-27T00:00:00"/>
        <d v="2013-07-31T00:00:00"/>
        <d v="2014-07-31T00:00:00"/>
        <d v="2015-07-31T00:00:00"/>
        <d v="2013-02-03T00:00:00"/>
        <d v="2014-02-02T00:00:00"/>
        <d v="2015-02-01T00:00:00"/>
        <d v="2013-06-28T00:00:00"/>
        <d v="2014-06-27T00:00:00"/>
        <d v="2015-07-03T00:00:00"/>
        <d v="2016-07-01T00:00:00"/>
        <d v="2013-09-27T00:00:00"/>
        <d v="2014-09-26T00:00:00"/>
        <d v="2015-10-02T00:00:00"/>
        <d v="2013-02-28T00:00:00"/>
        <d v="2014-02-28T00:00:00"/>
        <d v="2016-02-29T00:00:00"/>
        <d v="2013-03-30T00:00:00"/>
        <d v="2014-03-29T00:00:00"/>
        <d v="2015-03-28T00:00:00"/>
        <d v="2016-04-02T00:00:00"/>
        <d v="2014-06-29T00:00:00"/>
        <d v="2015-06-28T00:00:00"/>
        <d v="2016-07-03T00:00:00"/>
        <d v="2016-06-26T00:00:00"/>
        <d v="2013-08-29T00:00:00"/>
        <d v="2014-08-28T00:00:00"/>
        <d v="2015-09-03T00:00:00"/>
        <d v="2016-09-01T00:00:00"/>
        <d v="2013-04-26T00:00:00"/>
        <d v="2014-04-25T00:00:00"/>
        <d v="2015-04-24T00:00:00"/>
        <d v="2016-04-29T00:00:00"/>
        <d v="2013-01-27T00:00:00"/>
        <d v="2014-01-26T00:00:00"/>
        <d v="2015-01-25T00:00:00"/>
        <d v="2016-01-03T00:00:00"/>
        <d v="2017-01-01T00:00:00"/>
        <d v="2013-09-29T00:00:00"/>
        <d v="2014-09-28T00:00:00"/>
        <d v="2015-09-27T00:00:00"/>
        <d v="2016-09-25T00:00:00"/>
        <d v="2016-10-02T00:00:00"/>
        <d v="2015-02-02T00:00:00"/>
        <d v="2014-10-03T00:00:00"/>
        <d v="2013-03-29T00:00:00"/>
        <d v="2014-03-28T00:00:00"/>
        <d v="2013-06-29T00:00:00"/>
        <d v="2014-06-28T00:00:00"/>
        <d v="2015-06-27T00:00:00"/>
        <d v="2016-07-02T00:00:00"/>
        <d v="2015-09-25T00:00:00"/>
        <d v="2012-12-30T00:00:00"/>
        <d v="2013-04-27T00:00:00"/>
        <d v="2014-04-26T00:00:00"/>
        <d v="2015-04-25T00:00:00"/>
        <d v="2013-10-03T00:00:00"/>
      </sharedItems>
    </cacheField>
    <cacheField name=" Total Revenue " numFmtId="3">
      <sharedItems containsSemiMixedTypes="0" containsString="0" containsNumber="1" containsInteger="1" minValue="1514000" maxValue="485651000000"/>
    </cacheField>
    <cacheField name=" Cost of Goods Sold " numFmtId="0">
      <sharedItems containsSemiMixedTypes="0" containsString="0" containsNumber="1" containsInteger="1" minValue="0" maxValue="365086000000"/>
    </cacheField>
    <cacheField name=" Sales, General and Admin" numFmtId="0">
      <sharedItems containsSemiMixedTypes="0" containsString="0" containsNumber="1" containsInteger="1" minValue="-487000000" maxValue="97041000000"/>
    </cacheField>
    <cacheField name=" Research and Development " numFmtId="0">
      <sharedItems containsSemiMixedTypes="0" containsString="0" containsNumber="1" containsInteger="1" minValue="0" maxValue="12740000000"/>
    </cacheField>
    <cacheField name=" Other Operating Items " numFmtId="0">
      <sharedItems containsSemiMixedTypes="0" containsString="0" containsNumber="1" containsInteger="1" minValue="-87159000" maxValue="54872000000"/>
    </cacheField>
    <cacheField name="GICS Sector" numFmtId="0">
      <sharedItems/>
    </cacheField>
    <cacheField name="GICS Sub Industry" numFmtId="0">
      <sharedItems/>
    </cacheField>
    <cacheField name="Gross Margin" numFmtId="166">
      <sharedItems containsSemiMixedTypes="0" containsString="0" containsNumber="1" minValue="-0.79656106317314346" maxValue="1"/>
    </cacheField>
    <cacheField name="Gross Profit" numFmtId="3">
      <sharedItems containsSemiMixedTypes="0" containsString="0" containsNumber="1" containsInteger="1" minValue="-12647000000" maxValue="149453000000"/>
    </cacheField>
    <cacheField name="Operating Margin" numFmtId="166">
      <sharedItems containsSemiMixedTypes="0" containsString="0" containsNumber="1" minValue="-4.0490365032116555" maxValue="0.67995342994577035"/>
    </cacheField>
    <cacheField name="Operating Profit" numFmtId="3">
      <sharedItems containsSemiMixedTypes="0" containsString="0" containsNumber="1" containsInteger="1" minValue="-25845000000" maxValue="71230000000"/>
    </cacheField>
  </cacheFields>
  <extLst>
    <ext xmlns:x14="http://schemas.microsoft.com/office/spreadsheetml/2009/9/main" uri="{725AE2AE-9491-48be-B2B4-4EB974FC3084}">
      <x14:pivotCacheDefinition pivotCacheId="43056640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mo" refreshedDate="45972.141766203706" createdVersion="8" refreshedVersion="8" minRefreshableVersion="3" recordCount="1710" xr:uid="{C3C7B032-190D-41A6-A12A-E924855018FF}">
  <cacheSource type="worksheet">
    <worksheetSource name="data"/>
  </cacheSource>
  <cacheFields count="15">
    <cacheField name="Ticker Symbol" numFmtId="0">
      <sharedItems/>
    </cacheField>
    <cacheField name="Years" numFmtId="0">
      <sharedItems containsSemiMixedTypes="0" containsString="0" containsNumber="1" containsInteger="1" minValue="1" maxValue="4"/>
    </cacheField>
    <cacheField name="Year" numFmtId="0">
      <sharedItems containsSemiMixedTypes="0" containsString="0" containsNumber="1" containsInteger="1" minValue="2003" maxValue="2017" count="10">
        <n v="2012"/>
        <n v="2013"/>
        <n v="2014"/>
        <n v="2015"/>
        <n v="2016"/>
        <n v="2003"/>
        <n v="2004"/>
        <n v="2006"/>
        <n v="2007"/>
        <n v="2017"/>
      </sharedItems>
    </cacheField>
    <cacheField name="Period Ending" numFmtId="14">
      <sharedItems containsSemiMixedTypes="0" containsNonDate="0" containsDate="1" containsString="0" minDate="2003-06-30T00:00:00" maxDate="2017-01-02T00:00:00"/>
    </cacheField>
    <cacheField name=" Total Revenue " numFmtId="3">
      <sharedItems containsSemiMixedTypes="0" containsString="0" containsNumber="1" containsInteger="1" minValue="1514000" maxValue="485651000000"/>
    </cacheField>
    <cacheField name=" Cost of Goods Sold " numFmtId="0">
      <sharedItems containsSemiMixedTypes="0" containsString="0" containsNumber="1" containsInteger="1" minValue="0" maxValue="365086000000"/>
    </cacheField>
    <cacheField name=" Sales, General and Admin" numFmtId="0">
      <sharedItems containsSemiMixedTypes="0" containsString="0" containsNumber="1" containsInteger="1" minValue="-487000000" maxValue="97041000000"/>
    </cacheField>
    <cacheField name=" Research and Development " numFmtId="0">
      <sharedItems containsSemiMixedTypes="0" containsString="0" containsNumber="1" containsInteger="1" minValue="0" maxValue="12740000000"/>
    </cacheField>
    <cacheField name=" Other Operating Items " numFmtId="0">
      <sharedItems containsSemiMixedTypes="0" containsString="0" containsNumber="1" containsInteger="1" minValue="-87159000" maxValue="54872000000"/>
    </cacheField>
    <cacheField name="GICS Sector" numFmtId="0">
      <sharedItems count="11">
        <s v="Industrials"/>
        <s v="Consumer Discretionary"/>
        <s v="Information Technology"/>
        <s v="Financials"/>
        <s v="Consumer Staples"/>
        <s v="Utilities"/>
        <s v="Real Estate"/>
        <s v="Materials"/>
        <s v="Energy"/>
        <s v="Telecommunications Services"/>
        <s v="Health Care"/>
      </sharedItems>
    </cacheField>
    <cacheField name="GICS Sub Industry" numFmtId="0">
      <sharedItems count="120">
        <s v="Airlines"/>
        <s v="Automotive Retail"/>
        <s v="Computer Hardware"/>
        <s v="Life &amp; Health Insurance"/>
        <s v="Property &amp; Casualty Insurance"/>
        <s v="Multi-line Insurance"/>
        <s v="Application Software"/>
        <s v="Semiconductors"/>
        <s v="Agricultural Products"/>
        <s v="Data Processing &amp; Outsourced Services"/>
        <s v="MultiUtilities"/>
        <s v="Electric Utilities"/>
        <s v="Asset Management &amp; Custody Banks"/>
        <s v="REITs"/>
        <s v="Consumer Finance"/>
        <s v="Internet Software &amp; Services"/>
        <s v="Specialty Chemicals"/>
        <s v="Banks"/>
        <s v="Building Products"/>
        <s v="Semiconductor Equipment"/>
        <s v="Electrical Components &amp; Equipment"/>
        <s v="Regional Banks"/>
        <s v="Specialized REITs"/>
        <s v="Internet &amp; Direct Marketing Retail"/>
        <s v="Specialty Stores"/>
        <s v="Oil &amp; Gas Exploration &amp; Production"/>
        <s v="Industrial Gases"/>
        <s v="Electronic Components"/>
        <s v="Aerospace &amp; Defense"/>
        <s v="Home Entertainment Software"/>
        <s v="Paper Packaging"/>
        <s v="Water Utilities"/>
        <s v="Investment Banking &amp; Brokerage"/>
        <s v="Computer &amp; Electronics Retail"/>
        <s v="Oil &amp; Gas Equipment &amp; Services"/>
        <s v="Metal &amp; Glass Containers"/>
        <s v="Auto Parts &amp; Equipment"/>
        <s v="Packaged Foods &amp; Meats"/>
        <s v="Construction &amp; Farm Machinery &amp; Heavy Trucks"/>
        <s v="Multi-Sector Holdings"/>
        <s v="Real Estate Services"/>
        <s v="Hotels, Resorts &amp; Cruise Lines"/>
        <s v="Diversified Financial Services"/>
        <s v="Fertilizers &amp; Agricultural Chemicals"/>
        <s v="Insurance Brokers"/>
        <s v="Household Products"/>
        <s v="Integrated Oil &amp; Gas"/>
        <s v="Air Freight &amp; Logistics"/>
        <s v="Cable &amp; Satellite"/>
        <s v="Thrifts &amp; Mortgage Finance"/>
        <s v="Restaurants"/>
        <s v="Industrial Machinery"/>
        <s v="Industrial Conglomerates"/>
        <s v="Hypermarkets &amp; Super Centers"/>
        <s v="Personal Products"/>
        <s v="Networking Equipment"/>
        <s v="IT Consulting &amp; Other Services"/>
        <s v="Railroads"/>
        <s v="Diversified Support Services"/>
        <s v="Integrated Telecommunications Services"/>
        <s v="Drug Retail"/>
        <s v="Diversified Chemicals"/>
        <s v="General Merchandise Stores"/>
        <s v="Homebuilding"/>
        <s v="Broadcasting &amp; Cable TV"/>
        <s v="Research &amp; Consulting Services"/>
        <s v="Soft Drinks"/>
        <s v="Residential REITs"/>
        <s v="Automobile Manufacturers"/>
        <s v="Copper"/>
        <s v="Apparel Retail"/>
        <s v="Electronic Equipment &amp; Instruments"/>
        <s v="Diversified Commercial Services"/>
        <s v="Retail REITs"/>
        <s v="Consumer Electronics"/>
        <s v="Tires &amp; Rubber"/>
        <s v="Industrial Materials"/>
        <s v="Leisure Products"/>
        <s v="Apparel, Accessories &amp; Luxury Goods"/>
        <s v="Home Improvement Retail"/>
        <s v="Motorcycle Manufacturers"/>
        <s v="Oil &amp; Gas Drilling"/>
        <s v="Technology Hardware, Storage &amp; Peripherals"/>
        <s v="Pharmaceuticals"/>
        <s v="Telecommunications Equipment"/>
        <s v="Health Care Distributors"/>
        <s v="Health Care Equipment"/>
        <s v="Biotechnology"/>
        <s v="Advertising"/>
        <s v="Managed Health Care"/>
        <s v="Trucking"/>
        <s v="Department Stores"/>
        <s v="Oil &amp; Gas Refining &amp; Marketing &amp; Transportation"/>
        <s v="Food Retail"/>
        <s v="Distributors"/>
        <s v="Alternative Carriers"/>
        <s v="Health Care Technology"/>
        <s v="Home Furnishings"/>
        <s v="Construction Materials"/>
        <s v="Tobacco"/>
        <s v="Systems Software"/>
        <s v="Health Care Supplies"/>
        <s v="Health Care Facilities"/>
        <s v="Gold"/>
        <s v="Steel"/>
        <s v="Housewares &amp; Specialties"/>
        <s v="Technology, Hardware, Software and Supplies"/>
        <s v="Life Sciences Tools &amp; Services"/>
        <s v="Human Resource &amp; Employment Services"/>
        <s v="Office REITs"/>
        <s v="Household Appliances"/>
        <s v="Computer Storage &amp; Peripherals"/>
        <s v="Distillers &amp; Vintners"/>
        <s v="Food Distributors"/>
        <s v="Brewers"/>
        <s v="Electronic Manufacturing Services"/>
        <s v="Publishing"/>
        <s v="Specialty Retail"/>
        <s v="Environmental Services"/>
        <s v="Casinos &amp; Gaming"/>
      </sharedItems>
    </cacheField>
    <cacheField name="Gross Margin" numFmtId="166">
      <sharedItems containsSemiMixedTypes="0" containsString="0" containsNumber="1" minValue="-0.79656106317314346" maxValue="1"/>
    </cacheField>
    <cacheField name="Gross Profit" numFmtId="3">
      <sharedItems containsSemiMixedTypes="0" containsString="0" containsNumber="1" containsInteger="1" minValue="-12647000000" maxValue="149453000000"/>
    </cacheField>
    <cacheField name="Operating Margin" numFmtId="166">
      <sharedItems containsSemiMixedTypes="0" containsString="0" containsNumber="1" minValue="-4.0490365032116555" maxValue="0.67995342994577035"/>
    </cacheField>
    <cacheField name="Operating Profit" numFmtId="3">
      <sharedItems containsSemiMixedTypes="0" containsString="0" containsNumber="1" containsInteger="1" minValue="-25845000000" maxValue="71230000000"/>
    </cacheField>
  </cacheFields>
  <extLst>
    <ext xmlns:x14="http://schemas.microsoft.com/office/spreadsheetml/2009/9/main" uri="{725AE2AE-9491-48be-B2B4-4EB974FC3084}">
      <x14:pivotCacheDefinition pivotCacheId="13469961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10">
  <r>
    <x v="0"/>
    <n v="1"/>
    <n v="2012"/>
    <x v="0"/>
    <n v="24855000000"/>
    <n v="10499000000"/>
    <n v="12977000000"/>
    <n v="0"/>
    <n v="845000000"/>
    <s v="Industrials"/>
    <s v="Airlines"/>
    <n v="0.57759002212834432"/>
    <n v="14356000000"/>
    <n v="2.1484610742305371E-2"/>
    <n v="534000000"/>
  </r>
  <r>
    <x v="0"/>
    <n v="2"/>
    <n v="2013"/>
    <x v="1"/>
    <n v="26743000000"/>
    <n v="11019000000"/>
    <n v="12913000000"/>
    <n v="0"/>
    <n v="853000000"/>
    <s v="Industrials"/>
    <s v="Airlines"/>
    <n v="0.58796694462102228"/>
    <n v="15724000000"/>
    <n v="7.3215420857794561E-2"/>
    <n v="1958000000"/>
  </r>
  <r>
    <x v="0"/>
    <n v="3"/>
    <n v="2014"/>
    <x v="2"/>
    <n v="42650000000"/>
    <n v="15620000000"/>
    <n v="20686000000"/>
    <n v="0"/>
    <n v="1295000000"/>
    <s v="Industrials"/>
    <s v="Airlines"/>
    <n v="0.63376318874560378"/>
    <n v="27030000000"/>
    <n v="0.11838218053927316"/>
    <n v="5049000000"/>
  </r>
  <r>
    <x v="0"/>
    <n v="4"/>
    <n v="2015"/>
    <x v="3"/>
    <n v="40990000000"/>
    <n v="11096000000"/>
    <n v="21275000000"/>
    <n v="0"/>
    <n v="1364000000"/>
    <s v="Industrials"/>
    <s v="Airlines"/>
    <n v="0.72929982922664061"/>
    <n v="29894000000"/>
    <n v="0.17699438887533545"/>
    <n v="7255000000"/>
  </r>
  <r>
    <x v="1"/>
    <n v="1"/>
    <n v="2012"/>
    <x v="4"/>
    <n v="6205003000"/>
    <n v="3106967000"/>
    <n v="2440721000"/>
    <n v="0"/>
    <n v="0"/>
    <s v="Consumer Discretionary"/>
    <s v="Automotive Retail"/>
    <n v="0.49928033878468714"/>
    <n v="3098036000"/>
    <n v="0.10593306723622857"/>
    <n v="657315000"/>
  </r>
  <r>
    <x v="1"/>
    <n v="2"/>
    <n v="2013"/>
    <x v="5"/>
    <n v="6493814000"/>
    <n v="3241668000"/>
    <n v="2591828000"/>
    <n v="0"/>
    <n v="0"/>
    <s v="Consumer Discretionary"/>
    <s v="Automotive Retail"/>
    <n v="0.50080676779470434"/>
    <n v="3252146000"/>
    <n v="0.10168415664507792"/>
    <n v="660318000"/>
  </r>
  <r>
    <x v="1"/>
    <n v="3"/>
    <n v="2015"/>
    <x v="6"/>
    <n v="9843861000"/>
    <n v="5390248000"/>
    <n v="3601903000"/>
    <n v="0"/>
    <n v="0"/>
    <s v="Consumer Discretionary"/>
    <s v="Automotive Retail"/>
    <n v="0.45242542534885444"/>
    <n v="4453613000"/>
    <n v="8.6521944996988481E-2"/>
    <n v="851710000"/>
  </r>
  <r>
    <x v="1"/>
    <n v="4"/>
    <n v="2016"/>
    <x v="7"/>
    <n v="9737018000"/>
    <n v="5314246000"/>
    <n v="3596992000"/>
    <n v="0"/>
    <n v="0"/>
    <s v="Consumer Discretionary"/>
    <s v="Automotive Retail"/>
    <n v="0.45422243237097848"/>
    <n v="4422772000"/>
    <n v="8.4808305787254373E-2"/>
    <n v="825780000"/>
  </r>
  <r>
    <x v="2"/>
    <n v="1"/>
    <n v="2013"/>
    <x v="8"/>
    <n v="170910000000"/>
    <n v="106606000000"/>
    <n v="10830000000"/>
    <n v="4475000000"/>
    <n v="0"/>
    <s v="Information Technology"/>
    <s v="Computer Hardware"/>
    <n v="0.37624480720847231"/>
    <n v="64304000000"/>
    <n v="0.28669475162366159"/>
    <n v="48999000000"/>
  </r>
  <r>
    <x v="2"/>
    <n v="2"/>
    <n v="2014"/>
    <x v="9"/>
    <n v="182795000000"/>
    <n v="112258000000"/>
    <n v="11993000000"/>
    <n v="6041000000"/>
    <n v="0"/>
    <s v="Information Technology"/>
    <s v="Computer Hardware"/>
    <n v="0.38588035777783858"/>
    <n v="70537000000"/>
    <n v="0.28722339232473537"/>
    <n v="52503000000"/>
  </r>
  <r>
    <x v="2"/>
    <n v="3"/>
    <n v="2015"/>
    <x v="10"/>
    <n v="233715000000"/>
    <n v="140089000000"/>
    <n v="14329000000"/>
    <n v="8067000000"/>
    <n v="0"/>
    <s v="Information Technology"/>
    <s v="Computer Hardware"/>
    <n v="0.40059902017414373"/>
    <n v="93626000000"/>
    <n v="0.30477290717326661"/>
    <n v="71230000000"/>
  </r>
  <r>
    <x v="2"/>
    <n v="4"/>
    <n v="2016"/>
    <x v="11"/>
    <n v="215639000000"/>
    <n v="131376000000"/>
    <n v="14194000000"/>
    <n v="10045000000"/>
    <n v="0"/>
    <s v="Information Technology"/>
    <s v="Computer Hardware"/>
    <n v="0.39075955648097049"/>
    <n v="84263000000"/>
    <n v="0.27835410106706115"/>
    <n v="60024000000"/>
  </r>
  <r>
    <x v="3"/>
    <n v="1"/>
    <n v="2012"/>
    <x v="0"/>
    <n v="25364000000"/>
    <n v="17074000000"/>
    <n v="0"/>
    <n v="0"/>
    <n v="3727000000"/>
    <s v="Financials"/>
    <s v="Life &amp; Health Insurance"/>
    <n v="0.32684119224097141"/>
    <n v="8290000000"/>
    <n v="0.17990064658571203"/>
    <n v="4563000000"/>
  </r>
  <r>
    <x v="3"/>
    <n v="2"/>
    <n v="2013"/>
    <x v="1"/>
    <n v="23939000000"/>
    <n v="15341000000"/>
    <n v="0"/>
    <n v="0"/>
    <n v="3489000000"/>
    <s v="Financials"/>
    <s v="Life &amp; Health Insurance"/>
    <n v="0.35916287230043031"/>
    <n v="8598000000"/>
    <n v="0.21341743598312377"/>
    <n v="5109000000"/>
  </r>
  <r>
    <x v="3"/>
    <n v="3"/>
    <n v="2014"/>
    <x v="2"/>
    <n v="22728000000"/>
    <n v="14373000000"/>
    <n v="0"/>
    <n v="0"/>
    <n v="3547000000"/>
    <s v="Financials"/>
    <s v="Life &amp; Health Insurance"/>
    <n v="0.36760823653643082"/>
    <n v="8355000000"/>
    <n v="0.21154523055262231"/>
    <n v="4808000000"/>
  </r>
  <r>
    <x v="3"/>
    <n v="4"/>
    <n v="2015"/>
    <x v="3"/>
    <n v="20872000000"/>
    <n v="13049000000"/>
    <n v="0"/>
    <n v="0"/>
    <n v="3672000000"/>
    <s v="Financials"/>
    <s v="Life &amp; Health Insurance"/>
    <n v="0.3748083556918359"/>
    <n v="7823000000"/>
    <n v="0.19887888079724031"/>
    <n v="4151000000"/>
  </r>
  <r>
    <x v="4"/>
    <n v="1"/>
    <n v="2012"/>
    <x v="0"/>
    <n v="71214000000"/>
    <n v="37745000000"/>
    <n v="21491000000"/>
    <n v="0"/>
    <n v="0"/>
    <s v="Financials"/>
    <s v="Property &amp; Casualty Insurance"/>
    <n v="0.46997781335130728"/>
    <n v="33469000000"/>
    <n v="0.16819726458280676"/>
    <n v="11978000000"/>
  </r>
  <r>
    <x v="4"/>
    <n v="2"/>
    <n v="2013"/>
    <x v="1"/>
    <n v="68874000000"/>
    <n v="34660000000"/>
    <n v="22005000000"/>
    <n v="0"/>
    <n v="0"/>
    <s v="Financials"/>
    <s v="Property &amp; Casualty Insurance"/>
    <n v="0.49676220344397015"/>
    <n v="34214000000"/>
    <n v="0.17726573162586753"/>
    <n v="12209000000"/>
  </r>
  <r>
    <x v="4"/>
    <n v="3"/>
    <n v="2014"/>
    <x v="2"/>
    <n v="64406000000"/>
    <n v="33611000000"/>
    <n v="18491000000"/>
    <n v="0"/>
    <n v="0"/>
    <s v="Financials"/>
    <s v="Property &amp; Casualty Insurance"/>
    <n v="0.47813868273142257"/>
    <n v="30795000000"/>
    <n v="0.19103810204018259"/>
    <n v="12304000000"/>
  </r>
  <r>
    <x v="4"/>
    <n v="4"/>
    <n v="2015"/>
    <x v="3"/>
    <n v="58327000000"/>
    <n v="36581000000"/>
    <n v="16417000000"/>
    <n v="0"/>
    <n v="0"/>
    <s v="Financials"/>
    <s v="Property &amp; Casualty Insurance"/>
    <n v="0.37282905001114408"/>
    <n v="21746000000"/>
    <n v="9.1364205256570713E-2"/>
    <n v="5329000000"/>
  </r>
  <r>
    <x v="5"/>
    <n v="1"/>
    <n v="2013"/>
    <x v="1"/>
    <n v="9047657000"/>
    <n v="6709936000"/>
    <n v="0"/>
    <n v="0"/>
    <n v="1470287000"/>
    <s v="Financials"/>
    <s v="Multi-line Insurance"/>
    <n v="0.25837860564342796"/>
    <n v="2337721000"/>
    <n v="9.5873882044821113E-2"/>
    <n v="867434000"/>
  </r>
  <r>
    <x v="5"/>
    <n v="2"/>
    <n v="2014"/>
    <x v="2"/>
    <n v="10381653000"/>
    <n v="8093563000"/>
    <n v="0"/>
    <n v="0"/>
    <n v="1485558000"/>
    <s v="Financials"/>
    <s v="Multi-line Insurance"/>
    <n v="0.22039746464267296"/>
    <n v="2288090000"/>
    <n v="7.7302911203061792E-2"/>
    <n v="802532000"/>
  </r>
  <r>
    <x v="5"/>
    <n v="3"/>
    <n v="2015"/>
    <x v="3"/>
    <n v="10325494000"/>
    <n v="8666624000"/>
    <n v="0"/>
    <n v="0"/>
    <n v="1402573000"/>
    <s v="Financials"/>
    <s v="Multi-line Insurance"/>
    <n v="0.16065768862971597"/>
    <n v="1658870000"/>
    <n v="2.4821766396842609E-2"/>
    <n v="256297000"/>
  </r>
  <r>
    <x v="5"/>
    <n v="4"/>
    <n v="2016"/>
    <x v="12"/>
    <n v="7531780000"/>
    <n v="5251228000"/>
    <n v="0"/>
    <n v="0"/>
    <n v="1351314000"/>
    <s v="Financials"/>
    <s v="Multi-line Insurance"/>
    <n v="0.30279057540183063"/>
    <n v="2280552000"/>
    <n v="0.12337561638815792"/>
    <n v="929238000"/>
  </r>
  <r>
    <x v="6"/>
    <n v="1"/>
    <n v="2013"/>
    <x v="13"/>
    <n v="4055240000"/>
    <n v="586557000"/>
    <n v="2140578000"/>
    <n v="826631000"/>
    <n v="52254000"/>
    <s v="Information Technology"/>
    <s v="Application Software"/>
    <n v="0.85535825253252584"/>
    <n v="3468683000"/>
    <n v="0.11077519456308381"/>
    <n v="449220000"/>
  </r>
  <r>
    <x v="6"/>
    <n v="2"/>
    <n v="2014"/>
    <x v="14"/>
    <n v="4147065000"/>
    <n v="622080000"/>
    <n v="2195640000"/>
    <n v="844353000"/>
    <n v="52424000"/>
    <s v="Information Technology"/>
    <s v="Application Software"/>
    <n v="0.84999511702854913"/>
    <n v="3524985000"/>
    <n v="0.10430702195408077"/>
    <n v="432568000"/>
  </r>
  <r>
    <x v="6"/>
    <n v="3"/>
    <n v="2015"/>
    <x v="15"/>
    <n v="4795511000"/>
    <n v="744317000"/>
    <n v="2215161000"/>
    <n v="862730000"/>
    <n v="68649000"/>
    <s v="Information Technology"/>
    <s v="Application Software"/>
    <n v="0.84478880352896701"/>
    <n v="4051194000"/>
    <n v="0.18864600665080322"/>
    <n v="904654000"/>
  </r>
  <r>
    <x v="6"/>
    <n v="4"/>
    <n v="2016"/>
    <x v="16"/>
    <n v="5854430000"/>
    <n v="819908000"/>
    <n v="2487907000"/>
    <n v="975987000"/>
    <n v="78534000"/>
    <s v="Information Technology"/>
    <s v="Application Software"/>
    <n v="0.8599508406454599"/>
    <n v="5034522000"/>
    <n v="0.25486580247778179"/>
    <n v="1492094000"/>
  </r>
  <r>
    <x v="7"/>
    <n v="1"/>
    <n v="2013"/>
    <x v="17"/>
    <n v="2633689000"/>
    <n v="941278000"/>
    <n v="396233000"/>
    <n v="513035000"/>
    <n v="220000"/>
    <s v="Information Technology"/>
    <s v="Semiconductors"/>
    <n v="0.64260092972252991"/>
    <n v="1692411000"/>
    <n v="0.29727238105941894"/>
    <n v="782923000"/>
  </r>
  <r>
    <x v="7"/>
    <n v="2"/>
    <n v="2014"/>
    <x v="18"/>
    <n v="2864773000"/>
    <n v="1034585000"/>
    <n v="454676000"/>
    <n v="559686000"/>
    <n v="26020000"/>
    <s v="Information Technology"/>
    <s v="Semiconductors"/>
    <n v="0.6388596932462014"/>
    <n v="1830188000"/>
    <n v="0.27569584047322421"/>
    <n v="789806000"/>
  </r>
  <r>
    <x v="7"/>
    <n v="3"/>
    <n v="2015"/>
    <x v="19"/>
    <n v="3435092000"/>
    <n v="1175830000"/>
    <n v="702644000"/>
    <n v="637459000"/>
    <n v="88318000"/>
    <s v="Information Technology"/>
    <s v="Semiconductors"/>
    <n v="0.65770057978068708"/>
    <n v="2259262000"/>
    <n v="0.24186863117494378"/>
    <n v="830841000"/>
  </r>
  <r>
    <x v="7"/>
    <n v="4"/>
    <n v="2016"/>
    <x v="20"/>
    <n v="3421409000"/>
    <n v="1194236000"/>
    <n v="461438000"/>
    <n v="653816000"/>
    <n v="70123000"/>
    <s v="Information Technology"/>
    <s v="Semiconductors"/>
    <n v="0.65095199083184729"/>
    <n v="2227173000"/>
    <n v="0.30449326578611324"/>
    <n v="1041796000"/>
  </r>
  <r>
    <x v="8"/>
    <n v="1"/>
    <n v="2012"/>
    <x v="0"/>
    <n v="90559000000"/>
    <n v="86936000000"/>
    <n v="1665000000"/>
    <n v="0"/>
    <n v="0"/>
    <s v="Consumer Staples"/>
    <s v="Agricultural Products"/>
    <n v="4.0007067215848235E-2"/>
    <n v="3623000000"/>
    <n v="2.1621263485683367E-2"/>
    <n v="1958000000"/>
  </r>
  <r>
    <x v="8"/>
    <n v="2"/>
    <n v="2013"/>
    <x v="1"/>
    <n v="89804000000"/>
    <n v="85915000000"/>
    <n v="1759000000"/>
    <n v="0"/>
    <n v="0"/>
    <s v="Consumer Staples"/>
    <s v="Agricultural Products"/>
    <n v="4.330542069395571E-2"/>
    <n v="3889000000"/>
    <n v="2.3718319896663845E-2"/>
    <n v="2130000000"/>
  </r>
  <r>
    <x v="8"/>
    <n v="3"/>
    <n v="2014"/>
    <x v="2"/>
    <n v="81201000000"/>
    <n v="76433000000"/>
    <n v="1907000000"/>
    <n v="0"/>
    <n v="0"/>
    <s v="Consumer Staples"/>
    <s v="Agricultural Products"/>
    <n v="5.8718488688562998E-2"/>
    <n v="4768000000"/>
    <n v="3.5233556236992154E-2"/>
    <n v="2861000000"/>
  </r>
  <r>
    <x v="8"/>
    <n v="4"/>
    <n v="2015"/>
    <x v="3"/>
    <n v="67702000000"/>
    <n v="63682000000"/>
    <n v="2010000000"/>
    <n v="0"/>
    <n v="0"/>
    <s v="Consumer Staples"/>
    <s v="Agricultural Products"/>
    <n v="5.9377861806150456E-2"/>
    <n v="4020000000"/>
    <n v="2.9688930903075242E-2"/>
    <n v="2010000000"/>
  </r>
  <r>
    <x v="9"/>
    <n v="1"/>
    <n v="2012"/>
    <x v="0"/>
    <n v="3641390000"/>
    <n v="2392091000"/>
    <n v="108059000"/>
    <n v="0"/>
    <n v="166876000"/>
    <s v="Information Technology"/>
    <s v="Data Processing &amp; Outsourced Services"/>
    <n v="0.34308299852528845"/>
    <n v="1249299000"/>
    <n v="0.26758023721710666"/>
    <n v="974364000"/>
  </r>
  <r>
    <x v="9"/>
    <n v="2"/>
    <n v="2013"/>
    <x v="1"/>
    <n v="4319063000"/>
    <n v="2894917000"/>
    <n v="109115000"/>
    <n v="0"/>
    <n v="216119000"/>
    <s v="Information Technology"/>
    <s v="Data Processing &amp; Outsourced Services"/>
    <n v="0.32973494482483812"/>
    <n v="1424146000"/>
    <n v="0.25443296381645741"/>
    <n v="1098912000"/>
  </r>
  <r>
    <x v="9"/>
    <n v="3"/>
    <n v="2014"/>
    <x v="2"/>
    <n v="5302940000"/>
    <n v="3643979000"/>
    <n v="247412000"/>
    <n v="0"/>
    <n v="313082000"/>
    <s v="Information Technology"/>
    <s v="Data Processing &amp; Outsourced Services"/>
    <n v="0.31283797289805282"/>
    <n v="1658961000"/>
    <n v="0.20714301877826263"/>
    <n v="1098467000"/>
  </r>
  <r>
    <x v="9"/>
    <n v="4"/>
    <n v="2015"/>
    <x v="3"/>
    <n v="6439746000"/>
    <n v="4482700000"/>
    <n v="203046000"/>
    <n v="0"/>
    <n v="492140000"/>
    <s v="Information Technology"/>
    <s v="Data Processing &amp; Outsourced Services"/>
    <n v="0.30390111659683472"/>
    <n v="1957046000"/>
    <n v="0.19594872220115514"/>
    <n v="1261860000"/>
  </r>
  <r>
    <x v="10"/>
    <n v="1"/>
    <n v="2013"/>
    <x v="21"/>
    <n v="2312200000"/>
    <n v="238500000"/>
    <n v="1081800000"/>
    <n v="600000000"/>
    <n v="42100000"/>
    <s v="Information Technology"/>
    <s v="Application Software"/>
    <n v="0.89685148343568899"/>
    <n v="2073700000"/>
    <n v="0.15128449096098953"/>
    <n v="349800000"/>
  </r>
  <r>
    <x v="10"/>
    <n v="2"/>
    <n v="2014"/>
    <x v="22"/>
    <n v="2273900000"/>
    <n v="274300000"/>
    <n v="1054400000"/>
    <n v="611100000"/>
    <n v="36500000"/>
    <s v="Information Technology"/>
    <s v="Application Software"/>
    <n v="0.87937024495360394"/>
    <n v="1999600000"/>
    <n v="0.1308764677426448"/>
    <n v="297600000"/>
  </r>
  <r>
    <x v="10"/>
    <n v="3"/>
    <n v="2015"/>
    <x v="23"/>
    <n v="2512200000"/>
    <n v="342100000"/>
    <n v="1281300000"/>
    <n v="725200000"/>
    <n v="39800000"/>
    <s v="Information Technology"/>
    <s v="Application Software"/>
    <n v="0.86382453626303635"/>
    <n v="2170100000"/>
    <n v="4.9279515962104926E-2"/>
    <n v="123800000"/>
  </r>
  <r>
    <x v="10"/>
    <n v="4"/>
    <n v="2016"/>
    <x v="24"/>
    <n v="2504100000"/>
    <n v="370700000"/>
    <n v="1308900000"/>
    <n v="790000000"/>
    <n v="33200000"/>
    <s v="Information Technology"/>
    <s v="Application Software"/>
    <n v="0.85196278103909595"/>
    <n v="2133400000"/>
    <n v="5.1914859630206457E-4"/>
    <n v="1300000"/>
  </r>
  <r>
    <x v="11"/>
    <n v="1"/>
    <n v="2012"/>
    <x v="0"/>
    <n v="5781000000"/>
    <n v="3477000000"/>
    <n v="443000000"/>
    <n v="0"/>
    <n v="673000000"/>
    <s v="Utilities"/>
    <s v="MultiUtilities"/>
    <n v="0.39854696419304614"/>
    <n v="2304000000"/>
    <n v="0.20550077841203945"/>
    <n v="1188000000"/>
  </r>
  <r>
    <x v="11"/>
    <n v="2"/>
    <n v="2013"/>
    <x v="1"/>
    <n v="5838000000"/>
    <n v="3490000000"/>
    <n v="458000000"/>
    <n v="0"/>
    <n v="706000000"/>
    <s v="Utilities"/>
    <s v="MultiUtilities"/>
    <n v="0.40219253168893454"/>
    <n v="2348000000"/>
    <n v="0.20280918122644742"/>
    <n v="1184000000"/>
  </r>
  <r>
    <x v="11"/>
    <n v="3"/>
    <n v="2014"/>
    <x v="2"/>
    <n v="6053000000"/>
    <n v="3586000000"/>
    <n v="468000000"/>
    <n v="0"/>
    <n v="745000000"/>
    <s v="Utilities"/>
    <s v="MultiUtilities"/>
    <n v="0.40756649595242034"/>
    <n v="2467000000"/>
    <n v="0.20716999834792665"/>
    <n v="1254000000"/>
  </r>
  <r>
    <x v="11"/>
    <n v="4"/>
    <n v="2015"/>
    <x v="3"/>
    <n v="6098000000"/>
    <n v="3501000000"/>
    <n v="542000000"/>
    <n v="0"/>
    <n v="796000000"/>
    <s v="Utilities"/>
    <s v="MultiUtilities"/>
    <n v="0.42587733683174811"/>
    <n v="2597000000"/>
    <n v="0.20646113479829453"/>
    <n v="1259000000"/>
  </r>
  <r>
    <x v="12"/>
    <n v="1"/>
    <n v="2012"/>
    <x v="0"/>
    <n v="14945000000"/>
    <n v="6395000000"/>
    <n v="3812000000"/>
    <n v="0"/>
    <n v="1782000000"/>
    <s v="Utilities"/>
    <s v="Electric Utilities"/>
    <n v="0.57209769153563061"/>
    <n v="8550000000"/>
    <n v="0.19779190364670457"/>
    <n v="2956000000"/>
  </r>
  <r>
    <x v="12"/>
    <n v="2"/>
    <n v="2013"/>
    <x v="1"/>
    <n v="14813500000"/>
    <n v="6722300000"/>
    <n v="3329800000"/>
    <n v="0"/>
    <n v="1712500000"/>
    <s v="Utilities"/>
    <s v="Electric Utilities"/>
    <n v="0.54620447564721375"/>
    <n v="8091200000"/>
    <n v="0.20581901643770883"/>
    <n v="3048900000"/>
  </r>
  <r>
    <x v="12"/>
    <n v="3"/>
    <n v="2014"/>
    <x v="2"/>
    <n v="16378600000"/>
    <n v="7685700000"/>
    <n v="3667900000"/>
    <n v="0"/>
    <n v="1897600000"/>
    <s v="Utilities"/>
    <s v="Electric Utilities"/>
    <n v="0.53074743873102714"/>
    <n v="8692900000"/>
    <n v="0.19094428095197391"/>
    <n v="3127400000"/>
  </r>
  <r>
    <x v="12"/>
    <n v="4"/>
    <n v="2015"/>
    <x v="3"/>
    <n v="16453200000"/>
    <n v="7433500000"/>
    <n v="3676500000"/>
    <n v="0"/>
    <n v="2009700000"/>
    <s v="Utilities"/>
    <s v="Electric Utilities"/>
    <n v="0.54820338900639387"/>
    <n v="9019700000"/>
    <n v="0.20260496438382808"/>
    <n v="3333500000"/>
  </r>
  <r>
    <x v="13"/>
    <n v="1"/>
    <n v="2012"/>
    <x v="0"/>
    <n v="33315000000"/>
    <n v="21618000000"/>
    <n v="0"/>
    <n v="0"/>
    <n v="8002000000"/>
    <s v="Financials"/>
    <s v="Property &amp; Casualty Insurance"/>
    <n v="0.35110310670868983"/>
    <n v="11697000000"/>
    <n v="0.11091100105057781"/>
    <n v="3695000000"/>
  </r>
  <r>
    <x v="13"/>
    <n v="2"/>
    <n v="2013"/>
    <x v="1"/>
    <n v="34507000000"/>
    <n v="19828000000"/>
    <n v="1278000000"/>
    <n v="0"/>
    <n v="8389000000"/>
    <s v="Financials"/>
    <s v="Property &amp; Casualty Insurance"/>
    <n v="0.42539194945952996"/>
    <n v="14679000000"/>
    <n v="0.1452458921378271"/>
    <n v="5012000000"/>
  </r>
  <r>
    <x v="13"/>
    <n v="3"/>
    <n v="2014"/>
    <x v="2"/>
    <n v="35239000000"/>
    <n v="21193000000"/>
    <n v="919000000"/>
    <n v="0"/>
    <n v="8476000000"/>
    <s v="Financials"/>
    <s v="Property &amp; Casualty Insurance"/>
    <n v="0.3985924685717529"/>
    <n v="14046000000"/>
    <n v="0.13198444904792986"/>
    <n v="4651000000"/>
  </r>
  <r>
    <x v="13"/>
    <n v="4"/>
    <n v="2015"/>
    <x v="3"/>
    <n v="35653000000"/>
    <n v="22837000000"/>
    <n v="761000000"/>
    <n v="0"/>
    <n v="8445000000"/>
    <s v="Financials"/>
    <s v="Property &amp; Casualty Insurance"/>
    <n v="0.35946484166830284"/>
    <n v="12816000000"/>
    <n v="0.10125375143746669"/>
    <n v="3610000000"/>
  </r>
  <r>
    <x v="14"/>
    <n v="1"/>
    <n v="2012"/>
    <x v="0"/>
    <n v="10259000000"/>
    <n v="1899000000"/>
    <n v="3927000000"/>
    <n v="0"/>
    <n v="2877000000"/>
    <s v="Financials"/>
    <s v="Asset Management &amp; Custody Banks"/>
    <n v="0.8148942392046008"/>
    <n v="8360000000"/>
    <n v="0.15167170289501899"/>
    <n v="1556000000"/>
  </r>
  <r>
    <x v="14"/>
    <n v="2"/>
    <n v="2013"/>
    <x v="1"/>
    <n v="11230000000"/>
    <n v="1954000000"/>
    <n v="3862000000"/>
    <n v="0"/>
    <n v="3132000000"/>
    <s v="Financials"/>
    <s v="Asset Management &amp; Custody Banks"/>
    <n v="0.8260017809439002"/>
    <n v="9276000000"/>
    <n v="0.20320569902048086"/>
    <n v="2282000000"/>
  </r>
  <r>
    <x v="14"/>
    <n v="3"/>
    <n v="2014"/>
    <x v="2"/>
    <n v="12296000000"/>
    <n v="1982000000"/>
    <n v="3808000000"/>
    <n v="0"/>
    <n v="3603000000"/>
    <s v="Financials"/>
    <s v="Asset Management &amp; Custody Banks"/>
    <n v="0.83880936890045543"/>
    <n v="10314000000"/>
    <n v="0.23609303838646714"/>
    <n v="2903000000"/>
  </r>
  <r>
    <x v="14"/>
    <n v="4"/>
    <n v="2015"/>
    <x v="3"/>
    <n v="12200000000"/>
    <n v="2261000000"/>
    <n v="3750000000"/>
    <n v="0"/>
    <n v="3630000000"/>
    <s v="Financials"/>
    <s v="Asset Management &amp; Custody Banks"/>
    <n v="0.814672131147541"/>
    <n v="9939000000"/>
    <n v="0.20975409836065573"/>
    <n v="2559000000"/>
  </r>
  <r>
    <x v="15"/>
    <n v="1"/>
    <n v="2012"/>
    <x v="0"/>
    <n v="958511000"/>
    <n v="386355000"/>
    <n v="61732000"/>
    <n v="0"/>
    <n v="325173000"/>
    <s v="Real Estate"/>
    <s v="REITs"/>
    <n v="0.59692168373654553"/>
    <n v="572156000"/>
    <n v="0.19326956080837884"/>
    <n v="185251000"/>
  </r>
  <r>
    <x v="15"/>
    <n v="2"/>
    <n v="2013"/>
    <x v="1"/>
    <n v="974053000"/>
    <n v="380051000"/>
    <n v="53073000"/>
    <n v="0"/>
    <n v="291910000"/>
    <s v="Real Estate"/>
    <s v="REITs"/>
    <n v="0.6098251327186508"/>
    <n v="594002000"/>
    <n v="0.25565241316437609"/>
    <n v="249019000"/>
  </r>
  <r>
    <x v="15"/>
    <n v="3"/>
    <n v="2014"/>
    <x v="2"/>
    <n v="984363000"/>
    <n v="380964000"/>
    <n v="56621000"/>
    <n v="0"/>
    <n v="282608000"/>
    <s v="Real Estate"/>
    <s v="REITs"/>
    <n v="0.61298423447447736"/>
    <n v="603399000"/>
    <n v="0.2683664461179463"/>
    <n v="264170000"/>
  </r>
  <r>
    <x v="15"/>
    <n v="4"/>
    <n v="2015"/>
    <x v="3"/>
    <n v="981310000"/>
    <n v="365248000"/>
    <n v="53546000"/>
    <n v="0"/>
    <n v="306301000"/>
    <s v="Real Estate"/>
    <s v="REITs"/>
    <n v="0.62779549785490829"/>
    <n v="616062000"/>
    <n v="0.26109486298926943"/>
    <n v="256215000"/>
  </r>
  <r>
    <x v="16"/>
    <n v="1"/>
    <n v="2012"/>
    <x v="0"/>
    <n v="33781000000"/>
    <n v="480000000"/>
    <n v="23392000000"/>
    <n v="0"/>
    <n v="1712000000"/>
    <s v="Financials"/>
    <s v="Consumer Finance"/>
    <n v="0.98579082916432315"/>
    <n v="33301000000"/>
    <n v="0.24265119445842337"/>
    <n v="8197000000"/>
  </r>
  <r>
    <x v="16"/>
    <n v="2"/>
    <n v="2013"/>
    <x v="1"/>
    <n v="34828000000"/>
    <n v="442000000"/>
    <n v="23150000000"/>
    <n v="0"/>
    <n v="1832000000"/>
    <s v="Financials"/>
    <s v="Consumer Finance"/>
    <n v="0.98730906167451471"/>
    <n v="34386000000"/>
    <n v="0.27001263351326521"/>
    <n v="9404000000"/>
  </r>
  <r>
    <x v="16"/>
    <n v="3"/>
    <n v="2014"/>
    <x v="2"/>
    <n v="35895000000"/>
    <n v="373000000"/>
    <n v="23153000000"/>
    <n v="0"/>
    <n v="2044000000"/>
    <s v="Financials"/>
    <s v="Consumer Finance"/>
    <n v="0.98960858058225376"/>
    <n v="35522000000"/>
    <n v="0.28764451873519986"/>
    <n v="10325000000"/>
  </r>
  <r>
    <x v="16"/>
    <n v="4"/>
    <n v="2015"/>
    <x v="3"/>
    <n v="34441000000"/>
    <n v="475000000"/>
    <n v="22892000000"/>
    <n v="0"/>
    <n v="1988000000"/>
    <s v="Financials"/>
    <s v="Consumer Finance"/>
    <n v="0.98620829824917977"/>
    <n v="33966000000"/>
    <n v="0.26381347812200573"/>
    <n v="9086000000"/>
  </r>
  <r>
    <x v="17"/>
    <n v="1"/>
    <n v="2012"/>
    <x v="0"/>
    <n v="1373947000"/>
    <n v="529900000"/>
    <n v="433448000"/>
    <n v="74744000"/>
    <n v="20962000"/>
    <s v="Information Technology"/>
    <s v="Internet Software &amp; Services"/>
    <n v="0.61432282322389442"/>
    <n v="844047000"/>
    <n v="0.2291886077119423"/>
    <n v="314893000"/>
  </r>
  <r>
    <x v="17"/>
    <n v="2"/>
    <n v="2013"/>
    <x v="1"/>
    <n v="1577922000"/>
    <n v="511087000"/>
    <n v="535598000"/>
    <n v="93879000"/>
    <n v="21547000"/>
    <s v="Information Technology"/>
    <s v="Internet Software &amp; Services"/>
    <n v="0.67610122680335283"/>
    <n v="1066835000"/>
    <n v="0.26351809531776604"/>
    <n v="415811000"/>
  </r>
  <r>
    <x v="17"/>
    <n v="3"/>
    <n v="2014"/>
    <x v="2"/>
    <n v="1963874000"/>
    <n v="610943000"/>
    <n v="704880000"/>
    <n v="125286000"/>
    <n v="32057000"/>
    <s v="Information Technology"/>
    <s v="Internet Software &amp; Services"/>
    <n v="0.68890926810986852"/>
    <n v="1352931000"/>
    <n v="0.24986735401558349"/>
    <n v="490708000"/>
  </r>
  <r>
    <x v="17"/>
    <n v="4"/>
    <n v="2015"/>
    <x v="3"/>
    <n v="2197448000"/>
    <n v="725620000"/>
    <n v="829253000"/>
    <n v="148591000"/>
    <n v="27067000"/>
    <s v="Information Technology"/>
    <s v="Internet Software &amp; Services"/>
    <n v="0.66978968330536148"/>
    <n v="1471828000"/>
    <n v="0.21248147851507748"/>
    <n v="466917000"/>
  </r>
  <r>
    <x v="18"/>
    <n v="1"/>
    <n v="2012"/>
    <x v="0"/>
    <n v="2519154000"/>
    <n v="1620311000"/>
    <n v="308456000"/>
    <n v="78919000"/>
    <n v="0"/>
    <s v="Materials"/>
    <s v="Specialty Chemicals"/>
    <n v="0.35680351419563872"/>
    <n v="898843000"/>
    <n v="0.20303165268975221"/>
    <n v="511468000"/>
  </r>
  <r>
    <x v="18"/>
    <n v="2"/>
    <n v="2013"/>
    <x v="1"/>
    <n v="2394270000"/>
    <n v="1543799000"/>
    <n v="158189000"/>
    <n v="82246000"/>
    <n v="0"/>
    <s v="Materials"/>
    <s v="Specialty Chemicals"/>
    <n v="0.35521098288831254"/>
    <n v="850471000"/>
    <n v="0.25478997773851736"/>
    <n v="610036000"/>
  </r>
  <r>
    <x v="18"/>
    <n v="3"/>
    <n v="2014"/>
    <x v="2"/>
    <n v="2445548000"/>
    <n v="1674700000"/>
    <n v="355135000"/>
    <n v="88310000"/>
    <n v="0"/>
    <s v="Materials"/>
    <s v="Specialty Chemicals"/>
    <n v="0.31520460853763654"/>
    <n v="770848000"/>
    <n v="0.13387715146053156"/>
    <n v="327403000"/>
  </r>
  <r>
    <x v="18"/>
    <n v="4"/>
    <n v="2015"/>
    <x v="3"/>
    <n v="3651335000"/>
    <n v="2454463000"/>
    <n v="512274000"/>
    <n v="102871000"/>
    <n v="0"/>
    <s v="Materials"/>
    <s v="Specialty Chemicals"/>
    <n v="0.32779024658104505"/>
    <n v="1196872000"/>
    <n v="0.15931898880820303"/>
    <n v="581727000"/>
  </r>
  <r>
    <x v="19"/>
    <n v="1"/>
    <n v="2012"/>
    <x v="0"/>
    <n v="4657000000"/>
    <n v="2319000000"/>
    <n v="1542000000"/>
    <n v="0"/>
    <n v="264000000"/>
    <s v="Industrials"/>
    <s v="Airlines"/>
    <n v="0.50203993987545625"/>
    <n v="2338000000"/>
    <n v="0.11423663302555292"/>
    <n v="532000000"/>
  </r>
  <r>
    <x v="19"/>
    <n v="2"/>
    <n v="2013"/>
    <x v="1"/>
    <n v="5156000000"/>
    <n v="2355000000"/>
    <n v="1693000000"/>
    <n v="0"/>
    <n v="270000000"/>
    <s v="Industrials"/>
    <s v="Airlines"/>
    <n v="0.54325058184639263"/>
    <n v="2801000000"/>
    <n v="0.16252909231962762"/>
    <n v="838000000"/>
  </r>
  <r>
    <x v="19"/>
    <n v="3"/>
    <n v="2014"/>
    <x v="2"/>
    <n v="5368000000"/>
    <n v="2325000000"/>
    <n v="1817000000"/>
    <n v="0"/>
    <n v="294000000"/>
    <s v="Industrials"/>
    <s v="Airlines"/>
    <n v="0.56687779433681074"/>
    <n v="3043000000"/>
    <n v="0.1736214605067064"/>
    <n v="932000000"/>
  </r>
  <r>
    <x v="19"/>
    <n v="4"/>
    <n v="2015"/>
    <x v="3"/>
    <n v="5598000000"/>
    <n v="1935000000"/>
    <n v="2013000000"/>
    <n v="0"/>
    <n v="320000000"/>
    <s v="Industrials"/>
    <s v="Airlines"/>
    <n v="0.65434083601286175"/>
    <n v="3663000000"/>
    <n v="0.2375848517327617"/>
    <n v="1330000000"/>
  </r>
  <r>
    <x v="20"/>
    <n v="1"/>
    <n v="2012"/>
    <x v="0"/>
    <n v="100078000000"/>
    <n v="3753000000"/>
    <n v="70829000000"/>
    <n v="0"/>
    <n v="9433000000"/>
    <s v="Financials"/>
    <s v="Banks"/>
    <n v="0.962499250584544"/>
    <n v="96325000000"/>
    <n v="0.16050480625112412"/>
    <n v="16063000000"/>
  </r>
  <r>
    <x v="20"/>
    <n v="2"/>
    <n v="2013"/>
    <x v="1"/>
    <n v="101697000000"/>
    <n v="3034000000"/>
    <n v="68128000000"/>
    <n v="0"/>
    <n v="4642000000"/>
    <s v="Financials"/>
    <s v="Banks"/>
    <n v="0.97016627825796242"/>
    <n v="98663000000"/>
    <n v="0.25460928050974957"/>
    <n v="25893000000"/>
  </r>
  <r>
    <x v="20"/>
    <n v="3"/>
    <n v="2014"/>
    <x v="2"/>
    <n v="95181000000"/>
    <n v="2656000000"/>
    <n v="74181000000"/>
    <n v="0"/>
    <n v="3211000000"/>
    <s v="Financials"/>
    <s v="Banks"/>
    <n v="0.97209527111503347"/>
    <n v="92525000000"/>
    <n v="0.15899181559344827"/>
    <n v="15133000000"/>
  </r>
  <r>
    <x v="20"/>
    <n v="4"/>
    <n v="2015"/>
    <x v="3"/>
    <n v="93056000000"/>
    <n v="2204000000"/>
    <n v="56358000000"/>
    <n v="0"/>
    <n v="3995000000"/>
    <s v="Financials"/>
    <s v="Banks"/>
    <n v="0.97631533700137552"/>
    <n v="90852000000"/>
    <n v="0.3277488823933975"/>
    <n v="30499000000"/>
  </r>
  <r>
    <x v="21"/>
    <n v="1"/>
    <n v="2013"/>
    <x v="1"/>
    <n v="2069600000"/>
    <n v="1208100000"/>
    <n v="483100000"/>
    <n v="0"/>
    <n v="0"/>
    <s v="Industrials"/>
    <s v="Building Products"/>
    <n v="0.41626401236954003"/>
    <n v="861500000"/>
    <n v="0.1828372632392733"/>
    <n v="378400000"/>
  </r>
  <r>
    <x v="21"/>
    <n v="2"/>
    <n v="2014"/>
    <x v="2"/>
    <n v="2118300000"/>
    <n v="1264600000"/>
    <n v="527400000"/>
    <n v="0"/>
    <n v="0"/>
    <s v="Industrials"/>
    <s v="Building Products"/>
    <n v="0.40301184912429777"/>
    <n v="853700000"/>
    <n v="0.15403861587121748"/>
    <n v="326300000"/>
  </r>
  <r>
    <x v="21"/>
    <n v="3"/>
    <n v="2015"/>
    <x v="3"/>
    <n v="2068100000"/>
    <n v="1199000000"/>
    <n v="510500000"/>
    <n v="0"/>
    <n v="0"/>
    <s v="Industrials"/>
    <s v="Building Products"/>
    <n v="0.42024080073497416"/>
    <n v="869100000"/>
    <n v="0.17339587060587011"/>
    <n v="358600000"/>
  </r>
  <r>
    <x v="21"/>
    <n v="4"/>
    <n v="2016"/>
    <x v="12"/>
    <n v="2238000000"/>
    <n v="1252700000"/>
    <n v="559800000"/>
    <n v="0"/>
    <n v="0"/>
    <s v="Industrials"/>
    <s v="Building Products"/>
    <n v="0.4402591599642538"/>
    <n v="985300000"/>
    <n v="0.19012511170688115"/>
    <n v="425500000"/>
  </r>
  <r>
    <x v="22"/>
    <n v="1"/>
    <n v="2012"/>
    <x v="0"/>
    <n v="10737000000"/>
    <n v="429000000"/>
    <n v="5650000000"/>
    <n v="0"/>
    <n v="1167000000"/>
    <s v="Financials"/>
    <s v="Banks"/>
    <n v="0.96004470522492313"/>
    <n v="10308000000"/>
    <n v="0.32513737543075349"/>
    <n v="3491000000"/>
  </r>
  <r>
    <x v="22"/>
    <n v="2"/>
    <n v="2013"/>
    <x v="1"/>
    <n v="10543000000"/>
    <n v="301000000"/>
    <n v="5625000000"/>
    <n v="0"/>
    <n v="698000000"/>
    <s v="Financials"/>
    <s v="Banks"/>
    <n v="0.97145025135160767"/>
    <n v="10242000000"/>
    <n v="0.37171583040880207"/>
    <n v="3919000000"/>
  </r>
  <r>
    <x v="22"/>
    <n v="3"/>
    <n v="2014"/>
    <x v="2"/>
    <n v="9998000000"/>
    <n v="239000000"/>
    <n v="5715000000"/>
    <n v="0"/>
    <n v="342000000"/>
    <s v="Financials"/>
    <s v="Banks"/>
    <n v="0.9760952190438088"/>
    <n v="9759000000"/>
    <n v="0.37027405481096221"/>
    <n v="3702000000"/>
  </r>
  <r>
    <x v="22"/>
    <n v="4"/>
    <n v="2015"/>
    <x v="3"/>
    <n v="10346000000"/>
    <n v="233000000"/>
    <n v="5996000000"/>
    <n v="0"/>
    <n v="533000000"/>
    <s v="Financials"/>
    <s v="Banks"/>
    <n v="0.9774792190218442"/>
    <n v="10113000000"/>
    <n v="0.34641407307171856"/>
    <n v="3584000000"/>
  </r>
  <r>
    <x v="23"/>
    <n v="1"/>
    <n v="2013"/>
    <x v="25"/>
    <n v="7509000000"/>
    <n v="4518000000"/>
    <n v="898000000"/>
    <n v="1320000000"/>
    <n v="0"/>
    <s v="Information Technology"/>
    <s v="Semiconductor Equipment"/>
    <n v="0.39832201358369956"/>
    <n v="2991000000"/>
    <n v="0.10294313490478094"/>
    <n v="773000000"/>
  </r>
  <r>
    <x v="23"/>
    <n v="2"/>
    <n v="2014"/>
    <x v="26"/>
    <n v="9072000000"/>
    <n v="5229000000"/>
    <n v="895000000"/>
    <n v="1428000000"/>
    <n v="0"/>
    <s v="Information Technology"/>
    <s v="Semiconductor Equipment"/>
    <n v="0.42361111111111116"/>
    <n v="3843000000"/>
    <n v="0.16754850088183421"/>
    <n v="1520000000"/>
  </r>
  <r>
    <x v="23"/>
    <n v="3"/>
    <n v="2015"/>
    <x v="27"/>
    <n v="9659000000"/>
    <n v="5707000000"/>
    <n v="808000000"/>
    <n v="1451000000"/>
    <n v="0"/>
    <s v="Information Technology"/>
    <s v="Semiconductor Equipment"/>
    <n v="0.40915208613728127"/>
    <n v="3952000000"/>
    <n v="0.17527694378300032"/>
    <n v="1693000000"/>
  </r>
  <r>
    <x v="23"/>
    <n v="4"/>
    <n v="2016"/>
    <x v="28"/>
    <n v="10825000000"/>
    <n v="6314000000"/>
    <n v="819000000"/>
    <n v="1540000000"/>
    <n v="0"/>
    <s v="Information Technology"/>
    <s v="Semiconductor Equipment"/>
    <n v="0.41672055427251731"/>
    <n v="4511000000"/>
    <n v="0.19879907621247114"/>
    <n v="2152000000"/>
  </r>
  <r>
    <x v="24"/>
    <n v="1"/>
    <n v="2012"/>
    <x v="0"/>
    <n v="3334213000"/>
    <n v="2154132000"/>
    <n v="380532000"/>
    <n v="0"/>
    <n v="53677000"/>
    <s v="Industrials"/>
    <s v="Electrical Components &amp; Equipment"/>
    <n v="0.35393089763611385"/>
    <n v="1180081000"/>
    <n v="0.22370256489312471"/>
    <n v="745872000"/>
  </r>
  <r>
    <x v="24"/>
    <n v="2"/>
    <n v="2013"/>
    <x v="1"/>
    <n v="3594136000"/>
    <n v="2323642000"/>
    <n v="398177000"/>
    <n v="0"/>
    <n v="57238000"/>
    <s v="Industrials"/>
    <s v="Electrical Components &amp; Equipment"/>
    <n v="0.35349079723193555"/>
    <n v="1270494000"/>
    <n v="0.22678023313530707"/>
    <n v="815079000"/>
  </r>
  <r>
    <x v="24"/>
    <n v="3"/>
    <n v="2014"/>
    <x v="2"/>
    <n v="4021964000"/>
    <n v="2597017000"/>
    <n v="462637000"/>
    <n v="0"/>
    <n v="63724000"/>
    <s v="Industrials"/>
    <s v="Electrical Components &amp; Equipment"/>
    <n v="0.35429133627252751"/>
    <n v="1424947000"/>
    <n v="0.22341970241404449"/>
    <n v="898586000"/>
  </r>
  <r>
    <x v="24"/>
    <n v="4"/>
    <n v="2015"/>
    <x v="3"/>
    <n v="3974295000"/>
    <n v="2549280000"/>
    <n v="448592000"/>
    <n v="0"/>
    <n v="68707000"/>
    <s v="Industrials"/>
    <s v="Electrical Components &amp; Equipment"/>
    <n v="0.35855793291640403"/>
    <n v="1425015000"/>
    <n v="0.22839673451517817"/>
    <n v="907716000"/>
  </r>
  <r>
    <x v="25"/>
    <n v="1"/>
    <n v="2012"/>
    <x v="0"/>
    <n v="17936000000"/>
    <n v="12620000000"/>
    <n v="2096000000"/>
    <n v="0"/>
    <n v="-6000000"/>
    <s v="Financials"/>
    <s v="Property &amp; Casualty Insurance"/>
    <n v="0.29638715432649421"/>
    <n v="5316000000"/>
    <n v="0.17986173059768065"/>
    <n v="3226000000"/>
  </r>
  <r>
    <x v="25"/>
    <n v="2"/>
    <n v="2013"/>
    <x v="1"/>
    <n v="19261000000"/>
    <n v="12522000000"/>
    <n v="2211000000"/>
    <n v="0"/>
    <n v="15000000"/>
    <s v="Financials"/>
    <s v="Property &amp; Casualty Insurance"/>
    <n v="0.34987799179689527"/>
    <n v="6739000000"/>
    <n v="0.2343076683453611"/>
    <n v="4513000000"/>
  </r>
  <r>
    <x v="25"/>
    <n v="3"/>
    <n v="2014"/>
    <x v="2"/>
    <n v="19171000000"/>
    <n v="13241000000"/>
    <n v="2245000000"/>
    <n v="0"/>
    <n v="-82000000"/>
    <s v="Financials"/>
    <s v="Property &amp; Casualty Insurance"/>
    <n v="0.30932137082051014"/>
    <n v="5930000000"/>
    <n v="0.19649470554483334"/>
    <n v="3767000000"/>
  </r>
  <r>
    <x v="25"/>
    <n v="4"/>
    <n v="2015"/>
    <x v="3"/>
    <n v="18987000000"/>
    <n v="12968000000"/>
    <n v="2270000000"/>
    <n v="0"/>
    <n v="120000000"/>
    <s v="Financials"/>
    <s v="Property &amp; Casualty Insurance"/>
    <n v="0.31700637278137678"/>
    <n v="6019000000"/>
    <n v="0.1911307736872597"/>
    <n v="3629000000"/>
  </r>
  <r>
    <x v="26"/>
    <n v="1"/>
    <n v="2012"/>
    <x v="0"/>
    <n v="5513000000"/>
    <n v="375000000"/>
    <n v="3380000000"/>
    <n v="0"/>
    <n v="490000000"/>
    <s v="Financials"/>
    <s v="Regional Banks"/>
    <n v="0.93197895882459636"/>
    <n v="5138000000"/>
    <n v="0.23000181389443133"/>
    <n v="1268000000"/>
  </r>
  <r>
    <x v="26"/>
    <n v="2"/>
    <n v="2013"/>
    <x v="1"/>
    <n v="5133000000"/>
    <n v="216000000"/>
    <n v="3142000000"/>
    <n v="0"/>
    <n v="581000000"/>
    <s v="Financials"/>
    <s v="Regional Banks"/>
    <n v="0.95791934541203971"/>
    <n v="4917000000"/>
    <n v="0.23261250730566921"/>
    <n v="1194000000"/>
  </r>
  <r>
    <x v="26"/>
    <n v="3"/>
    <n v="2014"/>
    <x v="2"/>
    <n v="5342000000"/>
    <n v="160000000"/>
    <n v="3247000000"/>
    <n v="0"/>
    <n v="464000000"/>
    <s v="Financials"/>
    <s v="Regional Banks"/>
    <n v="0.97004867090977165"/>
    <n v="5182000000"/>
    <n v="0.27536503182328714"/>
    <n v="1471000000"/>
  </r>
  <r>
    <x v="26"/>
    <n v="4"/>
    <n v="2015"/>
    <x v="3"/>
    <n v="5276000000"/>
    <n v="237000000"/>
    <n v="3113000000"/>
    <n v="0"/>
    <n v="448000000"/>
    <s v="Financials"/>
    <s v="Regional Banks"/>
    <n v="0.95507960576194084"/>
    <n v="5039000000"/>
    <n v="0.28013646702047007"/>
    <n v="1478000000"/>
  </r>
  <r>
    <x v="27"/>
    <n v="1"/>
    <n v="2012"/>
    <x v="0"/>
    <n v="2875960000"/>
    <n v="722479000"/>
    <n v="389486000"/>
    <n v="0"/>
    <n v="644276000"/>
    <s v="Real Estate"/>
    <s v="Specialized REITs"/>
    <n v="0.74878683987259909"/>
    <n v="2153481000"/>
    <n v="0.38933747340018637"/>
    <n v="1119719000"/>
  </r>
  <r>
    <x v="27"/>
    <n v="2"/>
    <n v="2013"/>
    <x v="1"/>
    <n v="3361407000"/>
    <n v="859873000"/>
    <n v="487084000"/>
    <n v="0"/>
    <n v="800145000"/>
    <s v="Real Estate"/>
    <s v="Specialized REITs"/>
    <n v="0.74419253604219904"/>
    <n v="2501534000"/>
    <n v="0.36124902459000058"/>
    <n v="1214305000"/>
  </r>
  <r>
    <x v="27"/>
    <n v="3"/>
    <n v="2014"/>
    <x v="2"/>
    <n v="4100048000"/>
    <n v="1094265000"/>
    <n v="515059000"/>
    <n v="0"/>
    <n v="1003802000"/>
    <s v="Real Estate"/>
    <s v="Specialized REITs"/>
    <n v="0.73310922213593599"/>
    <n v="3005783000"/>
    <n v="0.36265965666743416"/>
    <n v="1486922000"/>
  </r>
  <r>
    <x v="27"/>
    <n v="4"/>
    <n v="2015"/>
    <x v="3"/>
    <n v="4771516000"/>
    <n v="1308868000"/>
    <n v="564531000"/>
    <n v="0"/>
    <n v="1285328000"/>
    <s v="Real Estate"/>
    <s v="Specialized REITs"/>
    <n v="0.72569137355926294"/>
    <n v="3462648000"/>
    <n v="0.33800347730155361"/>
    <n v="1612789000"/>
  </r>
  <r>
    <x v="28"/>
    <n v="1"/>
    <n v="2013"/>
    <x v="1"/>
    <n v="74452000000"/>
    <n v="54181000000"/>
    <n v="19526000000"/>
    <n v="0"/>
    <n v="0"/>
    <s v="Consumer Discretionary"/>
    <s v="Internet &amp; Direct Marketing Retail"/>
    <n v="0.27226938161500025"/>
    <n v="20271000000"/>
    <n v="1.0006447106860796E-2"/>
    <n v="745000000"/>
  </r>
  <r>
    <x v="28"/>
    <n v="2"/>
    <n v="2014"/>
    <x v="2"/>
    <n v="88988000000"/>
    <n v="62752000000"/>
    <n v="26058000000"/>
    <n v="0"/>
    <n v="0"/>
    <s v="Consumer Discretionary"/>
    <s v="Internet &amp; Direct Marketing Retail"/>
    <n v="0.29482626871038786"/>
    <n v="26236000000"/>
    <n v="2.000269699285297E-3"/>
    <n v="178000000"/>
  </r>
  <r>
    <x v="28"/>
    <n v="3"/>
    <n v="2015"/>
    <x v="3"/>
    <n v="107006000000"/>
    <n v="71651000000"/>
    <n v="33122000000"/>
    <n v="0"/>
    <n v="0"/>
    <s v="Consumer Discretionary"/>
    <s v="Internet &amp; Direct Marketing Retail"/>
    <n v="0.33040203353083009"/>
    <n v="35355000000"/>
    <n v="2.0867988710913405E-2"/>
    <n v="2233000000"/>
  </r>
  <r>
    <x v="28"/>
    <n v="4"/>
    <n v="2016"/>
    <x v="12"/>
    <n v="135987000000"/>
    <n v="88265000000"/>
    <n v="43536000000"/>
    <n v="0"/>
    <n v="0"/>
    <s v="Consumer Discretionary"/>
    <s v="Internet &amp; Direct Marketing Retail"/>
    <n v="0.35093060366064399"/>
    <n v="47722000000"/>
    <n v="3.0782354195621642E-2"/>
    <n v="4186000000"/>
  </r>
  <r>
    <x v="29"/>
    <n v="1"/>
    <n v="2013"/>
    <x v="1"/>
    <n v="17517600000"/>
    <n v="14757700000"/>
    <n v="1924300000"/>
    <n v="0"/>
    <n v="95300000"/>
    <s v="Consumer Discretionary"/>
    <s v="Specialty Stores"/>
    <n v="0.15755012102114441"/>
    <n v="2759900000"/>
    <n v="4.2260355299812757E-2"/>
    <n v="740300000"/>
  </r>
  <r>
    <x v="29"/>
    <n v="2"/>
    <n v="2014"/>
    <x v="2"/>
    <n v="19108800000"/>
    <n v="16120100000"/>
    <n v="2061000000"/>
    <n v="0"/>
    <n v="106900000"/>
    <s v="Consumer Discretionary"/>
    <s v="Specialty Stores"/>
    <n v="0.15640437913422089"/>
    <n v="2988700000"/>
    <n v="4.2954031650339113E-2"/>
    <n v="820800000"/>
  </r>
  <r>
    <x v="29"/>
    <n v="3"/>
    <n v="2015"/>
    <x v="3"/>
    <n v="20862000000"/>
    <n v="17600500000"/>
    <n v="2245600000"/>
    <n v="0"/>
    <n v="127400000"/>
    <s v="Consumer Discretionary"/>
    <s v="Specialty Stores"/>
    <n v="0.15633688045249738"/>
    <n v="3261500000"/>
    <n v="4.2589396989742116E-2"/>
    <n v="888500000"/>
  </r>
  <r>
    <x v="29"/>
    <n v="4"/>
    <n v="2016"/>
    <x v="12"/>
    <n v="21609000000"/>
    <n v="18295800000"/>
    <n v="2280300000"/>
    <n v="0"/>
    <n v="143400000"/>
    <s v="Consumer Discretionary"/>
    <s v="Specialty Stores"/>
    <n v="0.15332500347077604"/>
    <n v="3313200000"/>
    <n v="4.1163404137165072E-2"/>
    <n v="889500000"/>
  </r>
  <r>
    <x v="30"/>
    <n v="1"/>
    <n v="2012"/>
    <x v="0"/>
    <n v="4111000000"/>
    <n v="3477000000"/>
    <n v="0"/>
    <n v="0"/>
    <n v="14000000"/>
    <s v="Financials"/>
    <s v="Property &amp; Casualty Insurance"/>
    <n v="0.15422038433471175"/>
    <n v="634000000"/>
    <n v="0.15081488688883482"/>
    <n v="620000000"/>
  </r>
  <r>
    <x v="30"/>
    <n v="2"/>
    <n v="2013"/>
    <x v="1"/>
    <n v="4531000000"/>
    <n v="3748000000"/>
    <n v="0"/>
    <n v="0"/>
    <n v="15000000"/>
    <s v="Financials"/>
    <s v="Property &amp; Casualty Insurance"/>
    <n v="0.17280953431913482"/>
    <n v="783000000"/>
    <n v="0.16949900684175678"/>
    <n v="768000000"/>
  </r>
  <r>
    <x v="30"/>
    <n v="3"/>
    <n v="2014"/>
    <x v="2"/>
    <n v="4945000000"/>
    <n v="4157000000"/>
    <n v="0"/>
    <n v="0"/>
    <n v="14000000"/>
    <s v="Financials"/>
    <s v="Property &amp; Casualty Insurance"/>
    <n v="0.15935288169868556"/>
    <n v="788000000"/>
    <n v="0.15652173913043479"/>
    <n v="774000000"/>
  </r>
  <r>
    <x v="30"/>
    <n v="4"/>
    <n v="2015"/>
    <x v="3"/>
    <n v="5142000000"/>
    <n v="4195000000"/>
    <n v="0"/>
    <n v="0"/>
    <n v="13000000"/>
    <s v="Financials"/>
    <s v="Property &amp; Casualty Insurance"/>
    <n v="0.18416958381952553"/>
    <n v="947000000"/>
    <n v="0.18164138467522364"/>
    <n v="934000000"/>
  </r>
  <r>
    <x v="31"/>
    <n v="1"/>
    <n v="2012"/>
    <x v="0"/>
    <n v="16428000000"/>
    <n v="3079000000"/>
    <n v="1333000000"/>
    <n v="0"/>
    <n v="6881000000"/>
    <s v="Energy"/>
    <s v="Oil &amp; Gas Exploration &amp; Production"/>
    <n v="0.81257608960311667"/>
    <n v="13349000000"/>
    <n v="0.31257608960311661"/>
    <n v="5135000000"/>
  </r>
  <r>
    <x v="31"/>
    <n v="2"/>
    <n v="2013"/>
    <x v="1"/>
    <n v="14771000000"/>
    <n v="2938000000"/>
    <n v="1286000000"/>
    <n v="0"/>
    <n v="5866000000"/>
    <s v="Energy"/>
    <s v="Oil &amp; Gas Exploration &amp; Production"/>
    <n v="0.80109674361925398"/>
    <n v="11833000000"/>
    <n v="0.31690474578566108"/>
    <n v="4681000000"/>
  </r>
  <r>
    <x v="31"/>
    <n v="3"/>
    <n v="2014"/>
    <x v="2"/>
    <n v="12691000000"/>
    <n v="2511000000"/>
    <n v="1095000000"/>
    <n v="0"/>
    <n v="9720000000"/>
    <s v="Energy"/>
    <s v="Oil &amp; Gas Exploration &amp; Production"/>
    <n v="0.80214325112284302"/>
    <n v="10180000000"/>
    <n v="-5.0035458198723508E-2"/>
    <n v="-635000000"/>
  </r>
  <r>
    <x v="31"/>
    <n v="4"/>
    <n v="2015"/>
    <x v="3"/>
    <n v="6383000000"/>
    <n v="2065000000"/>
    <n v="791000000"/>
    <n v="0"/>
    <n v="29372000000"/>
    <s v="Energy"/>
    <s v="Oil &amp; Gas Exploration &amp; Production"/>
    <n v="0.67648441171862761"/>
    <n v="4318000000"/>
    <n v="-4.0490365032116555"/>
    <n v="-25845000000"/>
  </r>
  <r>
    <x v="32"/>
    <n v="1"/>
    <n v="2013"/>
    <x v="1"/>
    <n v="14581000000"/>
    <n v="2942000000"/>
    <n v="2256000000"/>
    <n v="0"/>
    <n v="3927000000"/>
    <s v="Energy"/>
    <s v="Oil &amp; Gas Exploration &amp; Production"/>
    <n v="0.79823057403470266"/>
    <n v="11639000000"/>
    <n v="0.37418558397915097"/>
    <n v="5456000000"/>
  </r>
  <r>
    <x v="32"/>
    <n v="2"/>
    <n v="2014"/>
    <x v="2"/>
    <n v="18470000000"/>
    <n v="3317000000"/>
    <n v="2725000000"/>
    <n v="0"/>
    <n v="4550000000"/>
    <s v="Energy"/>
    <s v="Oil &amp; Gas Exploration &amp; Production"/>
    <n v="0.8204114780725501"/>
    <n v="15153000000"/>
    <n v="0.42652950730914996"/>
    <n v="7878000000"/>
  </r>
  <r>
    <x v="32"/>
    <n v="3"/>
    <n v="2015"/>
    <x v="3"/>
    <n v="8698000000"/>
    <n v="3185000000"/>
    <n v="2000000000"/>
    <n v="0"/>
    <n v="4603000000"/>
    <s v="Energy"/>
    <s v="Oil &amp; Gas Exploration &amp; Production"/>
    <n v="0.63382386755575992"/>
    <n v="5513000000"/>
    <n v="-0.1253161646355484"/>
    <n v="-1090000000"/>
  </r>
  <r>
    <x v="32"/>
    <n v="4"/>
    <n v="2016"/>
    <x v="12"/>
    <n v="7869000000"/>
    <n v="2900000000"/>
    <n v="2094000000"/>
    <n v="0"/>
    <n v="4301000000"/>
    <s v="Energy"/>
    <s v="Oil &amp; Gas Exploration &amp; Production"/>
    <n v="0.6314652433600203"/>
    <n v="4969000000"/>
    <n v="-0.18121743550641758"/>
    <n v="-1426000000"/>
  </r>
  <r>
    <x v="33"/>
    <n v="1"/>
    <n v="2013"/>
    <x v="29"/>
    <n v="10180400000"/>
    <n v="7472100000"/>
    <n v="1018600000"/>
    <n v="133700000"/>
    <n v="0"/>
    <s v="Materials"/>
    <s v="Industrial Gases"/>
    <n v="0.26603080429059767"/>
    <n v="2708300000"/>
    <n v="0.152842717378492"/>
    <n v="1556000000"/>
  </r>
  <r>
    <x v="33"/>
    <n v="2"/>
    <n v="2014"/>
    <x v="30"/>
    <n v="10439000000"/>
    <n v="7629900000"/>
    <n v="1007400000"/>
    <n v="139800000"/>
    <n v="0"/>
    <s v="Materials"/>
    <s v="Industrial Gases"/>
    <n v="0.26909665676788963"/>
    <n v="2809100000"/>
    <n v="0.15920107289970303"/>
    <n v="1661900000"/>
  </r>
  <r>
    <x v="33"/>
    <n v="3"/>
    <n v="2015"/>
    <x v="31"/>
    <n v="9894900000"/>
    <n v="6939000000"/>
    <n v="895300000"/>
    <n v="137100000"/>
    <n v="0"/>
    <s v="Materials"/>
    <s v="Industrial Gases"/>
    <n v="0.29872964860685813"/>
    <n v="2955900000"/>
    <n v="0.19439307117808163"/>
    <n v="1923500000"/>
  </r>
  <r>
    <x v="33"/>
    <n v="4"/>
    <n v="2016"/>
    <x v="32"/>
    <n v="9524400000"/>
    <n v="6402700000"/>
    <n v="797600000"/>
    <n v="132000000"/>
    <n v="0"/>
    <s v="Materials"/>
    <s v="Industrial Gases"/>
    <n v="0.32775817899290249"/>
    <n v="3121700000"/>
    <n v="0.23015623031372054"/>
    <n v="2192100000"/>
  </r>
  <r>
    <x v="34"/>
    <n v="1"/>
    <n v="2012"/>
    <x v="0"/>
    <n v="4292100000"/>
    <n v="2948900000"/>
    <n v="512900000"/>
    <n v="0"/>
    <n v="0"/>
    <s v="Information Technology"/>
    <s v="Electronic Components"/>
    <n v="0.31294704224039516"/>
    <n v="1343200000"/>
    <n v="0.19344842850818947"/>
    <n v="830300000"/>
  </r>
  <r>
    <x v="34"/>
    <n v="2"/>
    <n v="2013"/>
    <x v="1"/>
    <n v="4614700000"/>
    <n v="3163900000"/>
    <n v="548000000"/>
    <n v="0"/>
    <n v="0"/>
    <s v="Information Technology"/>
    <s v="Electronic Components"/>
    <n v="0.31438663401737921"/>
    <n v="1450800000"/>
    <n v="0.19563568596008407"/>
    <n v="902800000"/>
  </r>
  <r>
    <x v="34"/>
    <n v="3"/>
    <n v="2014"/>
    <x v="2"/>
    <n v="5345500000"/>
    <n v="3651700000"/>
    <n v="645100000"/>
    <n v="0"/>
    <n v="0"/>
    <s v="Information Technology"/>
    <s v="Electronic Components"/>
    <n v="0.31686465251145823"/>
    <n v="1693800000"/>
    <n v="0.19618370592086801"/>
    <n v="1048700000"/>
  </r>
  <r>
    <x v="34"/>
    <n v="4"/>
    <n v="2015"/>
    <x v="3"/>
    <n v="5568700000"/>
    <n v="3789200000"/>
    <n v="669100000"/>
    <n v="0"/>
    <n v="0"/>
    <s v="Information Technology"/>
    <s v="Electronic Components"/>
    <n v="0.31955393538886989"/>
    <n v="1779500000"/>
    <n v="0.19940021908165281"/>
    <n v="1110400000"/>
  </r>
  <r>
    <x v="35"/>
    <n v="1"/>
    <n v="2012"/>
    <x v="0"/>
    <n v="23700000000"/>
    <n v="20401000000"/>
    <n v="997000000"/>
    <n v="197000000"/>
    <n v="1460000000"/>
    <s v="Industrials"/>
    <s v="Aerospace &amp; Defense"/>
    <n v="0.13919831223628687"/>
    <n v="3299000000"/>
    <n v="2.7215189873417721E-2"/>
    <n v="645000000"/>
  </r>
  <r>
    <x v="35"/>
    <n v="2"/>
    <n v="2013"/>
    <x v="1"/>
    <n v="23032000000"/>
    <n v="19286000000"/>
    <n v="1008000000"/>
    <n v="192000000"/>
    <n v="1421000000"/>
    <s v="Industrials"/>
    <s v="Aerospace &amp; Defense"/>
    <n v="0.16264327891629038"/>
    <n v="3746000000"/>
    <n v="4.8845085098992706E-2"/>
    <n v="1125000000"/>
  </r>
  <r>
    <x v="35"/>
    <n v="3"/>
    <n v="2014"/>
    <x v="2"/>
    <n v="23906000000"/>
    <n v="19137000000"/>
    <n v="995000000"/>
    <n v="218000000"/>
    <n v="1371000000"/>
    <s v="Industrials"/>
    <s v="Aerospace &amp; Defense"/>
    <n v="0.1994896678658078"/>
    <n v="4769000000"/>
    <n v="9.1399648623776461E-2"/>
    <n v="2185000000"/>
  </r>
  <r>
    <x v="35"/>
    <n v="4"/>
    <n v="2015"/>
    <x v="3"/>
    <n v="22534000000"/>
    <n v="18069000000"/>
    <n v="979000000"/>
    <n v="238000000"/>
    <n v="1280000000"/>
    <s v="Industrials"/>
    <s v="Aerospace &amp; Defense"/>
    <n v="0.19814502529510958"/>
    <n v="4465000000"/>
    <n v="8.7334694239815394E-2"/>
    <n v="1968000000"/>
  </r>
  <r>
    <x v="36"/>
    <n v="1"/>
    <n v="2012"/>
    <x v="0"/>
    <n v="4856000000"/>
    <n v="1662000000"/>
    <n v="1139000000"/>
    <n v="604000000"/>
    <n v="0"/>
    <s v="Information Technology"/>
    <s v="Home Entertainment Software"/>
    <n v="0.65774299835255357"/>
    <n v="3194000000"/>
    <n v="0.29880560131795719"/>
    <n v="1451000000"/>
  </r>
  <r>
    <x v="36"/>
    <n v="2"/>
    <n v="2013"/>
    <x v="1"/>
    <n v="4583000000"/>
    <n v="1531000000"/>
    <n v="1096000000"/>
    <n v="584000000"/>
    <n v="0"/>
    <s v="Information Technology"/>
    <s v="Home Entertainment Software"/>
    <n v="0.66593934104298502"/>
    <n v="3052000000"/>
    <n v="0.29936722670739691"/>
    <n v="1372000000"/>
  </r>
  <r>
    <x v="36"/>
    <n v="3"/>
    <n v="2014"/>
    <x v="2"/>
    <n v="4408000000"/>
    <n v="1525000000"/>
    <n v="1129000000"/>
    <n v="571000000"/>
    <n v="0"/>
    <s v="Information Technology"/>
    <s v="Home Entertainment Software"/>
    <n v="0.65403811252268595"/>
    <n v="2883000000"/>
    <n v="0.26837568058076228"/>
    <n v="1183000000"/>
  </r>
  <r>
    <x v="36"/>
    <n v="4"/>
    <n v="2015"/>
    <x v="3"/>
    <n v="4664000000"/>
    <n v="1585000000"/>
    <n v="1114000000"/>
    <n v="646000000"/>
    <n v="0"/>
    <s v="Information Technology"/>
    <s v="Home Entertainment Software"/>
    <n v="0.66016295025728988"/>
    <n v="3079000000"/>
    <n v="0.28280445969125212"/>
    <n v="1319000000"/>
  </r>
  <r>
    <x v="37"/>
    <n v="1"/>
    <n v="2015"/>
    <x v="33"/>
    <n v="6824000000"/>
    <n v="3271000000"/>
    <n v="486000000"/>
    <n v="1049000000"/>
    <n v="249000000"/>
    <s v="Information Technology"/>
    <s v="Semiconductors"/>
    <n v="0.52066236811254396"/>
    <n v="3553000000"/>
    <n v="0.25923212192262601"/>
    <n v="1769000000"/>
  </r>
  <r>
    <x v="37"/>
    <n v="2"/>
    <n v="2016"/>
    <x v="28"/>
    <n v="13240000000"/>
    <n v="7300000000"/>
    <n v="806000000"/>
    <n v="2674000000"/>
    <n v="1873000000"/>
    <s v="Information Technology"/>
    <s v="Semiconductors"/>
    <n v="0.44864048338368578"/>
    <n v="5940000000"/>
    <n v="4.4335347432024171E-2"/>
    <n v="587000000"/>
  </r>
  <r>
    <x v="38"/>
    <n v="1"/>
    <n v="2012"/>
    <x v="0"/>
    <n v="5863500000"/>
    <n v="4335300000"/>
    <n v="1148900000"/>
    <n v="0"/>
    <n v="0"/>
    <s v="Materials"/>
    <s v="Paper Packaging"/>
    <n v="0.26062931696085956"/>
    <n v="1528200000"/>
    <n v="6.4688326085102749E-2"/>
    <n v="379300000"/>
  </r>
  <r>
    <x v="38"/>
    <n v="2"/>
    <n v="2013"/>
    <x v="5"/>
    <n v="6140000000"/>
    <n v="4502300000"/>
    <n v="1174200000"/>
    <n v="0"/>
    <n v="0"/>
    <s v="Materials"/>
    <s v="Paper Packaging"/>
    <n v="0.26672638436482088"/>
    <n v="1637700000"/>
    <n v="7.5488599348534205E-2"/>
    <n v="463500000"/>
  </r>
  <r>
    <x v="38"/>
    <n v="3"/>
    <n v="2015"/>
    <x v="6"/>
    <n v="6330300000"/>
    <n v="4679100000"/>
    <n v="1158900000"/>
    <n v="0"/>
    <n v="0"/>
    <s v="Materials"/>
    <s v="Paper Packaging"/>
    <n v="0.26084071844936263"/>
    <n v="1651200000"/>
    <n v="7.7768826121984741E-2"/>
    <n v="492300000"/>
  </r>
  <r>
    <x v="38"/>
    <n v="4"/>
    <n v="2016"/>
    <x v="7"/>
    <n v="5966900000"/>
    <n v="4321100000"/>
    <n v="1108100000"/>
    <n v="0"/>
    <n v="0"/>
    <s v="Materials"/>
    <s v="Paper Packaging"/>
    <n v="0.27582161591446142"/>
    <n v="1645800000"/>
    <n v="9.0113794432619951E-2"/>
    <n v="537700000"/>
  </r>
  <r>
    <x v="39"/>
    <n v="1"/>
    <n v="2012"/>
    <x v="0"/>
    <n v="2853926000"/>
    <n v="1329500000"/>
    <n v="220758000"/>
    <n v="0"/>
    <n v="380402000"/>
    <s v="Utilities"/>
    <s v="Water Utilities"/>
    <n v="0.53415050004800402"/>
    <n v="1524426000"/>
    <n v="0.32350733691062766"/>
    <n v="923266000"/>
  </r>
  <r>
    <x v="39"/>
    <n v="2"/>
    <n v="2013"/>
    <x v="1"/>
    <n v="2879000000"/>
    <n v="1289000000"/>
    <n v="234000000"/>
    <n v="0"/>
    <n v="407000000"/>
    <s v="Utilities"/>
    <s v="Water Utilities"/>
    <n v="0.55227509551927745"/>
    <n v="1590000000"/>
    <n v="0.32962834317471346"/>
    <n v="949000000"/>
  </r>
  <r>
    <x v="39"/>
    <n v="3"/>
    <n v="2014"/>
    <x v="2"/>
    <n v="3011000000"/>
    <n v="1350000000"/>
    <n v="236000000"/>
    <n v="0"/>
    <n v="424000000"/>
    <s v="Utilities"/>
    <s v="Water Utilities"/>
    <n v="0.55164397210229166"/>
    <n v="1661000000"/>
    <n v="0.33244769179674527"/>
    <n v="1001000000"/>
  </r>
  <r>
    <x v="39"/>
    <n v="4"/>
    <n v="2015"/>
    <x v="3"/>
    <n v="3159000000"/>
    <n v="1404000000"/>
    <n v="243000000"/>
    <n v="0"/>
    <n v="440000000"/>
    <s v="Utilities"/>
    <s v="Water Utilities"/>
    <n v="0.55555555555555558"/>
    <n v="1755000000"/>
    <n v="0.33934789490345046"/>
    <n v="1072000000"/>
  </r>
  <r>
    <x v="40"/>
    <n v="1"/>
    <n v="2013"/>
    <x v="1"/>
    <n v="2666000000"/>
    <n v="55000000"/>
    <n v="1670000000"/>
    <n v="0"/>
    <n v="46000000"/>
    <s v="Financials"/>
    <s v="Regional Banks"/>
    <n v="0.9793698424606152"/>
    <n v="2611000000"/>
    <n v="0.33570892723180795"/>
    <n v="895000000"/>
  </r>
  <r>
    <x v="40"/>
    <n v="2"/>
    <n v="2014"/>
    <x v="2"/>
    <n v="2607000000"/>
    <n v="45000000"/>
    <n v="1611000000"/>
    <n v="0"/>
    <n v="27000000"/>
    <s v="Financials"/>
    <s v="Regional Banks"/>
    <n v="0.98273878020713468"/>
    <n v="2562000000"/>
    <n v="0.35443037974683544"/>
    <n v="924000000"/>
  </r>
  <r>
    <x v="40"/>
    <n v="3"/>
    <n v="2015"/>
    <x v="3"/>
    <n v="2819000000"/>
    <n v="43000000"/>
    <n v="1859000000"/>
    <n v="0"/>
    <n v="147000000"/>
    <s v="Financials"/>
    <s v="Regional Banks"/>
    <n v="0.98474636395885062"/>
    <n v="2776000000"/>
    <n v="0.27314650585313943"/>
    <n v="770000000"/>
  </r>
  <r>
    <x v="40"/>
    <n v="4"/>
    <n v="2016"/>
    <x v="12"/>
    <n v="2960000000"/>
    <n v="40000000"/>
    <n v="1836000000"/>
    <n v="0"/>
    <n v="248000000"/>
    <s v="Financials"/>
    <s v="Regional Banks"/>
    <n v="0.98648648648648651"/>
    <n v="2920000000"/>
    <n v="0.28243243243243243"/>
    <n v="836000000"/>
  </r>
  <r>
    <x v="41"/>
    <n v="1"/>
    <n v="2013"/>
    <x v="34"/>
    <n v="2089100000"/>
    <n v="1251500000"/>
    <n v="607600000"/>
    <n v="0"/>
    <n v="0"/>
    <s v="Industrials"/>
    <s v="Electrical Components &amp; Equipment"/>
    <n v="0.40093820305394667"/>
    <n v="837600000"/>
    <n v="0.11009525633047725"/>
    <n v="230000000"/>
  </r>
  <r>
    <x v="41"/>
    <n v="2"/>
    <n v="2014"/>
    <x v="35"/>
    <n v="2393500000"/>
    <n v="1414300000"/>
    <n v="680300000"/>
    <n v="0"/>
    <n v="0"/>
    <s v="Industrials"/>
    <s v="Electrical Components &amp; Equipment"/>
    <n v="0.4091080008355964"/>
    <n v="979200000"/>
    <n v="0.12487988301650303"/>
    <n v="298900000"/>
  </r>
  <r>
    <x v="41"/>
    <n v="3"/>
    <n v="2015"/>
    <x v="36"/>
    <n v="2706700000"/>
    <n v="1561100000"/>
    <n v="756900000"/>
    <n v="0"/>
    <n v="0"/>
    <s v="Industrials"/>
    <s v="Electrical Components &amp; Equipment"/>
    <n v="0.42324601913769533"/>
    <n v="1145600000"/>
    <n v="0.14360660582997747"/>
    <n v="388700000"/>
  </r>
  <r>
    <x v="41"/>
    <n v="4"/>
    <n v="2016"/>
    <x v="37"/>
    <n v="3291300000"/>
    <n v="1855100000"/>
    <n v="946000000"/>
    <n v="0"/>
    <n v="0"/>
    <s v="Industrials"/>
    <s v="Electrical Components &amp; Equipment"/>
    <n v="0.43636253152249871"/>
    <n v="1436200000"/>
    <n v="0.14893810956157141"/>
    <n v="490200000"/>
  </r>
  <r>
    <x v="42"/>
    <n v="1"/>
    <n v="2013"/>
    <x v="34"/>
    <n v="9147530000"/>
    <n v="4406595000"/>
    <n v="2967837000"/>
    <n v="0"/>
    <n v="0"/>
    <s v="Consumer Discretionary"/>
    <s v="Specialty Stores"/>
    <n v="0.51827487857377896"/>
    <n v="4740935000"/>
    <n v="0.19383352664599077"/>
    <n v="1773098000"/>
  </r>
  <r>
    <x v="42"/>
    <n v="2"/>
    <n v="2014"/>
    <x v="38"/>
    <n v="9475313000"/>
    <n v="4540406000"/>
    <n v="3104684000"/>
    <n v="0"/>
    <n v="0"/>
    <s v="Consumer Discretionary"/>
    <s v="Specialty Stores"/>
    <n v="0.52081730703777285"/>
    <n v="4934907000"/>
    <n v="0.19315699650238466"/>
    <n v="1830223000"/>
  </r>
  <r>
    <x v="42"/>
    <n v="3"/>
    <n v="2015"/>
    <x v="39"/>
    <n v="10187340000"/>
    <n v="4860309000"/>
    <n v="3373980000"/>
    <n v="0"/>
    <n v="0"/>
    <s v="Consumer Discretionary"/>
    <s v="Specialty Stores"/>
    <n v="0.52290696099276168"/>
    <n v="5327031000"/>
    <n v="0.19171353856845849"/>
    <n v="1953051000"/>
  </r>
  <r>
    <x v="42"/>
    <n v="4"/>
    <n v="2016"/>
    <x v="40"/>
    <n v="10635676000"/>
    <n v="5026940000"/>
    <n v="3548341000"/>
    <n v="0"/>
    <n v="0"/>
    <s v="Consumer Discretionary"/>
    <s v="Specialty Stores"/>
    <n v="0.5273511528557282"/>
    <n v="5608736000"/>
    <n v="0.19372487465770863"/>
    <n v="2060395000"/>
  </r>
  <r>
    <x v="43"/>
    <n v="1"/>
    <n v="2013"/>
    <x v="1"/>
    <n v="86623000000"/>
    <n v="73268000000"/>
    <n v="3742000000"/>
    <n v="3071000000"/>
    <n v="0"/>
    <s v="Industrials"/>
    <s v="Aerospace &amp; Defense"/>
    <n v="0.15417383373930715"/>
    <n v="13355000000"/>
    <n v="7.5522667190007275E-2"/>
    <n v="6542000000"/>
  </r>
  <r>
    <x v="43"/>
    <n v="2"/>
    <n v="2014"/>
    <x v="2"/>
    <n v="90762000000"/>
    <n v="76752000000"/>
    <n v="3480000000"/>
    <n v="3047000000"/>
    <n v="0"/>
    <s v="Industrials"/>
    <s v="Aerospace &amp; Defense"/>
    <n v="0.15435975408210489"/>
    <n v="14010000000"/>
    <n v="8.2446398272404756E-2"/>
    <n v="7483000000"/>
  </r>
  <r>
    <x v="43"/>
    <n v="3"/>
    <n v="2015"/>
    <x v="3"/>
    <n v="96114000000"/>
    <n v="82088000000"/>
    <n v="3251000000"/>
    <n v="3331000000"/>
    <n v="0"/>
    <s v="Industrials"/>
    <s v="Aerospace &amp; Defense"/>
    <n v="0.14593087375408365"/>
    <n v="14026000000"/>
    <n v="7.7449695153671685E-2"/>
    <n v="7444000000"/>
  </r>
  <r>
    <x v="43"/>
    <n v="4"/>
    <n v="2016"/>
    <x v="12"/>
    <n v="94571000000"/>
    <n v="80790000000"/>
    <n v="3313000000"/>
    <n v="4627000000"/>
    <n v="0"/>
    <s v="Industrials"/>
    <s v="Aerospace &amp; Defense"/>
    <n v="0.14572120417464129"/>
    <n v="13781000000"/>
    <n v="6.1763119772446098E-2"/>
    <n v="5841000000"/>
  </r>
  <r>
    <x v="44"/>
    <n v="1"/>
    <n v="2012"/>
    <x v="0"/>
    <n v="23771000000"/>
    <n v="1403000000"/>
    <n v="11188000000"/>
    <n v="0"/>
    <n v="5024000000"/>
    <s v="Financials"/>
    <s v="Consumer Finance"/>
    <n v="0.94097850321820709"/>
    <n v="22368000000"/>
    <n v="0.25897101510243575"/>
    <n v="6156000000"/>
  </r>
  <r>
    <x v="44"/>
    <n v="2"/>
    <n v="2013"/>
    <x v="1"/>
    <n v="24176000000"/>
    <n v="1241000000"/>
    <n v="11682000000"/>
    <n v="0"/>
    <n v="4124000000"/>
    <s v="Financials"/>
    <s v="Consumer Finance"/>
    <n v="0.948668100595632"/>
    <n v="22935000000"/>
    <n v="0.29487921906022502"/>
    <n v="7129000000"/>
  </r>
  <r>
    <x v="44"/>
    <n v="3"/>
    <n v="2014"/>
    <x v="2"/>
    <n v="23869000000"/>
    <n v="1088000000"/>
    <n v="11648000000"/>
    <n v="0"/>
    <n v="4073000000"/>
    <s v="Financials"/>
    <s v="Consumer Finance"/>
    <n v="0.95441786417529018"/>
    <n v="22781000000"/>
    <n v="0.29578113871548872"/>
    <n v="7060000000"/>
  </r>
  <r>
    <x v="44"/>
    <n v="4"/>
    <n v="2015"/>
    <x v="3"/>
    <n v="25038000000"/>
    <n v="1091000000"/>
    <n v="12566000000"/>
    <n v="0"/>
    <n v="4966000000"/>
    <s v="Financials"/>
    <s v="Consumer Finance"/>
    <n v="0.95642623212716671"/>
    <n v="23947000000"/>
    <n v="0.2562105599488777"/>
    <n v="6415000000"/>
  </r>
  <r>
    <x v="45"/>
    <n v="1"/>
    <n v="2012"/>
    <x v="41"/>
    <n v="8984000000"/>
    <n v="845000000"/>
    <n v="3052000000"/>
    <n v="0"/>
    <n v="848000000"/>
    <s v="Financials"/>
    <s v="Consumer Finance"/>
    <n v="0.90594390026714156"/>
    <n v="8139000000"/>
    <n v="0.47183882457702581"/>
    <n v="4239000000"/>
  </r>
  <r>
    <x v="45"/>
    <n v="2"/>
    <n v="2013"/>
    <x v="1"/>
    <n v="9370000000"/>
    <n v="698000000"/>
    <n v="3194000000"/>
    <n v="0"/>
    <n v="1086000000"/>
    <s v="Financials"/>
    <s v="Consumer Finance"/>
    <n v="0.92550693703308429"/>
    <n v="8672000000"/>
    <n v="0.46872998932764143"/>
    <n v="4392000000"/>
  </r>
  <r>
    <x v="45"/>
    <n v="3"/>
    <n v="2014"/>
    <x v="2"/>
    <n v="9611000000"/>
    <n v="614000000"/>
    <n v="3340000000"/>
    <n v="0"/>
    <n v="1443000000"/>
    <s v="Financials"/>
    <s v="Consumer Finance"/>
    <n v="0.93611486837998126"/>
    <n v="8997000000"/>
    <n v="0.43845593590677351"/>
    <n v="4214000000"/>
  </r>
  <r>
    <x v="45"/>
    <n v="4"/>
    <n v="2015"/>
    <x v="3"/>
    <n v="10002000000"/>
    <n v="623000000"/>
    <n v="3615000000"/>
    <n v="0"/>
    <n v="1512000000"/>
    <s v="Financials"/>
    <s v="Consumer Finance"/>
    <n v="0.9377124575084983"/>
    <n v="9379000000"/>
    <n v="0.4251149770045991"/>
    <n v="4252000000"/>
  </r>
  <r>
    <x v="46"/>
    <n v="1"/>
    <n v="2013"/>
    <x v="42"/>
    <n v="10914585000"/>
    <n v="6525830000"/>
    <n v="2750537000"/>
    <n v="0"/>
    <n v="0"/>
    <s v="Consumer Discretionary"/>
    <s v="Specialty Stores"/>
    <n v="0.40210003403702477"/>
    <n v="4388755000"/>
    <n v="0.15009439204513961"/>
    <n v="1638218000"/>
  </r>
  <r>
    <x v="46"/>
    <n v="2"/>
    <n v="2014"/>
    <x v="43"/>
    <n v="11503963000"/>
    <n v="6938381000"/>
    <n v="2950995000"/>
    <n v="0"/>
    <n v="0"/>
    <s v="Consumer Discretionary"/>
    <s v="Specialty Stores"/>
    <n v="0.3968703654557999"/>
    <n v="4565582000"/>
    <n v="0.14035050356125103"/>
    <n v="1614587000"/>
  </r>
  <r>
    <x v="46"/>
    <n v="3"/>
    <n v="2015"/>
    <x v="44"/>
    <n v="11881176000"/>
    <n v="7261397000"/>
    <n v="3065486000"/>
    <n v="0"/>
    <n v="0"/>
    <s v="Consumer Discretionary"/>
    <s v="Specialty Stores"/>
    <n v="0.38883179577509841"/>
    <n v="4619779000"/>
    <n v="0.13081979426952348"/>
    <n v="1554293000"/>
  </r>
  <r>
    <x v="46"/>
    <n v="4"/>
    <n v="2016"/>
    <x v="45"/>
    <n v="12103887000"/>
    <n v="7483577000"/>
    <n v="3205407000"/>
    <n v="0"/>
    <n v="0"/>
    <s v="Consumer Discretionary"/>
    <s v="Specialty Stores"/>
    <n v="0.38172117766796732"/>
    <n v="4620310000"/>
    <n v="0.11689658041255672"/>
    <n v="1414903000"/>
  </r>
  <r>
    <x v="47"/>
    <n v="1"/>
    <n v="2012"/>
    <x v="0"/>
    <n v="1365000000"/>
    <n v="0"/>
    <n v="921000000"/>
    <n v="0"/>
    <n v="471000000"/>
    <s v="Financials"/>
    <s v="Investment Banking &amp; Brokerage"/>
    <n v="1"/>
    <n v="1365000000"/>
    <n v="-1.9780219780219779E-2"/>
    <n v="-27000000"/>
  </r>
  <r>
    <x v="47"/>
    <n v="2"/>
    <n v="2013"/>
    <x v="1"/>
    <n v="1466000000"/>
    <n v="0"/>
    <n v="888000000"/>
    <n v="0"/>
    <n v="256000000"/>
    <s v="Financials"/>
    <s v="Investment Banking &amp; Brokerage"/>
    <n v="1"/>
    <n v="1466000000"/>
    <n v="0.21964529331514324"/>
    <n v="322000000"/>
  </r>
  <r>
    <x v="47"/>
    <n v="3"/>
    <n v="2014"/>
    <x v="2"/>
    <n v="1665000000"/>
    <n v="0"/>
    <n v="958000000"/>
    <n v="0"/>
    <n v="136000000"/>
    <s v="Financials"/>
    <s v="Investment Banking &amp; Brokerage"/>
    <n v="1"/>
    <n v="1665000000"/>
    <n v="0.34294294294294292"/>
    <n v="571000000"/>
  </r>
  <r>
    <x v="47"/>
    <n v="4"/>
    <n v="2015"/>
    <x v="3"/>
    <n v="1403000000"/>
    <n v="0"/>
    <n v="1048000000"/>
    <n v="0"/>
    <n v="61000000"/>
    <s v="Financials"/>
    <s v="Investment Banking &amp; Brokerage"/>
    <n v="1"/>
    <n v="1403000000"/>
    <n v="0.20955096222380612"/>
    <n v="294000000"/>
  </r>
  <r>
    <x v="48"/>
    <n v="1"/>
    <n v="2012"/>
    <x v="46"/>
    <n v="45457000000"/>
    <n v="34473000000"/>
    <n v="8755000000"/>
    <n v="0"/>
    <n v="0"/>
    <s v="Consumer Discretionary"/>
    <s v="Computer &amp; Electronics Retail"/>
    <n v="0.24163495171260752"/>
    <n v="10984000000"/>
    <n v="4.9035352090987083E-2"/>
    <n v="2229000000"/>
  </r>
  <r>
    <x v="48"/>
    <n v="2"/>
    <n v="2014"/>
    <x v="47"/>
    <n v="40611000000"/>
    <n v="31212000000"/>
    <n v="8106000000"/>
    <n v="0"/>
    <n v="0"/>
    <s v="Consumer Discretionary"/>
    <s v="Computer &amp; Electronics Retail"/>
    <n v="0.23143975770111547"/>
    <n v="9399000000"/>
    <n v="3.1838664401270589E-2"/>
    <n v="1293000000"/>
  </r>
  <r>
    <x v="48"/>
    <n v="3"/>
    <n v="2015"/>
    <x v="23"/>
    <n v="40339000000"/>
    <n v="31292000000"/>
    <n v="7592000000"/>
    <n v="0"/>
    <n v="0"/>
    <s v="Consumer Discretionary"/>
    <s v="Computer &amp; Electronics Retail"/>
    <n v="0.22427427551501034"/>
    <n v="9047000000"/>
    <n v="3.6069312575919082E-2"/>
    <n v="1455000000"/>
  </r>
  <r>
    <x v="48"/>
    <n v="4"/>
    <n v="2016"/>
    <x v="48"/>
    <n v="39528000000"/>
    <n v="30337000000"/>
    <n v="7618000000"/>
    <n v="0"/>
    <n v="0"/>
    <s v="Consumer Discretionary"/>
    <s v="Computer &amp; Electronics Retail"/>
    <n v="0.23251872090669901"/>
    <n v="9191000000"/>
    <n v="3.979457599676179E-2"/>
    <n v="1573000000"/>
  </r>
  <r>
    <x v="49"/>
    <n v="1"/>
    <n v="2012"/>
    <x v="0"/>
    <n v="3036584000"/>
    <n v="162167000"/>
    <n v="1789327000"/>
    <n v="0"/>
    <n v="193937000"/>
    <s v="Financials"/>
    <s v="Banks"/>
    <n v="0.94659558240443864"/>
    <n v="2874417000"/>
    <n v="0.29347220429271842"/>
    <n v="891153000"/>
  </r>
  <r>
    <x v="49"/>
    <n v="2"/>
    <n v="2013"/>
    <x v="1"/>
    <n v="2872833000"/>
    <n v="116241000"/>
    <n v="1716639000"/>
    <n v="0"/>
    <n v="131409000"/>
    <s v="Financials"/>
    <s v="Banks"/>
    <n v="0.95953784992027036"/>
    <n v="2756592000"/>
    <n v="0.31625367711941488"/>
    <n v="908544000"/>
  </r>
  <r>
    <x v="49"/>
    <n v="3"/>
    <n v="2014"/>
    <x v="2"/>
    <n v="2955641000"/>
    <n v="86453000"/>
    <n v="1843069000"/>
    <n v="0"/>
    <n v="120266000"/>
    <s v="Financials"/>
    <s v="Banks"/>
    <n v="0.97074983057820619"/>
    <n v="2869188000"/>
    <n v="0.30648275619400328"/>
    <n v="905853000"/>
  </r>
  <r>
    <x v="49"/>
    <n v="4"/>
    <n v="2015"/>
    <x v="3"/>
    <n v="3153251000"/>
    <n v="82175000"/>
    <n v="1948041000"/>
    <n v="0"/>
    <n v="127821000"/>
    <s v="Financials"/>
    <s v="Banks"/>
    <n v="0.9739395944059005"/>
    <n v="3071076000"/>
    <n v="0.31561521743749549"/>
    <n v="995214000"/>
  </r>
  <r>
    <x v="50"/>
    <n v="1"/>
    <n v="2012"/>
    <x v="0"/>
    <n v="22086000000"/>
    <n v="13195000000"/>
    <n v="0"/>
    <n v="0"/>
    <n v="7080000000"/>
    <s v="Financials"/>
    <s v="Property &amp; Casualty Insurance"/>
    <n v="0.40256270940867522"/>
    <n v="8891000000"/>
    <n v="8.199764556732772E-2"/>
    <n v="1811000000"/>
  </r>
  <r>
    <x v="50"/>
    <n v="2"/>
    <n v="2013"/>
    <x v="1"/>
    <n v="20673000000"/>
    <n v="11048000000"/>
    <n v="0"/>
    <n v="0"/>
    <n v="5970000000"/>
    <s v="Financials"/>
    <s v="Property &amp; Casualty Insurance"/>
    <n v="0.46558312775117305"/>
    <n v="9625000000"/>
    <n v="0.17680065786291299"/>
    <n v="3655000000"/>
  </r>
  <r>
    <x v="50"/>
    <n v="3"/>
    <n v="2014"/>
    <x v="2"/>
    <n v="18614000000"/>
    <n v="10805000000"/>
    <n v="0"/>
    <n v="0"/>
    <n v="5757000000"/>
    <s v="Financials"/>
    <s v="Property &amp; Casualty Insurance"/>
    <n v="0.41952293972278931"/>
    <n v="7809000000"/>
    <n v="0.11023960459868916"/>
    <n v="2052000000"/>
  </r>
  <r>
    <x v="50"/>
    <n v="4"/>
    <n v="2015"/>
    <x v="3"/>
    <n v="18377000000"/>
    <n v="10775000000"/>
    <n v="0"/>
    <n v="0"/>
    <n v="5274000000"/>
    <s v="Financials"/>
    <s v="Property &amp; Casualty Insurance"/>
    <n v="0.41366926048865427"/>
    <n v="7602000000"/>
    <n v="0.12668008924198726"/>
    <n v="2328000000"/>
  </r>
  <r>
    <x v="51"/>
    <n v="1"/>
    <n v="2013"/>
    <x v="1"/>
    <n v="22364000000"/>
    <n v="18553000000"/>
    <n v="1306000000"/>
    <n v="556000000"/>
    <n v="0"/>
    <s v="Energy"/>
    <s v="Oil &amp; Gas Equipment &amp; Services"/>
    <n v="0.170407798247183"/>
    <n v="3811000000"/>
    <n v="8.7148989447326061E-2"/>
    <n v="1949000000"/>
  </r>
  <r>
    <x v="51"/>
    <n v="2"/>
    <n v="2014"/>
    <x v="2"/>
    <n v="24551000000"/>
    <n v="19746000000"/>
    <n v="1333000000"/>
    <n v="613000000"/>
    <n v="0"/>
    <s v="Energy"/>
    <s v="Oil &amp; Gas Equipment &amp; Services"/>
    <n v="0.1957150421571423"/>
    <n v="4805000000"/>
    <n v="0.11645146837196041"/>
    <n v="2859000000"/>
  </r>
  <r>
    <x v="51"/>
    <n v="3"/>
    <n v="2015"/>
    <x v="3"/>
    <n v="15742000000"/>
    <n v="14415000000"/>
    <n v="969000000"/>
    <n v="466000000"/>
    <n v="0"/>
    <s v="Energy"/>
    <s v="Oil &amp; Gas Equipment &amp; Services"/>
    <n v="8.4296785668911189E-2"/>
    <n v="1327000000"/>
    <n v="-6.8606276203786046E-3"/>
    <n v="-108000000"/>
  </r>
  <r>
    <x v="51"/>
    <n v="4"/>
    <n v="2016"/>
    <x v="12"/>
    <n v="9841000000"/>
    <n v="9973000000"/>
    <n v="815000000"/>
    <n v="384000000"/>
    <n v="0"/>
    <s v="Energy"/>
    <s v="Oil &amp; Gas Equipment &amp; Services"/>
    <n v="-1.341327100904377E-2"/>
    <n v="-132000000"/>
    <n v="-0.13525048267452494"/>
    <n v="-1331000000"/>
  </r>
  <r>
    <x v="52"/>
    <n v="1"/>
    <n v="2013"/>
    <x v="49"/>
    <n v="2807114000"/>
    <n v="1123773000"/>
    <n v="828095000"/>
    <n v="0"/>
    <n v="92407000"/>
    <s v="Financials"/>
    <s v="Consumer Finance"/>
    <n v="0.59966962510250743"/>
    <n v="1683341000"/>
    <n v="0.27175205566998706"/>
    <n v="762839000"/>
  </r>
  <r>
    <x v="52"/>
    <n v="2"/>
    <n v="2014"/>
    <x v="50"/>
    <n v="3024295000"/>
    <n v="1179405000"/>
    <n v="830789000"/>
    <n v="0"/>
    <n v="115604000"/>
    <s v="Financials"/>
    <s v="Consumer Finance"/>
    <n v="0.61002316242297794"/>
    <n v="1844890000"/>
    <n v="0.2970930415187672"/>
    <n v="898497000"/>
  </r>
  <r>
    <x v="52"/>
    <n v="3"/>
    <n v="2015"/>
    <x v="51"/>
    <n v="3078658000"/>
    <n v="1231104000"/>
    <n v="818091000"/>
    <n v="0"/>
    <n v="159804000"/>
    <s v="Financials"/>
    <s v="Consumer Finance"/>
    <n v="0.60011667421324488"/>
    <n v="1847554000"/>
    <n v="0.28247989870911289"/>
    <n v="869659000"/>
  </r>
  <r>
    <x v="52"/>
    <n v="4"/>
    <n v="2016"/>
    <x v="52"/>
    <n v="3038153000"/>
    <n v="1250320000"/>
    <n v="905648000"/>
    <n v="0"/>
    <n v="173598000"/>
    <s v="Financials"/>
    <s v="Consumer Finance"/>
    <n v="0.58846048898788172"/>
    <n v="1787833000"/>
    <n v="0.23322953123163975"/>
    <n v="708587000"/>
  </r>
  <r>
    <x v="53"/>
    <n v="1"/>
    <n v="2012"/>
    <x v="0"/>
    <n v="8735700000"/>
    <n v="7174000000"/>
    <n v="488300000"/>
    <n v="0"/>
    <n v="282900000"/>
    <s v="Materials"/>
    <s v="Metal &amp; Glass Containers"/>
    <n v="0.17877216479503644"/>
    <n v="1561700000"/>
    <n v="9.0490744874480583E-2"/>
    <n v="790500000"/>
  </r>
  <r>
    <x v="53"/>
    <n v="2"/>
    <n v="2013"/>
    <x v="1"/>
    <n v="8468100000"/>
    <n v="6875400000"/>
    <n v="497400000"/>
    <n v="0"/>
    <n v="299900000"/>
    <s v="Materials"/>
    <s v="Metal &amp; Glass Containers"/>
    <n v="0.1880823325185107"/>
    <n v="1592700000"/>
    <n v="9.3928980526918671E-2"/>
    <n v="795400000"/>
  </r>
  <r>
    <x v="53"/>
    <n v="3"/>
    <n v="2014"/>
    <x v="2"/>
    <n v="8570000000"/>
    <n v="6903500000"/>
    <n v="547000000"/>
    <n v="0"/>
    <n v="280900000"/>
    <s v="Materials"/>
    <s v="Metal &amp; Glass Containers"/>
    <n v="0.19445740956826141"/>
    <n v="1666500000"/>
    <n v="9.7852975495915984E-2"/>
    <n v="838600000"/>
  </r>
  <r>
    <x v="53"/>
    <n v="4"/>
    <n v="2015"/>
    <x v="3"/>
    <n v="7997000000"/>
    <n v="6460300000"/>
    <n v="646000000"/>
    <n v="0"/>
    <n v="285500000"/>
    <s v="Materials"/>
    <s v="Metal &amp; Glass Containers"/>
    <n v="0.19215955983493815"/>
    <n v="1536700000"/>
    <n v="7.5678379392272108E-2"/>
    <n v="605200000"/>
  </r>
  <r>
    <x v="54"/>
    <n v="1"/>
    <n v="2012"/>
    <x v="0"/>
    <n v="4050400000"/>
    <n v="0"/>
    <n v="3207800000"/>
    <n v="0"/>
    <n v="0"/>
    <s v="Financials"/>
    <s v="Asset Management &amp; Custody Banks"/>
    <n v="1"/>
    <n v="4050400000"/>
    <n v="0.20802883665810784"/>
    <n v="842600000"/>
  </r>
  <r>
    <x v="54"/>
    <n v="2"/>
    <n v="2013"/>
    <x v="1"/>
    <n v="4644600000"/>
    <n v="0"/>
    <n v="3524400000"/>
    <n v="0"/>
    <n v="0"/>
    <s v="Financials"/>
    <s v="Asset Management &amp; Custody Banks"/>
    <n v="1"/>
    <n v="4644600000"/>
    <n v="0.24118330964991602"/>
    <n v="1120200000"/>
  </r>
  <r>
    <x v="54"/>
    <n v="3"/>
    <n v="2014"/>
    <x v="2"/>
    <n v="5147100000"/>
    <n v="0"/>
    <n v="3870200000"/>
    <n v="0"/>
    <n v="0"/>
    <s v="Financials"/>
    <s v="Asset Management &amp; Custody Banks"/>
    <n v="1"/>
    <n v="5147100000"/>
    <n v="0.24808144391987721"/>
    <n v="1276900000"/>
  </r>
  <r>
    <x v="54"/>
    <n v="4"/>
    <n v="2015"/>
    <x v="3"/>
    <n v="5122900000"/>
    <n v="0"/>
    <n v="3764500000"/>
    <n v="0"/>
    <n v="0"/>
    <s v="Financials"/>
    <s v="Asset Management &amp; Custody Banks"/>
    <n v="1"/>
    <n v="5122900000"/>
    <n v="0.26516231041011928"/>
    <n v="1358400000"/>
  </r>
  <r>
    <x v="55"/>
    <n v="1"/>
    <n v="2012"/>
    <x v="0"/>
    <n v="93646000000"/>
    <n v="0"/>
    <n v="64729000000"/>
    <n v="0"/>
    <n v="3385000000"/>
    <s v="Financials"/>
    <s v="Banks"/>
    <n v="1"/>
    <n v="93646000000"/>
    <n v="0.27264378617346174"/>
    <n v="25532000000"/>
  </r>
  <r>
    <x v="55"/>
    <n v="2"/>
    <n v="2013"/>
    <x v="1"/>
    <n v="97142000000"/>
    <n v="0"/>
    <n v="70467000000"/>
    <n v="0"/>
    <n v="225000000"/>
    <s v="Financials"/>
    <s v="Banks"/>
    <n v="1"/>
    <n v="97142000000"/>
    <n v="0.27228181425130221"/>
    <n v="26450000000"/>
  </r>
  <r>
    <x v="55"/>
    <n v="3"/>
    <n v="2014"/>
    <x v="2"/>
    <n v="91973000000"/>
    <n v="0"/>
    <n v="61274000000"/>
    <n v="0"/>
    <n v="3139000000"/>
    <s v="Financials"/>
    <s v="Banks"/>
    <n v="1"/>
    <n v="91973000000"/>
    <n v="0.29965315907929502"/>
    <n v="27560000000"/>
  </r>
  <r>
    <x v="55"/>
    <n v="4"/>
    <n v="2015"/>
    <x v="3"/>
    <n v="89716000000"/>
    <n v="0"/>
    <n v="59014000000"/>
    <n v="0"/>
    <n v="3827000000"/>
    <s v="Financials"/>
    <s v="Banks"/>
    <n v="1"/>
    <n v="89716000000"/>
    <n v="0.29955637790360695"/>
    <n v="26875000000"/>
  </r>
  <r>
    <x v="56"/>
    <n v="1"/>
    <n v="2013"/>
    <x v="1"/>
    <n v="7436600000"/>
    <n v="5879100000"/>
    <n v="702300000"/>
    <n v="0"/>
    <n v="0"/>
    <s v="Consumer Discretionary"/>
    <s v="Auto Parts &amp; Equipment"/>
    <n v="0.20943710835596907"/>
    <n v="1557500000"/>
    <n v="0.11499878976951833"/>
    <n v="855200000"/>
  </r>
  <r>
    <x v="56"/>
    <n v="2"/>
    <n v="2014"/>
    <x v="2"/>
    <n v="8305100000"/>
    <n v="6548700000"/>
    <n v="792700000"/>
    <n v="0"/>
    <n v="0"/>
    <s v="Consumer Discretionary"/>
    <s v="Auto Parts &amp; Equipment"/>
    <n v="0.21148450951824782"/>
    <n v="1756400000"/>
    <n v="0.11603713380934606"/>
    <n v="963700000"/>
  </r>
  <r>
    <x v="56"/>
    <n v="3"/>
    <n v="2015"/>
    <x v="3"/>
    <n v="8023200000"/>
    <n v="6320100000"/>
    <n v="763400000"/>
    <n v="0"/>
    <n v="0"/>
    <s v="Consumer Discretionary"/>
    <s v="Auto Parts &amp; Equipment"/>
    <n v="0.21227191145677538"/>
    <n v="1703100000"/>
    <n v="0.11712284375311596"/>
    <n v="939700000"/>
  </r>
  <r>
    <x v="56"/>
    <n v="4"/>
    <n v="2016"/>
    <x v="12"/>
    <n v="9071000000"/>
    <n v="7137900000"/>
    <n v="1707200000"/>
    <n v="0"/>
    <n v="0"/>
    <s v="Consumer Discretionary"/>
    <s v="Auto Parts &amp; Equipment"/>
    <n v="0.21310770587586814"/>
    <n v="1933100000"/>
    <n v="2.4903538749862199E-2"/>
    <n v="225900000"/>
  </r>
  <r>
    <x v="57"/>
    <n v="1"/>
    <n v="2012"/>
    <x v="0"/>
    <n v="1847186000"/>
    <n v="667208000"/>
    <n v="93782000"/>
    <n v="0"/>
    <n v="445875000"/>
    <s v="Real Estate"/>
    <s v="REITs"/>
    <n v="0.6387976089034888"/>
    <n v="1179978000"/>
    <n v="0.34664673725331396"/>
    <n v="640321000"/>
  </r>
  <r>
    <x v="57"/>
    <n v="2"/>
    <n v="2013"/>
    <x v="1"/>
    <n v="2135539000"/>
    <n v="771403000"/>
    <n v="117073000"/>
    <n v="0"/>
    <n v="560637000"/>
    <s v="Real Estate"/>
    <s v="REITs"/>
    <n v="0.63877831310971134"/>
    <n v="1364136000"/>
    <n v="0.3214298591596782"/>
    <n v="686426000"/>
  </r>
  <r>
    <x v="57"/>
    <n v="3"/>
    <n v="2014"/>
    <x v="2"/>
    <n v="2396998000"/>
    <n v="864526000"/>
    <n v="102077000"/>
    <n v="0"/>
    <n v="628573000"/>
    <s v="Real Estate"/>
    <s v="REITs"/>
    <n v="0.63932969489336244"/>
    <n v="1532472000"/>
    <n v="0.33451091740585515"/>
    <n v="801822000"/>
  </r>
  <r>
    <x v="57"/>
    <n v="4"/>
    <n v="2015"/>
    <x v="3"/>
    <n v="2490821000"/>
    <n v="904336000"/>
    <n v="97578000"/>
    <n v="0"/>
    <n v="639542000"/>
    <s v="Real Estate"/>
    <s v="REITs"/>
    <n v="0.63693256159314537"/>
    <n v="1586485000"/>
    <n v="0.34099800828722737"/>
    <n v="849365000"/>
  </r>
  <r>
    <x v="58"/>
    <n v="1"/>
    <n v="2013"/>
    <x v="53"/>
    <n v="13469300000"/>
    <n v="10104400000"/>
    <n v="2065900000"/>
    <n v="0"/>
    <n v="0"/>
    <s v="Consumer Staples"/>
    <s v="Packaged Foods &amp; Meats"/>
    <n v="0.24981996094823045"/>
    <n v="3364900000"/>
    <n v="9.6441537422137749E-2"/>
    <n v="1299000000"/>
  </r>
  <r>
    <x v="58"/>
    <n v="2"/>
    <n v="2014"/>
    <x v="54"/>
    <n v="11838200000"/>
    <n v="8910800000"/>
    <n v="1778900000"/>
    <n v="0"/>
    <n v="0"/>
    <s v="Consumer Staples"/>
    <s v="Packaged Foods &amp; Meats"/>
    <n v="0.24728421550573565"/>
    <n v="2927400000"/>
    <n v="9.7016438309878189E-2"/>
    <n v="1148500000"/>
  </r>
  <r>
    <x v="58"/>
    <n v="3"/>
    <n v="2015"/>
    <x v="55"/>
    <n v="11937000000"/>
    <n v="9061400000"/>
    <n v="1545300000"/>
    <n v="0"/>
    <n v="0"/>
    <s v="Consumer Staples"/>
    <s v="Packaged Foods &amp; Meats"/>
    <n v="0.24089804808578374"/>
    <n v="2875600000"/>
    <n v="0.1114434112423557"/>
    <n v="1330300000"/>
  </r>
  <r>
    <x v="58"/>
    <n v="4"/>
    <n v="2016"/>
    <x v="56"/>
    <n v="11642900000"/>
    <n v="8552100000"/>
    <n v="2209400000"/>
    <n v="0"/>
    <n v="0"/>
    <s v="Consumer Staples"/>
    <s v="Packaged Foods &amp; Meats"/>
    <n v="0.26546650748524847"/>
    <n v="3090800000"/>
    <n v="7.570278882409022E-2"/>
    <n v="881400000"/>
  </r>
  <r>
    <x v="59"/>
    <n v="1"/>
    <n v="2013"/>
    <x v="29"/>
    <n v="1287577000"/>
    <n v="1073447000"/>
    <n v="174085000"/>
    <n v="0"/>
    <n v="12784000"/>
    <s v="Financials"/>
    <s v="Banks"/>
    <n v="0.16630461712192746"/>
    <n v="214130000"/>
    <n v="2.1172326004580695E-2"/>
    <n v="27261000"/>
  </r>
  <r>
    <x v="59"/>
    <n v="2"/>
    <n v="2014"/>
    <x v="30"/>
    <n v="1463767000"/>
    <n v="1200308000"/>
    <n v="194491000"/>
    <n v="0"/>
    <n v="13279000"/>
    <s v="Financials"/>
    <s v="Banks"/>
    <n v="0.17998697880195413"/>
    <n v="263459000"/>
    <n v="3.8044989400635484E-2"/>
    <n v="55689000"/>
  </r>
  <r>
    <x v="59"/>
    <n v="3"/>
    <n v="2015"/>
    <x v="31"/>
    <n v="1627413000"/>
    <n v="1354969000"/>
    <n v="207519000"/>
    <n v="0"/>
    <n v="13338000"/>
    <s v="Financials"/>
    <s v="Banks"/>
    <n v="0.16740925628589665"/>
    <n v="272444000"/>
    <n v="3.1698775909987202E-2"/>
    <n v="51587000"/>
  </r>
  <r>
    <x v="59"/>
    <n v="4"/>
    <n v="2016"/>
    <x v="32"/>
    <n v="1822114000"/>
    <n v="1524907000"/>
    <n v="224088000"/>
    <n v="0"/>
    <n v="13794000"/>
    <s v="Financials"/>
    <s v="Banks"/>
    <n v="0.16311108964642174"/>
    <n v="297207000"/>
    <n v="3.2558336086545625E-2"/>
    <n v="59325000"/>
  </r>
  <r>
    <x v="60"/>
    <n v="1"/>
    <n v="2013"/>
    <x v="1"/>
    <n v="55656000000"/>
    <n v="41454000000"/>
    <n v="6528000000"/>
    <n v="2046000000"/>
    <n v="0"/>
    <s v="Industrials"/>
    <s v="Construction &amp; Farm Machinery &amp; Heavy Trucks"/>
    <n v="0.25517464424320824"/>
    <n v="14202000000"/>
    <n v="0.10112117291936179"/>
    <n v="5628000000"/>
  </r>
  <r>
    <x v="60"/>
    <n v="2"/>
    <n v="2014"/>
    <x v="2"/>
    <n v="55184000000"/>
    <n v="41342000000"/>
    <n v="8148000000"/>
    <n v="2380000000"/>
    <n v="0"/>
    <s v="Industrials"/>
    <s v="Construction &amp; Farm Machinery &amp; Heavy Trucks"/>
    <n v="0.25083357494926062"/>
    <n v="13842000000"/>
    <n v="6.0053638735865465E-2"/>
    <n v="3314000000"/>
  </r>
  <r>
    <x v="60"/>
    <n v="3"/>
    <n v="2015"/>
    <x v="3"/>
    <n v="47011000000"/>
    <n v="34133000000"/>
    <n v="6974000000"/>
    <n v="2119000000"/>
    <n v="0"/>
    <s v="Industrials"/>
    <s v="Construction &amp; Farm Machinery &amp; Heavy Trucks"/>
    <n v="0.27393588734551488"/>
    <n v="12878000000"/>
    <n v="8.0513071408819206E-2"/>
    <n v="3785000000"/>
  </r>
  <r>
    <x v="60"/>
    <n v="4"/>
    <n v="2016"/>
    <x v="12"/>
    <n v="38537000000"/>
    <n v="28905000000"/>
    <n v="6588000000"/>
    <n v="1951000000"/>
    <n v="0"/>
    <s v="Industrials"/>
    <s v="Construction &amp; Farm Machinery &amp; Heavy Trucks"/>
    <n v="0.2499416145522485"/>
    <n v="9632000000"/>
    <n v="2.8362353063289825E-2"/>
    <n v="1093000000"/>
  </r>
  <r>
    <x v="61"/>
    <n v="1"/>
    <n v="2012"/>
    <x v="0"/>
    <n v="7810610000"/>
    <n v="7479746000"/>
    <n v="360586000"/>
    <n v="0"/>
    <n v="116388000"/>
    <s v="Financials"/>
    <s v="Multi-Sector Holdings"/>
    <n v="4.2360839934396877E-2"/>
    <n v="330864000"/>
    <n v="-1.8706605502003044E-2"/>
    <n v="-146110000"/>
  </r>
  <r>
    <x v="61"/>
    <n v="2"/>
    <n v="2013"/>
    <x v="1"/>
    <n v="9531778000"/>
    <n v="7567707000"/>
    <n v="2177616000"/>
    <n v="0"/>
    <n v="167425000"/>
    <s v="Financials"/>
    <s v="Multi-Sector Holdings"/>
    <n v="0.20605505079954656"/>
    <n v="1964071000"/>
    <n v="-3.9968408832014343E-2"/>
    <n v="-380970000"/>
  </r>
  <r>
    <x v="61"/>
    <n v="3"/>
    <n v="2014"/>
    <x v="2"/>
    <n v="10681897000"/>
    <n v="8024286000"/>
    <n v="2856642000"/>
    <n v="0"/>
    <n v="185993000"/>
    <s v="Financials"/>
    <s v="Multi-Sector Holdings"/>
    <n v="0.24879578973659833"/>
    <n v="2657611000"/>
    <n v="-3.6044534037353103E-2"/>
    <n v="-385024000"/>
  </r>
  <r>
    <x v="61"/>
    <n v="4"/>
    <n v="2015"/>
    <x v="3"/>
    <n v="10116502000"/>
    <n v="7677233000"/>
    <n v="2620072000"/>
    <n v="0"/>
    <n v="224133000"/>
    <s v="Financials"/>
    <s v="Multi-Sector Holdings"/>
    <n v="0.24111782906779433"/>
    <n v="2439269000"/>
    <n v="-4.0027274249538031E-2"/>
    <n v="-404936000"/>
  </r>
  <r>
    <x v="62"/>
    <n v="1"/>
    <n v="2012"/>
    <x v="0"/>
    <n v="6514099000"/>
    <n v="5745428000"/>
    <n v="0"/>
    <n v="0"/>
    <n v="169645000"/>
    <s v="Real Estate"/>
    <s v="Real Estate Services"/>
    <n v="0.11800112340939251"/>
    <n v="768671000"/>
    <n v="9.1958381350974241E-2"/>
    <n v="599026000"/>
  </r>
  <r>
    <x v="62"/>
    <n v="2"/>
    <n v="2013"/>
    <x v="1"/>
    <n v="7184794000"/>
    <n v="6293699000"/>
    <n v="0"/>
    <n v="0"/>
    <n v="190390000"/>
    <s v="Real Estate"/>
    <s v="Real Estate Services"/>
    <n v="0.12402512862581727"/>
    <n v="891095000"/>
    <n v="9.7526108612160628E-2"/>
    <n v="700705000"/>
  </r>
  <r>
    <x v="62"/>
    <n v="3"/>
    <n v="2014"/>
    <x v="2"/>
    <n v="9049918000"/>
    <n v="8050222000"/>
    <n v="0"/>
    <n v="0"/>
    <n v="265101000"/>
    <s v="Real Estate"/>
    <s v="Real Estate Services"/>
    <n v="0.11046464730398664"/>
    <n v="999696000"/>
    <n v="8.1171453708199351E-2"/>
    <n v="734595000"/>
  </r>
  <r>
    <x v="62"/>
    <n v="4"/>
    <n v="2015"/>
    <x v="3"/>
    <n v="10855810000"/>
    <n v="9716541000"/>
    <n v="0"/>
    <n v="0"/>
    <n v="314096000"/>
    <s v="Real Estate"/>
    <s v="Real Estate Services"/>
    <n v="0.10494555450030907"/>
    <n v="1139269000"/>
    <n v="7.6012107802181511E-2"/>
    <n v="825173000"/>
  </r>
  <r>
    <x v="63"/>
    <n v="1"/>
    <n v="2012"/>
    <x v="0"/>
    <n v="2432680000"/>
    <n v="728989000"/>
    <n v="212572000"/>
    <n v="0"/>
    <n v="622592000"/>
    <s v="Real Estate"/>
    <s v="REITs"/>
    <n v="0.70033502145781612"/>
    <n v="1703691000"/>
    <n v="0.35702476281302925"/>
    <n v="868527000"/>
  </r>
  <r>
    <x v="63"/>
    <n v="2"/>
    <n v="2013"/>
    <x v="1"/>
    <n v="2865751000"/>
    <n v="991017000"/>
    <n v="213519000"/>
    <n v="0"/>
    <n v="741342000"/>
    <s v="Real Estate"/>
    <s v="REITs"/>
    <n v="0.65418593590301466"/>
    <n v="1874734000"/>
    <n v="0.32098845991853442"/>
    <n v="919873000"/>
  </r>
  <r>
    <x v="63"/>
    <n v="3"/>
    <n v="2014"/>
    <x v="2"/>
    <n v="3538756000"/>
    <n v="1306606000"/>
    <n v="257296000"/>
    <n v="0"/>
    <n v="985781000"/>
    <s v="Real Estate"/>
    <s v="REITs"/>
    <n v="0.63077250875731472"/>
    <n v="2232150000"/>
    <n v="0.2794973713926589"/>
    <n v="989073000"/>
  </r>
  <r>
    <x v="63"/>
    <n v="4"/>
    <n v="2015"/>
    <x v="3"/>
    <n v="3663851000"/>
    <n v="1321426000"/>
    <n v="310921000"/>
    <n v="0"/>
    <n v="1036178000"/>
    <s v="Real Estate"/>
    <s v="REITs"/>
    <n v="0.6393341323105115"/>
    <n v="2342425000"/>
    <n v="0.27166115652628886"/>
    <n v="995326000"/>
  </r>
  <r>
    <x v="64"/>
    <n v="1"/>
    <n v="2013"/>
    <x v="57"/>
    <n v="15456000000"/>
    <n v="10645000000"/>
    <n v="1879000000"/>
    <n v="0"/>
    <n v="1590000000"/>
    <s v="Consumer Discretionary"/>
    <s v="Hotels, Resorts &amp; Cruise Lines"/>
    <n v="0.31127070393374745"/>
    <n v="4811000000"/>
    <n v="8.6827122153209105E-2"/>
    <n v="1342000000"/>
  </r>
  <r>
    <x v="64"/>
    <n v="2"/>
    <n v="2014"/>
    <x v="58"/>
    <n v="15884000000"/>
    <n v="10421000000"/>
    <n v="2054000000"/>
    <n v="0"/>
    <n v="1637000000"/>
    <s v="Consumer Discretionary"/>
    <s v="Hotels, Resorts &amp; Cruise Lines"/>
    <n v="0.34393099974817432"/>
    <n v="5463000000"/>
    <n v="0.11155880130949383"/>
    <n v="1772000000"/>
  </r>
  <r>
    <x v="64"/>
    <n v="3"/>
    <n v="2015"/>
    <x v="59"/>
    <n v="15714000000"/>
    <n v="9447000000"/>
    <n v="2067000000"/>
    <n v="0"/>
    <n v="1626000000"/>
    <s v="Consumer Discretionary"/>
    <s v="Hotels, Resorts &amp; Cruise Lines"/>
    <n v="0.39881634211531114"/>
    <n v="6267000000"/>
    <n v="0.16380297823596793"/>
    <n v="2574000000"/>
  </r>
  <r>
    <x v="64"/>
    <n v="4"/>
    <n v="2016"/>
    <x v="60"/>
    <n v="16389000000"/>
    <n v="9383000000"/>
    <n v="2197000000"/>
    <n v="0"/>
    <n v="1738000000"/>
    <s v="Consumer Discretionary"/>
    <s v="Hotels, Resorts &amp; Cruise Lines"/>
    <n v="0.42748184758069441"/>
    <n v="7006000000"/>
    <n v="0.18738178046250534"/>
    <n v="3071000000"/>
  </r>
  <r>
    <x v="65"/>
    <n v="1"/>
    <n v="2012"/>
    <x v="0"/>
    <n v="2730300000"/>
    <n v="795000000"/>
    <n v="752200000"/>
    <n v="0"/>
    <n v="93500000"/>
    <s v="Financials"/>
    <s v="Diversified Financial Services"/>
    <n v="0.70882320624107242"/>
    <n v="1935300000"/>
    <n v="0.39907702450280191"/>
    <n v="1089600000"/>
  </r>
  <r>
    <x v="65"/>
    <n v="2"/>
    <n v="2013"/>
    <x v="1"/>
    <n v="2972500000"/>
    <n v="822400000"/>
    <n v="822100000"/>
    <n v="0"/>
    <n v="93400000"/>
    <s v="Financials"/>
    <s v="Diversified Financial Services"/>
    <n v="0.72333052985702273"/>
    <n v="2150100000"/>
    <n v="0.41534062237174096"/>
    <n v="1234600000"/>
  </r>
  <r>
    <x v="65"/>
    <n v="3"/>
    <n v="2014"/>
    <x v="2"/>
    <n v="3334300000"/>
    <n v="930300000"/>
    <n v="869300000"/>
    <n v="0"/>
    <n v="95600000"/>
    <s v="Financials"/>
    <s v="Diversified Financial Services"/>
    <n v="0.72099091263533577"/>
    <n v="2404000000"/>
    <n v="0.43160483459796661"/>
    <n v="1439100000"/>
  </r>
  <r>
    <x v="65"/>
    <n v="4"/>
    <n v="2015"/>
    <x v="3"/>
    <n v="3484500000"/>
    <n v="976300000"/>
    <n v="921300000"/>
    <n v="0"/>
    <n v="113500000"/>
    <s v="Financials"/>
    <s v="Diversified Financial Services"/>
    <n v="0.71981632945903284"/>
    <n v="2508200000"/>
    <n v="0.42284402353278805"/>
    <n v="1473400000"/>
  </r>
  <r>
    <x v="66"/>
    <n v="1"/>
    <n v="2012"/>
    <x v="0"/>
    <n v="68150000000"/>
    <n v="37987000000"/>
    <n v="9098000000"/>
    <n v="0"/>
    <n v="17755000000"/>
    <s v="Financials"/>
    <s v="Life &amp; Health Insurance"/>
    <n v="0.44259721203228175"/>
    <n v="30163000000"/>
    <n v="4.8569332355099047E-2"/>
    <n v="3310000000"/>
  </r>
  <r>
    <x v="66"/>
    <n v="2"/>
    <n v="2013"/>
    <x v="1"/>
    <n v="68199000000"/>
    <n v="38107000000"/>
    <n v="9438000000"/>
    <n v="0"/>
    <n v="16602000000"/>
    <s v="Financials"/>
    <s v="Life &amp; Health Insurance"/>
    <n v="0.44123814132172023"/>
    <n v="30092000000"/>
    <n v="5.9414360914382909E-2"/>
    <n v="4052000000"/>
  </r>
  <r>
    <x v="66"/>
    <n v="3"/>
    <n v="2014"/>
    <x v="2"/>
    <n v="73316000000"/>
    <n v="39102000000"/>
    <n v="8319000000"/>
    <n v="0"/>
    <n v="17091000000"/>
    <s v="Financials"/>
    <s v="Life &amp; Health Insurance"/>
    <n v="0.46666484805499486"/>
    <n v="34214000000"/>
    <n v="0.12008292869223634"/>
    <n v="8804000000"/>
  </r>
  <r>
    <x v="66"/>
    <n v="4"/>
    <n v="2015"/>
    <x v="3"/>
    <n v="69951000000"/>
    <n v="38714000000"/>
    <n v="6998000000"/>
    <n v="0"/>
    <n v="16769000000"/>
    <s v="Financials"/>
    <s v="Life &amp; Health Insurance"/>
    <n v="0.44655544595502561"/>
    <n v="31237000000"/>
    <n v="0.10678903804091436"/>
    <n v="7470000000"/>
  </r>
  <r>
    <x v="67"/>
    <n v="1"/>
    <n v="2012"/>
    <x v="0"/>
    <n v="6104000000"/>
    <n v="2990700000"/>
    <n v="200900000"/>
    <n v="0"/>
    <n v="0"/>
    <s v="Materials"/>
    <s v="Fertilizers &amp; Agricultural Chemicals"/>
    <n v="0.51004259501965921"/>
    <n v="3113300000"/>
    <n v="0.47712975098296201"/>
    <n v="2912400000"/>
  </r>
  <r>
    <x v="67"/>
    <n v="2"/>
    <n v="2013"/>
    <x v="1"/>
    <n v="5474700000"/>
    <n v="2954500000"/>
    <n v="150200000"/>
    <n v="0"/>
    <n v="0"/>
    <s v="Materials"/>
    <s v="Fertilizers &amp; Agricultural Chemicals"/>
    <n v="0.46033572615851093"/>
    <n v="2520200000"/>
    <n v="0.4329004329004329"/>
    <n v="2370000000"/>
  </r>
  <r>
    <x v="67"/>
    <n v="3"/>
    <n v="2014"/>
    <x v="2"/>
    <n v="4743200000"/>
    <n v="2964700000"/>
    <n v="205200000"/>
    <n v="0"/>
    <n v="0"/>
    <s v="Materials"/>
    <s v="Fertilizers &amp; Agricultural Chemicals"/>
    <n v="0.37495783437341879"/>
    <n v="1778500000"/>
    <n v="0.33169590150109629"/>
    <n v="1573300000"/>
  </r>
  <r>
    <x v="67"/>
    <n v="4"/>
    <n v="2015"/>
    <x v="3"/>
    <n v="4308300000"/>
    <n v="2761200000"/>
    <n v="319000000"/>
    <n v="0"/>
    <n v="0"/>
    <s v="Materials"/>
    <s v="Fertilizers &amp; Agricultural Chemicals"/>
    <n v="0.35909755588050973"/>
    <n v="1547100000"/>
    <n v="0.2850544298215073"/>
    <n v="1228100000"/>
  </r>
  <r>
    <x v="68"/>
    <n v="1"/>
    <n v="2012"/>
    <x v="0"/>
    <n v="11924000000"/>
    <n v="0"/>
    <n v="7134000000"/>
    <n v="0"/>
    <n v="2961000000"/>
    <s v="Financials"/>
    <s v="Insurance Brokers"/>
    <n v="1"/>
    <n v="11924000000"/>
    <n v="0.15338812479033881"/>
    <n v="1829000000"/>
  </r>
  <r>
    <x v="68"/>
    <n v="2"/>
    <n v="2013"/>
    <x v="1"/>
    <n v="12261000000"/>
    <n v="0"/>
    <n v="7226000000"/>
    <n v="0"/>
    <n v="2958000000"/>
    <s v="Financials"/>
    <s v="Insurance Brokers"/>
    <n v="1"/>
    <n v="12261000000"/>
    <n v="0.16939890710382513"/>
    <n v="2077000000"/>
  </r>
  <r>
    <x v="68"/>
    <n v="3"/>
    <n v="2014"/>
    <x v="2"/>
    <n v="12951000000"/>
    <n v="0"/>
    <n v="7515000000"/>
    <n v="0"/>
    <n v="3135000000"/>
    <s v="Financials"/>
    <s v="Insurance Brokers"/>
    <n v="1"/>
    <n v="12951000000"/>
    <n v="0.17766967801714154"/>
    <n v="2301000000"/>
  </r>
  <r>
    <x v="68"/>
    <n v="4"/>
    <n v="2015"/>
    <x v="3"/>
    <n v="12893000000"/>
    <n v="0"/>
    <n v="7334000000"/>
    <n v="0"/>
    <n v="3140000000"/>
    <s v="Financials"/>
    <s v="Insurance Brokers"/>
    <n v="1"/>
    <n v="12893000000"/>
    <n v="0.18762118979291087"/>
    <n v="2419000000"/>
  </r>
  <r>
    <x v="69"/>
    <n v="1"/>
    <n v="2012"/>
    <x v="0"/>
    <n v="2921900000"/>
    <n v="1630500000"/>
    <n v="746300000"/>
    <n v="0"/>
    <n v="0"/>
    <s v="Consumer Staples"/>
    <s v="Household Products"/>
    <n v="0.44197268900373043"/>
    <n v="1291400000"/>
    <n v="0.18655669256305829"/>
    <n v="545100000"/>
  </r>
  <r>
    <x v="69"/>
    <n v="2"/>
    <n v="2013"/>
    <x v="1"/>
    <n v="3194300000"/>
    <n v="1756300000"/>
    <n v="815800000"/>
    <n v="0"/>
    <n v="0"/>
    <s v="Consumer Staples"/>
    <s v="Household Products"/>
    <n v="0.45017687756315938"/>
    <n v="1438000000"/>
    <n v="0.19478445981905268"/>
    <n v="622200000"/>
  </r>
  <r>
    <x v="69"/>
    <n v="3"/>
    <n v="2014"/>
    <x v="2"/>
    <n v="3297600000"/>
    <n v="1844700000"/>
    <n v="811700000"/>
    <n v="0"/>
    <n v="0"/>
    <s v="Consumer Staples"/>
    <s v="Household Products"/>
    <n v="0.44059315866084425"/>
    <n v="1452900000"/>
    <n v="0.19444444444444445"/>
    <n v="641200000"/>
  </r>
  <r>
    <x v="69"/>
    <n v="4"/>
    <n v="2015"/>
    <x v="3"/>
    <n v="3394800000"/>
    <n v="1883000000"/>
    <n v="837600000"/>
    <n v="0"/>
    <n v="0"/>
    <s v="Consumer Staples"/>
    <s v="Household Products"/>
    <n v="0.44532814893366324"/>
    <n v="1511800000"/>
    <n v="0.19859785554377282"/>
    <n v="674200000"/>
  </r>
  <r>
    <x v="70"/>
    <n v="1"/>
    <n v="2012"/>
    <x v="0"/>
    <n v="12316000000"/>
    <n v="7081000000"/>
    <n v="723000000"/>
    <n v="0"/>
    <n v="2811000000"/>
    <s v="Energy"/>
    <s v="Integrated Oil &amp; Gas"/>
    <n v="0.42505683663527116"/>
    <n v="5235000000"/>
    <n v="0.13811302370899642"/>
    <n v="1701000000"/>
  </r>
  <r>
    <x v="70"/>
    <n v="2"/>
    <n v="2013"/>
    <x v="1"/>
    <n v="19080000000"/>
    <n v="12930000000"/>
    <n v="686000000"/>
    <n v="0"/>
    <n v="2903000000"/>
    <s v="Energy"/>
    <s v="Integrated Oil &amp; Gas"/>
    <n v="0.32232704402515722"/>
    <n v="6150000000"/>
    <n v="0.13422431865828091"/>
    <n v="2561000000"/>
  </r>
  <r>
    <x v="70"/>
    <n v="3"/>
    <n v="2014"/>
    <x v="2"/>
    <n v="23125000000"/>
    <n v="16049000000"/>
    <n v="554000000"/>
    <n v="0"/>
    <n v="2915000000"/>
    <s v="Energy"/>
    <s v="Integrated Oil &amp; Gas"/>
    <n v="0.30598918918918916"/>
    <n v="7076000000"/>
    <n v="0.15597837837837839"/>
    <n v="3607000000"/>
  </r>
  <r>
    <x v="70"/>
    <n v="4"/>
    <n v="2015"/>
    <x v="3"/>
    <n v="12764000000"/>
    <n v="10295000000"/>
    <n v="334000000"/>
    <n v="0"/>
    <n v="2229000000"/>
    <s v="Energy"/>
    <s v="Integrated Oil &amp; Gas"/>
    <n v="0.19343465998119713"/>
    <n v="2469000000"/>
    <n v="-7.3644625509244749E-3"/>
    <n v="-94000000"/>
  </r>
  <r>
    <x v="71"/>
    <n v="1"/>
    <n v="2012"/>
    <x v="0"/>
    <n v="11359113000"/>
    <n v="9641542000"/>
    <n v="1042251000"/>
    <n v="0"/>
    <n v="0"/>
    <s v="Industrials"/>
    <s v="Air Freight &amp; Logistics"/>
    <n v="0.15120643662933897"/>
    <n v="1717571000"/>
    <n v="5.9451825155714184E-2"/>
    <n v="675320000"/>
  </r>
  <r>
    <x v="71"/>
    <n v="2"/>
    <n v="2013"/>
    <x v="1"/>
    <n v="12752076000"/>
    <n v="10915981000"/>
    <n v="1153445000"/>
    <n v="0"/>
    <n v="0"/>
    <s v="Industrials"/>
    <s v="Air Freight &amp; Logistics"/>
    <n v="0.14398400699619418"/>
    <n v="1836095000"/>
    <n v="5.3532460126492348E-2"/>
    <n v="682650000"/>
  </r>
  <r>
    <x v="71"/>
    <n v="3"/>
    <n v="2014"/>
    <x v="2"/>
    <n v="13470067000"/>
    <n v="11462415000"/>
    <n v="1259234000"/>
    <n v="0"/>
    <n v="0"/>
    <s v="Industrials"/>
    <s v="Air Freight &amp; Logistics"/>
    <n v="0.14904543533450876"/>
    <n v="2007652000"/>
    <n v="5.5561564764302955E-2"/>
    <n v="748418000"/>
  </r>
  <r>
    <x v="71"/>
    <n v="4"/>
    <n v="2015"/>
    <x v="3"/>
    <n v="13476084000"/>
    <n v="11207604000"/>
    <n v="1410170000"/>
    <n v="0"/>
    <n v="0"/>
    <s v="Industrials"/>
    <s v="Air Freight &amp; Logistics"/>
    <n v="0.16833376817775847"/>
    <n v="2268480000"/>
    <n v="6.36913512857296E-2"/>
    <n v="858310000"/>
  </r>
  <r>
    <x v="72"/>
    <n v="1"/>
    <n v="2013"/>
    <x v="1"/>
    <n v="8155000000"/>
    <n v="5345000000"/>
    <n v="47000000"/>
    <n v="0"/>
    <n v="1854000000"/>
    <s v="Consumer Discretionary"/>
    <s v="Cable &amp; Satellite"/>
    <n v="0.34457388105456777"/>
    <n v="2810000000"/>
    <n v="0.1114653586756591"/>
    <n v="909000000"/>
  </r>
  <r>
    <x v="72"/>
    <n v="2"/>
    <n v="2014"/>
    <x v="2"/>
    <n v="9108000000"/>
    <n v="5973000000"/>
    <n v="62000000"/>
    <n v="0"/>
    <n v="2102000000"/>
    <s v="Consumer Discretionary"/>
    <s v="Cable &amp; Satellite"/>
    <n v="0.34420289855072461"/>
    <n v="3135000000"/>
    <n v="0.10660957400087835"/>
    <n v="971000000"/>
  </r>
  <r>
    <x v="72"/>
    <n v="3"/>
    <n v="2015"/>
    <x v="3"/>
    <n v="9754000000"/>
    <n v="6426000000"/>
    <n v="89000000"/>
    <n v="0"/>
    <n v="2125000000"/>
    <s v="Consumer Discretionary"/>
    <s v="Cable &amp; Satellite"/>
    <n v="0.34119335657166294"/>
    <n v="3328000000"/>
    <n v="0.11420955505433668"/>
    <n v="1114000000"/>
  </r>
  <r>
    <x v="72"/>
    <n v="4"/>
    <n v="2016"/>
    <x v="12"/>
    <n v="29003000000"/>
    <n v="18655000000"/>
    <n v="86000000"/>
    <n v="0"/>
    <n v="6907000000"/>
    <s v="Consumer Discretionary"/>
    <s v="Cable &amp; Satellite"/>
    <n v="0.3567906768265352"/>
    <n v="10348000000"/>
    <n v="0.11567768851498121"/>
    <n v="3355000000"/>
  </r>
  <r>
    <x v="73"/>
    <n v="1"/>
    <n v="2012"/>
    <x v="0"/>
    <n v="4608955000"/>
    <n v="116586000"/>
    <n v="2448629000"/>
    <n v="0"/>
    <n v="264631000"/>
    <s v="Financials"/>
    <s v="Banks"/>
    <n v="0.97470446120649912"/>
    <n v="4492369000"/>
    <n v="0.38601136266246905"/>
    <n v="1779109000"/>
  </r>
  <r>
    <x v="73"/>
    <n v="2"/>
    <n v="2013"/>
    <x v="1"/>
    <n v="4822539000"/>
    <n v="83692000"/>
    <n v="2540954000"/>
    <n v="0"/>
    <n v="231912000"/>
    <s v="Financials"/>
    <s v="Banks"/>
    <n v="0.98264565615747224"/>
    <n v="4738847000"/>
    <n v="0.40766513241261504"/>
    <n v="1965981000"/>
  </r>
  <r>
    <x v="73"/>
    <n v="3"/>
    <n v="2014"/>
    <x v="2"/>
    <n v="4736150000"/>
    <n v="63083000"/>
    <n v="2655650000"/>
    <n v="0"/>
    <n v="157824000"/>
    <s v="Financials"/>
    <s v="Banks"/>
    <n v="0.98668053165545855"/>
    <n v="4673067000"/>
    <n v="0.39263811323543385"/>
    <n v="1859593000"/>
  </r>
  <r>
    <x v="73"/>
    <n v="4"/>
    <n v="2015"/>
    <x v="3"/>
    <n v="4995881000"/>
    <n v="73814000"/>
    <n v="2796508000"/>
    <n v="0"/>
    <n v="196424000"/>
    <s v="Financials"/>
    <s v="Banks"/>
    <n v="0.98522502837837811"/>
    <n v="4922067000"/>
    <n v="0.38614510633860172"/>
    <n v="1929135000"/>
  </r>
  <r>
    <x v="74"/>
    <n v="1"/>
    <n v="2012"/>
    <x v="0"/>
    <n v="3023000000"/>
    <n v="1446000000"/>
    <n v="832000000"/>
    <n v="0"/>
    <n v="104000000"/>
    <s v="Financials"/>
    <s v="Diversified Financial Services"/>
    <n v="0.52166721799536886"/>
    <n v="1577000000"/>
    <n v="0.2120410188554416"/>
    <n v="641000000"/>
  </r>
  <r>
    <x v="74"/>
    <n v="2"/>
    <n v="2013"/>
    <x v="1"/>
    <n v="3100000000"/>
    <n v="1316000000"/>
    <n v="1054000000"/>
    <n v="0"/>
    <n v="122000000"/>
    <s v="Financials"/>
    <s v="Diversified Financial Services"/>
    <n v="0.5754838709677419"/>
    <n v="1784000000"/>
    <n v="0.19612903225806452"/>
    <n v="608000000"/>
  </r>
  <r>
    <x v="74"/>
    <n v="3"/>
    <n v="2014"/>
    <x v="2"/>
    <n v="3383000000"/>
    <n v="1433000000"/>
    <n v="1095000000"/>
    <n v="0"/>
    <n v="137000000"/>
    <s v="Financials"/>
    <s v="Diversified Financial Services"/>
    <n v="0.57641146911025709"/>
    <n v="1950000000"/>
    <n v="0.21223765888264853"/>
    <n v="718000000"/>
  </r>
  <r>
    <x v="74"/>
    <n v="4"/>
    <n v="2015"/>
    <x v="3"/>
    <n v="3292000000"/>
    <n v="1313000000"/>
    <n v="1050000000"/>
    <n v="0"/>
    <n v="138000000"/>
    <s v="Financials"/>
    <s v="Diversified Financial Services"/>
    <n v="0.6011543134872418"/>
    <n v="1979000000"/>
    <n v="0.24027946537059539"/>
    <n v="791000000"/>
  </r>
  <r>
    <x v="75"/>
    <n v="1"/>
    <n v="2012"/>
    <x v="0"/>
    <n v="17085000000"/>
    <n v="7153000000"/>
    <n v="6043000000"/>
    <n v="0"/>
    <n v="0"/>
    <s v="Consumer Staples"/>
    <s v="Household Products"/>
    <n v="0.58132865086333041"/>
    <n v="9932000000"/>
    <n v="0.2276265730172666"/>
    <n v="3889000000"/>
  </r>
  <r>
    <x v="75"/>
    <n v="2"/>
    <n v="2013"/>
    <x v="1"/>
    <n v="17420000000"/>
    <n v="7219000000"/>
    <n v="6645000000"/>
    <n v="0"/>
    <n v="0"/>
    <s v="Consumer Staples"/>
    <s v="Household Products"/>
    <n v="0.58559127439724457"/>
    <n v="10201000000"/>
    <n v="0.20413318025258323"/>
    <n v="3556000000"/>
  </r>
  <r>
    <x v="75"/>
    <n v="3"/>
    <n v="2014"/>
    <x v="2"/>
    <n v="17277000000"/>
    <n v="7168000000"/>
    <n v="6552000000"/>
    <n v="0"/>
    <n v="0"/>
    <s v="Consumer Staples"/>
    <s v="Household Products"/>
    <n v="0.58511315621925108"/>
    <n v="10109000000"/>
    <n v="0.20588065057591018"/>
    <n v="3557000000"/>
  </r>
  <r>
    <x v="75"/>
    <n v="4"/>
    <n v="2015"/>
    <x v="3"/>
    <n v="16034000000"/>
    <n v="6635000000"/>
    <n v="6610000000"/>
    <n v="0"/>
    <n v="0"/>
    <s v="Consumer Staples"/>
    <s v="Household Products"/>
    <n v="0.58619184233503807"/>
    <n v="9399000000"/>
    <n v="0.17394287139827866"/>
    <n v="2789000000"/>
  </r>
  <r>
    <x v="76"/>
    <n v="1"/>
    <n v="2013"/>
    <x v="61"/>
    <n v="5533000000"/>
    <n v="3142000000"/>
    <n v="1291000000"/>
    <n v="130000000"/>
    <n v="0"/>
    <s v="Consumer Staples"/>
    <s v="Household Products"/>
    <n v="0.43213446593168259"/>
    <n v="2391000000"/>
    <n v="0.17531176576902224"/>
    <n v="970000000"/>
  </r>
  <r>
    <x v="76"/>
    <n v="2"/>
    <n v="2014"/>
    <x v="62"/>
    <n v="5514000000"/>
    <n v="3158000000"/>
    <n v="1254000000"/>
    <n v="125000000"/>
    <n v="0"/>
    <s v="Consumer Staples"/>
    <s v="Household Products"/>
    <n v="0.42727602466449044"/>
    <n v="2356000000"/>
    <n v="0.17718534639100472"/>
    <n v="977000000"/>
  </r>
  <r>
    <x v="76"/>
    <n v="3"/>
    <n v="2015"/>
    <x v="63"/>
    <n v="5655000000"/>
    <n v="3190000000"/>
    <n v="1321000000"/>
    <n v="136000000"/>
    <n v="0"/>
    <s v="Consumer Staples"/>
    <s v="Household Products"/>
    <n v="0.4358974358974359"/>
    <n v="2465000000"/>
    <n v="0.17824933687002653"/>
    <n v="1008000000"/>
  </r>
  <r>
    <x v="76"/>
    <n v="4"/>
    <n v="2016"/>
    <x v="64"/>
    <n v="5761000000"/>
    <n v="3163000000"/>
    <n v="1393000000"/>
    <n v="141000000"/>
    <n v="0"/>
    <s v="Consumer Staples"/>
    <s v="Household Products"/>
    <n v="0.45096337441416423"/>
    <n v="2598000000"/>
    <n v="0.18469015795868773"/>
    <n v="1064000000"/>
  </r>
  <r>
    <x v="77"/>
    <n v="1"/>
    <n v="2012"/>
    <x v="0"/>
    <n v="1355300000"/>
    <n v="90800000"/>
    <n v="803800000"/>
    <n v="0"/>
    <n v="76000000"/>
    <s v="Financials"/>
    <s v="Thrifts &amp; Mortgage Finance"/>
    <n v="0.93300376300450083"/>
    <n v="1264500000"/>
    <n v="0.28384859440714233"/>
    <n v="384700000"/>
  </r>
  <r>
    <x v="77"/>
    <n v="2"/>
    <n v="2013"/>
    <x v="1"/>
    <n v="1346100000"/>
    <n v="81100000"/>
    <n v="812800000"/>
    <n v="0"/>
    <n v="69900000"/>
    <s v="Financials"/>
    <s v="Thrifts &amp; Mortgage Finance"/>
    <n v="0.93975187578931729"/>
    <n v="1265000000"/>
    <n v="0.28400564594012334"/>
    <n v="382300000"/>
  </r>
  <r>
    <x v="77"/>
    <n v="3"/>
    <n v="2014"/>
    <x v="2"/>
    <n v="1381400000"/>
    <n v="80900000"/>
    <n v="816700000"/>
    <n v="0"/>
    <n v="65400000"/>
    <s v="Financials"/>
    <s v="Thrifts &amp; Mortgage Finance"/>
    <n v="0.94143622412045747"/>
    <n v="1300500000"/>
    <n v="0.30288113508035325"/>
    <n v="418400000"/>
  </r>
  <r>
    <x v="77"/>
    <n v="4"/>
    <n v="2015"/>
    <x v="3"/>
    <n v="1421300000"/>
    <n v="95500000"/>
    <n v="836700000"/>
    <n v="0"/>
    <n v="57300000"/>
    <s v="Financials"/>
    <s v="Thrifts &amp; Mortgage Finance"/>
    <n v="0.93280799268275527"/>
    <n v="1325800000"/>
    <n v="0.30380637444592978"/>
    <n v="431800000"/>
  </r>
  <r>
    <x v="78"/>
    <n v="1"/>
    <n v="2013"/>
    <x v="1"/>
    <n v="3214591000"/>
    <n v="2359822000"/>
    <n v="203733000"/>
    <n v="0"/>
    <n v="96054000"/>
    <s v="Consumer Discretionary"/>
    <s v="Restaurants"/>
    <n v="0.26590287846883165"/>
    <n v="854769000"/>
    <n v="0.1726446692596352"/>
    <n v="554982000"/>
  </r>
  <r>
    <x v="78"/>
    <n v="2"/>
    <n v="2014"/>
    <x v="2"/>
    <n v="4108269000"/>
    <n v="2990513000"/>
    <n v="273897000"/>
    <n v="0"/>
    <n v="110474000"/>
    <s v="Consumer Discretionary"/>
    <s v="Restaurants"/>
    <n v="0.27207468644336585"/>
    <n v="1117756000"/>
    <n v="0.17851435726336323"/>
    <n v="733385000"/>
  </r>
  <r>
    <x v="78"/>
    <n v="3"/>
    <n v="2015"/>
    <x v="3"/>
    <n v="4501223000"/>
    <n v="3326936000"/>
    <n v="250214000"/>
    <n v="0"/>
    <n v="130368000"/>
    <s v="Consumer Discretionary"/>
    <s v="Restaurants"/>
    <n v="0.26088176480036651"/>
    <n v="1174287000"/>
    <n v="0.17633096605078219"/>
    <n v="793705000"/>
  </r>
  <r>
    <x v="78"/>
    <n v="4"/>
    <n v="2016"/>
    <x v="12"/>
    <n v="3904384000"/>
    <n v="3406170000"/>
    <n v="276240000"/>
    <n v="0"/>
    <n v="146368000"/>
    <s v="Consumer Discretionary"/>
    <s v="Restaurants"/>
    <n v="0.12760373979608564"/>
    <n v="498214000"/>
    <n v="1.9364386289873126E-2"/>
    <n v="75606000"/>
  </r>
  <r>
    <x v="79"/>
    <n v="1"/>
    <n v="2013"/>
    <x v="1"/>
    <n v="17301000000"/>
    <n v="13021000000"/>
    <n v="1827000000"/>
    <n v="713000000"/>
    <n v="0"/>
    <s v="Industrials"/>
    <s v="Industrial Machinery"/>
    <n v="0.24738454424599732"/>
    <n v="4280000000"/>
    <n v="0.10057222125888678"/>
    <n v="1740000000"/>
  </r>
  <r>
    <x v="79"/>
    <n v="2"/>
    <n v="2014"/>
    <x v="2"/>
    <n v="19221000000"/>
    <n v="14360000000"/>
    <n v="2112000000"/>
    <n v="754000000"/>
    <n v="0"/>
    <s v="Industrials"/>
    <s v="Industrial Machinery"/>
    <n v="0.25290047344050781"/>
    <n v="4861000000"/>
    <n v="0.10379272670516622"/>
    <n v="1995000000"/>
  </r>
  <r>
    <x v="79"/>
    <n v="3"/>
    <n v="2015"/>
    <x v="3"/>
    <n v="19110000000"/>
    <n v="14163000000"/>
    <n v="2169000000"/>
    <n v="735000000"/>
    <n v="0"/>
    <s v="Industrials"/>
    <s v="Industrial Machinery"/>
    <n v="0.25886970172684454"/>
    <n v="4947000000"/>
    <n v="0.10690737833594977"/>
    <n v="2043000000"/>
  </r>
  <r>
    <x v="79"/>
    <n v="4"/>
    <n v="2016"/>
    <x v="12"/>
    <n v="17509000000"/>
    <n v="13057000000"/>
    <n v="2189000000"/>
    <n v="636000000"/>
    <n v="0"/>
    <s v="Industrials"/>
    <s v="Industrial Machinery"/>
    <n v="0.2542692329659032"/>
    <n v="4452000000"/>
    <n v="9.2923639271231942E-2"/>
    <n v="1627000000"/>
  </r>
  <r>
    <x v="80"/>
    <n v="1"/>
    <n v="2013"/>
    <x v="1"/>
    <n v="6566000000"/>
    <n v="4562000000"/>
    <n v="234000000"/>
    <n v="0"/>
    <n v="628000000"/>
    <s v="Utilities"/>
    <s v="MultiUtilities"/>
    <n v="0.30520865062442892"/>
    <n v="2004000000"/>
    <n v="0.17392628693268353"/>
    <n v="1142000000"/>
  </r>
  <r>
    <x v="80"/>
    <n v="2"/>
    <n v="2014"/>
    <x v="2"/>
    <n v="7179000000"/>
    <n v="5090000000"/>
    <n v="252000000"/>
    <n v="0"/>
    <n v="685000000"/>
    <s v="Utilities"/>
    <s v="MultiUtilities"/>
    <n v="0.29098760273018531"/>
    <n v="2089000000"/>
    <n v="0.16046803175929794"/>
    <n v="1152000000"/>
  </r>
  <r>
    <x v="80"/>
    <n v="3"/>
    <n v="2015"/>
    <x v="3"/>
    <n v="6456000000"/>
    <n v="4281000000"/>
    <n v="262000000"/>
    <n v="0"/>
    <n v="750000000"/>
    <s v="Utilities"/>
    <s v="MultiUtilities"/>
    <n v="0.33689591078066916"/>
    <n v="2175000000"/>
    <n v="0.18014250309789342"/>
    <n v="1163000000"/>
  </r>
  <r>
    <x v="80"/>
    <n v="4"/>
    <n v="2016"/>
    <x v="12"/>
    <n v="6399000000"/>
    <n v="4010000000"/>
    <n v="281000000"/>
    <n v="0"/>
    <n v="811000000"/>
    <s v="Utilities"/>
    <s v="MultiUtilities"/>
    <n v="0.37333958431004843"/>
    <n v="2389000000"/>
    <n v="0.20268791998749805"/>
    <n v="1297000000"/>
  </r>
  <r>
    <x v="81"/>
    <n v="1"/>
    <n v="2013"/>
    <x v="1"/>
    <n v="9289500000"/>
    <n v="4683600000"/>
    <n v="189000000"/>
    <n v="0"/>
    <n v="3292900000"/>
    <s v="Financials"/>
    <s v="Diversified Financial Services"/>
    <n v="0.49581785887292107"/>
    <n v="4605900000"/>
    <n v="0.12099682437160235"/>
    <n v="1124000000"/>
  </r>
  <r>
    <x v="81"/>
    <n v="2"/>
    <n v="2014"/>
    <x v="2"/>
    <n v="10477600000"/>
    <n v="5231000000"/>
    <n v="177400000"/>
    <n v="0"/>
    <n v="3574300000"/>
    <s v="Financials"/>
    <s v="Diversified Financial Services"/>
    <n v="0.50074444529281514"/>
    <n v="5246600000"/>
    <n v="0.14267580361914942"/>
    <n v="1494900000"/>
  </r>
  <r>
    <x v="81"/>
    <n v="3"/>
    <n v="2015"/>
    <x v="3"/>
    <n v="11964400000"/>
    <n v="6697700000"/>
    <n v="163500000"/>
    <n v="0"/>
    <n v="3672400000"/>
    <s v="Financials"/>
    <s v="Diversified Financial Services"/>
    <n v="0.44019758617231119"/>
    <n v="5266700000"/>
    <n v="0.11958811139714487"/>
    <n v="1430800000"/>
  </r>
  <r>
    <x v="81"/>
    <n v="4"/>
    <n v="2016"/>
    <x v="12"/>
    <n v="12394100000"/>
    <n v="6913200000"/>
    <n v="156600000"/>
    <n v="0"/>
    <n v="3732600000"/>
    <s v="Financials"/>
    <s v="Diversified Financial Services"/>
    <n v="0.44221847491951816"/>
    <n v="5480900000"/>
    <n v="0.12842400819744879"/>
    <n v="1591700000"/>
  </r>
  <r>
    <x v="82"/>
    <n v="1"/>
    <n v="2012"/>
    <x v="0"/>
    <n v="7452000000"/>
    <n v="4747000000"/>
    <n v="365000000"/>
    <n v="0"/>
    <n v="1050000000"/>
    <s v="Utilities"/>
    <s v="MultiUtilities"/>
    <n v="0.36298980139559844"/>
    <n v="2705000000"/>
    <n v="0.17310789049919484"/>
    <n v="1290000000"/>
  </r>
  <r>
    <x v="82"/>
    <n v="2"/>
    <n v="2013"/>
    <x v="1"/>
    <n v="8106000000"/>
    <n v="5755000000"/>
    <n v="387000000"/>
    <n v="0"/>
    <n v="954000000"/>
    <s v="Utilities"/>
    <s v="MultiUtilities"/>
    <n v="0.29003207500616823"/>
    <n v="2351000000"/>
    <n v="0.12459906242289662"/>
    <n v="1010000000"/>
  </r>
  <r>
    <x v="82"/>
    <n v="3"/>
    <n v="2014"/>
    <x v="2"/>
    <n v="9226000000"/>
    <n v="6890000000"/>
    <n v="388000000"/>
    <n v="0"/>
    <n v="1013000000"/>
    <s v="Utilities"/>
    <s v="MultiUtilities"/>
    <n v="0.2531974853674398"/>
    <n v="2336000000"/>
    <n v="0.10134402774766962"/>
    <n v="935000000"/>
  </r>
  <r>
    <x v="82"/>
    <n v="4"/>
    <n v="2015"/>
    <x v="3"/>
    <n v="7386000000"/>
    <n v="5109000000"/>
    <n v="374000000"/>
    <n v="0"/>
    <n v="970000000"/>
    <s v="Utilities"/>
    <s v="MultiUtilities"/>
    <n v="0.3082859463850528"/>
    <n v="2277000000"/>
    <n v="0.12632006498781478"/>
    <n v="933000000"/>
  </r>
  <r>
    <x v="83"/>
    <n v="1"/>
    <n v="2012"/>
    <x v="0"/>
    <n v="17083900000"/>
    <n v="15590900000"/>
    <n v="15400000"/>
    <n v="0"/>
    <n v="36100000"/>
    <s v="Financials"/>
    <s v="Property &amp; Casualty Insurance"/>
    <n v="8.7392223087234155E-2"/>
    <n v="1493000000"/>
    <n v="8.4377688935196302E-2"/>
    <n v="1441500000"/>
  </r>
  <r>
    <x v="83"/>
    <n v="2"/>
    <n v="2013"/>
    <x v="1"/>
    <n v="18170900000"/>
    <n v="16275100000"/>
    <n v="18800000"/>
    <n v="0"/>
    <n v="38800000"/>
    <s v="Financials"/>
    <s v="Property &amp; Casualty Insurance"/>
    <n v="0.10433165115651954"/>
    <n v="1895800000"/>
    <n v="0.10116174762945149"/>
    <n v="1838200000"/>
  </r>
  <r>
    <x v="83"/>
    <n v="3"/>
    <n v="2014"/>
    <x v="2"/>
    <n v="19391400000"/>
    <n v="17297300000"/>
    <n v="18900000"/>
    <n v="0"/>
    <n v="50900000"/>
    <s v="Financials"/>
    <s v="Property &amp; Casualty Insurance"/>
    <n v="0.10799117134399783"/>
    <n v="2094100000"/>
    <n v="0.10439163753003909"/>
    <n v="2024300000"/>
  </r>
  <r>
    <x v="83"/>
    <n v="4"/>
    <n v="2015"/>
    <x v="3"/>
    <n v="20853800000"/>
    <n v="18705900000"/>
    <n v="22800000"/>
    <n v="0"/>
    <n v="77500000"/>
    <s v="Financials"/>
    <s v="Property &amp; Casualty Insurance"/>
    <n v="0.10299801475030934"/>
    <n v="2147900000"/>
    <n v="9.8188339775005032E-2"/>
    <n v="2047600000"/>
  </r>
  <r>
    <x v="84"/>
    <n v="1"/>
    <n v="2012"/>
    <x v="0"/>
    <n v="1204546000"/>
    <n v="290054000"/>
    <n v="170113000"/>
    <n v="0"/>
    <n v="451405000"/>
    <s v="Energy"/>
    <s v="Oil &amp; Gas Exploration &amp; Production"/>
    <n v="0.75920056187144369"/>
    <n v="914492000"/>
    <n v="0.2432235879742243"/>
    <n v="292974000"/>
  </r>
  <r>
    <x v="84"/>
    <n v="2"/>
    <n v="2013"/>
    <x v="1"/>
    <n v="1746278000"/>
    <n v="400281000"/>
    <n v="147651000"/>
    <n v="0"/>
    <n v="651052000"/>
    <s v="Energy"/>
    <s v="Oil &amp; Gas Exploration &amp; Production"/>
    <n v="0.77078048283263034"/>
    <n v="1345997000"/>
    <n v="0.31340599835764982"/>
    <n v="547294000"/>
  </r>
  <r>
    <x v="84"/>
    <n v="3"/>
    <n v="2014"/>
    <x v="2"/>
    <n v="2173011000"/>
    <n v="524880000"/>
    <n v="129602000"/>
    <n v="0"/>
    <n v="632760000"/>
    <s v="Energy"/>
    <s v="Oil &amp; Gas Exploration &amp; Production"/>
    <n v="0.75845497330662381"/>
    <n v="1648131000"/>
    <n v="0.40762287903742778"/>
    <n v="885769000"/>
  </r>
  <r>
    <x v="84"/>
    <n v="4"/>
    <n v="2015"/>
    <x v="3"/>
    <n v="1357150000"/>
    <n v="580994000"/>
    <n v="112253000"/>
    <n v="0"/>
    <n v="622211000"/>
    <s v="Energy"/>
    <s v="Oil &amp; Gas Exploration &amp; Production"/>
    <n v="0.57190141104520498"/>
    <n v="776156000"/>
    <n v="3.0720259367055962E-2"/>
    <n v="41692000"/>
  </r>
  <r>
    <x v="85"/>
    <n v="1"/>
    <n v="2013"/>
    <x v="29"/>
    <n v="4474000000"/>
    <n v="3103000000"/>
    <n v="495000000"/>
    <n v="0"/>
    <n v="0"/>
    <s v="Industrials"/>
    <s v="Industrial Conglomerates"/>
    <n v="0.3064371926687528"/>
    <n v="1371000000"/>
    <n v="0.19579794367456416"/>
    <n v="876000000"/>
  </r>
  <r>
    <x v="85"/>
    <n v="2"/>
    <n v="2014"/>
    <x v="30"/>
    <n v="4979000000"/>
    <n v="3469000000"/>
    <n v="594000000"/>
    <n v="0"/>
    <n v="0"/>
    <s v="Industrials"/>
    <s v="Industrial Conglomerates"/>
    <n v="0.30327374974894561"/>
    <n v="1510000000"/>
    <n v="0.18397268527816832"/>
    <n v="916000000"/>
  </r>
  <r>
    <x v="85"/>
    <n v="3"/>
    <n v="2015"/>
    <x v="31"/>
    <n v="5244000000"/>
    <n v="3630000000"/>
    <n v="606000000"/>
    <n v="0"/>
    <n v="0"/>
    <s v="Industrials"/>
    <s v="Industrial Conglomerates"/>
    <n v="0.30778032036613268"/>
    <n v="1614000000"/>
    <n v="0.19221967963386727"/>
    <n v="1008000000"/>
  </r>
  <r>
    <x v="85"/>
    <n v="4"/>
    <n v="2016"/>
    <x v="32"/>
    <n v="5259000000"/>
    <n v="3642000000"/>
    <n v="638000000"/>
    <n v="0"/>
    <n v="0"/>
    <s v="Industrials"/>
    <s v="Industrial Conglomerates"/>
    <n v="0.30747290359383916"/>
    <n v="1617000000"/>
    <n v="0.18615706408062369"/>
    <n v="979000000"/>
  </r>
  <r>
    <x v="86"/>
    <n v="1"/>
    <n v="2012"/>
    <x v="0"/>
    <n v="16606000000"/>
    <n v="386000000"/>
    <n v="10486000000"/>
    <n v="0"/>
    <n v="987000000"/>
    <s v="Financials"/>
    <s v="Banks"/>
    <n v="0.97675538961821029"/>
    <n v="16220000000"/>
    <n v="0.28586053233770925"/>
    <n v="4747000000"/>
  </r>
  <r>
    <x v="86"/>
    <n v="2"/>
    <n v="2013"/>
    <x v="1"/>
    <n v="16872000000"/>
    <n v="344000000"/>
    <n v="9681000000"/>
    <n v="0"/>
    <n v="643000000"/>
    <s v="Financials"/>
    <s v="Banks"/>
    <n v="0.97961119013750597"/>
    <n v="16528000000"/>
    <n v="0.36770981507823614"/>
    <n v="6204000000"/>
  </r>
  <r>
    <x v="86"/>
    <n v="3"/>
    <n v="2014"/>
    <x v="2"/>
    <n v="16281000000"/>
    <n v="325000000"/>
    <n v="9488000000"/>
    <n v="0"/>
    <n v="273000000"/>
    <s v="Financials"/>
    <s v="Banks"/>
    <n v="0.98003808119894353"/>
    <n v="15956000000"/>
    <n v="0.38050488299244517"/>
    <n v="6195000000"/>
  </r>
  <r>
    <x v="86"/>
    <n v="4"/>
    <n v="2015"/>
    <x v="3"/>
    <n v="16270000000"/>
    <n v="403000000"/>
    <n v="9463000000"/>
    <n v="0"/>
    <n v="255000000"/>
    <s v="Financials"/>
    <s v="Banks"/>
    <n v="0.97523048555623848"/>
    <n v="15867000000"/>
    <n v="0.37793484941610328"/>
    <n v="6149000000"/>
  </r>
  <r>
    <x v="87"/>
    <n v="1"/>
    <n v="2013"/>
    <x v="65"/>
    <n v="105156000000"/>
    <n v="91948000000"/>
    <n v="10104000000"/>
    <n v="0"/>
    <n v="0"/>
    <s v="Consumer Staples"/>
    <s v="Hypermarkets &amp; Super Centers"/>
    <n v="0.12560386473429952"/>
    <n v="13208000000"/>
    <n v="2.9518049374263E-2"/>
    <n v="3104000000"/>
  </r>
  <r>
    <x v="87"/>
    <n v="2"/>
    <n v="2014"/>
    <x v="35"/>
    <n v="112640000000"/>
    <n v="98458000000"/>
    <n v="10899000000"/>
    <n v="0"/>
    <n v="0"/>
    <s v="Consumer Staples"/>
    <s v="Hypermarkets &amp; Super Centers"/>
    <n v="0.12590553977272723"/>
    <n v="14182000000"/>
    <n v="2.9145951704545453E-2"/>
    <n v="3283000000"/>
  </r>
  <r>
    <x v="87"/>
    <n v="3"/>
    <n v="2015"/>
    <x v="66"/>
    <n v="116199000000"/>
    <n v="101065000000"/>
    <n v="11445000000"/>
    <n v="0"/>
    <n v="0"/>
    <s v="Consumer Staples"/>
    <s v="Hypermarkets &amp; Super Centers"/>
    <n v="0.13024208469952414"/>
    <n v="15134000000"/>
    <n v="3.1747261164037553E-2"/>
    <n v="3689000000"/>
  </r>
  <r>
    <x v="87"/>
    <n v="4"/>
    <n v="2016"/>
    <x v="67"/>
    <n v="118719000000"/>
    <n v="102901000000"/>
    <n v="12068000000"/>
    <n v="0"/>
    <n v="0"/>
    <s v="Consumer Staples"/>
    <s v="Hypermarkets &amp; Super Centers"/>
    <n v="0.13323899291604546"/>
    <n v="15818000000"/>
    <n v="3.1587193288353167E-2"/>
    <n v="3750000000"/>
  </r>
  <r>
    <x v="88"/>
    <n v="1"/>
    <n v="2003"/>
    <x v="68"/>
    <n v="1577000"/>
    <n v="258000"/>
    <n v="2410000"/>
    <n v="65000"/>
    <n v="0"/>
    <s v="Consumer Staples"/>
    <s v="Personal Products"/>
    <n v="0.83639822447685486"/>
    <n v="1319000"/>
    <n v="-0.73303741280913126"/>
    <n v="-1156000"/>
  </r>
  <r>
    <x v="88"/>
    <n v="2"/>
    <n v="2004"/>
    <x v="69"/>
    <n v="1514000"/>
    <n v="142000"/>
    <n v="3940000"/>
    <n v="30000"/>
    <n v="163000"/>
    <s v="Consumer Staples"/>
    <s v="Personal Products"/>
    <n v="0.90620871862615582"/>
    <n v="1372000"/>
    <n v="-1.8236459709379129"/>
    <n v="-2761000"/>
  </r>
  <r>
    <x v="88"/>
    <n v="3"/>
    <n v="2006"/>
    <x v="70"/>
    <n v="79562000"/>
    <n v="75508000"/>
    <n v="15359000"/>
    <n v="0"/>
    <n v="0"/>
    <s v="Consumer Staples"/>
    <s v="Personal Products"/>
    <n v="5.0953973002186959E-2"/>
    <n v="4054000"/>
    <n v="-0.14209044518740102"/>
    <n v="-11305000"/>
  </r>
  <r>
    <x v="88"/>
    <n v="4"/>
    <n v="2007"/>
    <x v="71"/>
    <n v="99642000"/>
    <n v="84477000"/>
    <n v="25853000"/>
    <n v="0"/>
    <n v="0"/>
    <s v="Consumer Staples"/>
    <s v="Personal Products"/>
    <n v="0.15219485759017282"/>
    <n v="15165000"/>
    <n v="-0.10726400513839546"/>
    <n v="-10688000"/>
  </r>
  <r>
    <x v="89"/>
    <n v="1"/>
    <n v="2013"/>
    <x v="72"/>
    <n v="8052000000"/>
    <n v="5140000000"/>
    <n v="1653000000"/>
    <n v="128000000"/>
    <n v="0"/>
    <s v="Consumer Staples"/>
    <s v="Packaged Foods &amp; Meats"/>
    <n v="0.36164927968206662"/>
    <n v="2912000000"/>
    <n v="0.14046199701937406"/>
    <n v="1131000000"/>
  </r>
  <r>
    <x v="89"/>
    <n v="2"/>
    <n v="2014"/>
    <x v="73"/>
    <n v="8268000000"/>
    <n v="5297000000"/>
    <n v="1527000000"/>
    <n v="122000000"/>
    <n v="0"/>
    <s v="Consumer Staples"/>
    <s v="Packaged Foods &amp; Meats"/>
    <n v="0.35933720367682631"/>
    <n v="2971000000"/>
    <n v="0.15989356555394291"/>
    <n v="1322000000"/>
  </r>
  <r>
    <x v="89"/>
    <n v="3"/>
    <n v="2015"/>
    <x v="74"/>
    <n v="8082000000"/>
    <n v="5300000000"/>
    <n v="1509000000"/>
    <n v="117000000"/>
    <n v="0"/>
    <s v="Consumer Staples"/>
    <s v="Packaged Foods &amp; Meats"/>
    <n v="0.34422172729522393"/>
    <n v="2782000000"/>
    <n v="0.14303390249938133"/>
    <n v="1156000000"/>
  </r>
  <r>
    <x v="89"/>
    <n v="4"/>
    <n v="2016"/>
    <x v="75"/>
    <n v="7961000000"/>
    <n v="5181000000"/>
    <n v="1665000000"/>
    <n v="124000000"/>
    <n v="0"/>
    <s v="Consumer Staples"/>
    <s v="Packaged Foods &amp; Meats"/>
    <n v="0.34920236151237283"/>
    <n v="2780000000"/>
    <n v="0.12448184901394298"/>
    <n v="991000000"/>
  </r>
  <r>
    <x v="90"/>
    <n v="1"/>
    <n v="2013"/>
    <x v="21"/>
    <n v="3050195000"/>
    <n v="683579000"/>
    <n v="2047847000"/>
    <n v="429479000"/>
    <n v="0"/>
    <s v="Information Technology"/>
    <s v="Internet Software &amp; Services"/>
    <n v="0.7758900660449578"/>
    <n v="2366616000"/>
    <n v="-3.6296040089240193E-2"/>
    <n v="-110710000"/>
  </r>
  <r>
    <x v="90"/>
    <n v="2"/>
    <n v="2014"/>
    <x v="22"/>
    <n v="4071003000"/>
    <n v="968428000"/>
    <n v="2764851000"/>
    <n v="623798000"/>
    <n v="0"/>
    <s v="Information Technology"/>
    <s v="Internet Software &amp; Services"/>
    <n v="0.76211562605087735"/>
    <n v="3102575000"/>
    <n v="-7.0271134656496204E-2"/>
    <n v="-286074000"/>
  </r>
  <r>
    <x v="90"/>
    <n v="3"/>
    <n v="2015"/>
    <x v="23"/>
    <n v="5373586000"/>
    <n v="1289270000"/>
    <n v="3437032000"/>
    <n v="792917000"/>
    <n v="0"/>
    <s v="Information Technology"/>
    <s v="Internet Software &amp; Services"/>
    <n v="0.76007269633350982"/>
    <n v="4084316000"/>
    <n v="-2.7101641250368003E-2"/>
    <n v="-145633000"/>
  </r>
  <r>
    <x v="90"/>
    <n v="4"/>
    <n v="2016"/>
    <x v="24"/>
    <n v="6667216000"/>
    <n v="1654548000"/>
    <n v="3951445000"/>
    <n v="946300000"/>
    <n v="0"/>
    <s v="Information Technology"/>
    <s v="Internet Software &amp; Services"/>
    <n v="0.75183824852832126"/>
    <n v="5012668000"/>
    <n v="1.7237029668755295E-2"/>
    <n v="114923000"/>
  </r>
  <r>
    <x v="91"/>
    <n v="1"/>
    <n v="2013"/>
    <x v="76"/>
    <n v="48607000000"/>
    <n v="19167000000"/>
    <n v="11802000000"/>
    <n v="5942000000"/>
    <n v="395000000"/>
    <s v="Information Technology"/>
    <s v="Networking Equipment"/>
    <n v="0.60567407986503996"/>
    <n v="29440000000"/>
    <n v="0.2324973769210196"/>
    <n v="11301000000"/>
  </r>
  <r>
    <x v="91"/>
    <n v="2"/>
    <n v="2014"/>
    <x v="77"/>
    <n v="47142000000"/>
    <n v="19373000000"/>
    <n v="11437000000"/>
    <n v="6294000000"/>
    <n v="275000000"/>
    <s v="Information Technology"/>
    <s v="Networking Equipment"/>
    <n v="0.58905010394128376"/>
    <n v="27769000000"/>
    <n v="0.20709770480675407"/>
    <n v="9763000000"/>
  </r>
  <r>
    <x v="91"/>
    <n v="3"/>
    <n v="2015"/>
    <x v="78"/>
    <n v="49161000000"/>
    <n v="19480000000"/>
    <n v="11861000000"/>
    <n v="6207000000"/>
    <n v="359000000"/>
    <s v="Information Technology"/>
    <s v="Networking Equipment"/>
    <n v="0.60375094078639568"/>
    <n v="29681000000"/>
    <n v="0.22892129940399911"/>
    <n v="11254000000"/>
  </r>
  <r>
    <x v="91"/>
    <n v="4"/>
    <n v="2016"/>
    <x v="79"/>
    <n v="49247000000"/>
    <n v="18287000000"/>
    <n v="11433000000"/>
    <n v="6296000000"/>
    <n v="303000000"/>
    <s v="Information Technology"/>
    <s v="Networking Equipment"/>
    <n v="0.62866773610575266"/>
    <n v="30960000000"/>
    <n v="0.26251345259609721"/>
    <n v="12928000000"/>
  </r>
  <r>
    <x v="92"/>
    <n v="1"/>
    <n v="2015"/>
    <x v="80"/>
    <n v="4069746000"/>
    <n v="3282301000"/>
    <n v="194207000"/>
    <n v="0"/>
    <n v="137058000"/>
    <s v="Information Technology"/>
    <s v="IT Consulting &amp; Other Services"/>
    <n v="0.19348750511702695"/>
    <n v="787445000"/>
    <n v="0.11209053341412462"/>
    <n v="456180000"/>
  </r>
  <r>
    <x v="92"/>
    <n v="2"/>
    <n v="2016"/>
    <x v="81"/>
    <n v="4250447000"/>
    <n v="3575631000"/>
    <n v="187244000"/>
    <n v="0"/>
    <n v="182242000"/>
    <s v="Information Technology"/>
    <s v="IT Consulting &amp; Other Services"/>
    <n v="0.15876353710562674"/>
    <n v="674816000"/>
    <n v="7.1834797610698359E-2"/>
    <n v="305330000"/>
  </r>
  <r>
    <x v="93"/>
    <n v="1"/>
    <n v="2013"/>
    <x v="1"/>
    <n v="12026000000"/>
    <n v="3931000000"/>
    <n v="3518000000"/>
    <n v="0"/>
    <n v="1104000000"/>
    <s v="Industrials"/>
    <s v="Railroads"/>
    <n v="0.67312489605853987"/>
    <n v="8095000000"/>
    <n v="0.28879095293530682"/>
    <n v="3473000000"/>
  </r>
  <r>
    <x v="93"/>
    <n v="2"/>
    <n v="2014"/>
    <x v="82"/>
    <n v="12669000000"/>
    <n v="4100000000"/>
    <n v="3805000000"/>
    <n v="0"/>
    <n v="1151000000"/>
    <s v="Industrials"/>
    <s v="Railroads"/>
    <n v="0.67637540453074441"/>
    <n v="8569000000"/>
    <n v="0.28518430815376117"/>
    <n v="3613000000"/>
  </r>
  <r>
    <x v="93"/>
    <n v="3"/>
    <n v="2015"/>
    <x v="83"/>
    <n v="11811000000"/>
    <n v="3293000000"/>
    <n v="3726000000"/>
    <n v="0"/>
    <n v="1208000000"/>
    <s v="Industrials"/>
    <s v="Railroads"/>
    <n v="0.72119210905088482"/>
    <n v="8518000000"/>
    <n v="0.30344594022521376"/>
    <n v="3584000000"/>
  </r>
  <r>
    <x v="93"/>
    <n v="4"/>
    <n v="2016"/>
    <x v="84"/>
    <n v="11069000000"/>
    <n v="2782000000"/>
    <n v="3597000000"/>
    <n v="0"/>
    <n v="1301000000"/>
    <s v="Industrials"/>
    <s v="Railroads"/>
    <n v="0.74866744963411325"/>
    <n v="8287000000"/>
    <n v="0.30617038576203814"/>
    <n v="3389000000"/>
  </r>
  <r>
    <x v="94"/>
    <n v="1"/>
    <n v="2013"/>
    <x v="85"/>
    <n v="4245964000"/>
    <n v="2492655000"/>
    <n v="1187331000"/>
    <n v="0"/>
    <n v="0"/>
    <s v="Industrials"/>
    <s v="Diversified Support Services"/>
    <n v="0.41293543704091695"/>
    <n v="1753309000"/>
    <n v="0.13329788005739096"/>
    <n v="565978000"/>
  </r>
  <r>
    <x v="94"/>
    <n v="2"/>
    <n v="2014"/>
    <x v="86"/>
    <n v="4193844000"/>
    <n v="2444085000"/>
    <n v="1147039000"/>
    <n v="0"/>
    <n v="0"/>
    <s v="Industrials"/>
    <s v="Diversified Support Services"/>
    <n v="0.41722081221905249"/>
    <n v="1749759000"/>
    <n v="0.14371540763080362"/>
    <n v="602720000"/>
  </r>
  <r>
    <x v="94"/>
    <n v="3"/>
    <n v="2015"/>
    <x v="55"/>
    <n v="4476886000"/>
    <n v="2555549000"/>
    <n v="1224930000"/>
    <n v="0"/>
    <n v="0"/>
    <s v="Industrials"/>
    <s v="Diversified Support Services"/>
    <n v="0.42916817627252513"/>
    <n v="1921337000"/>
    <n v="0.15555611646130815"/>
    <n v="696407000"/>
  </r>
  <r>
    <x v="94"/>
    <n v="4"/>
    <n v="2016"/>
    <x v="87"/>
    <n v="4905458000"/>
    <n v="2775588000"/>
    <n v="1348122000"/>
    <n v="0"/>
    <n v="0"/>
    <s v="Industrials"/>
    <s v="Diversified Support Services"/>
    <n v="0.43418371944067202"/>
    <n v="2129870000"/>
    <n v="0.15936289740937543"/>
    <n v="781748000"/>
  </r>
  <r>
    <x v="95"/>
    <n v="1"/>
    <n v="2012"/>
    <x v="0"/>
    <n v="18376000000"/>
    <n v="7639000000"/>
    <n v="3244000000"/>
    <n v="0"/>
    <n v="4780000000"/>
    <s v="Telecommunications Services"/>
    <s v="Integrated Telecommunications Services"/>
    <n v="0.58429473225946893"/>
    <n v="10737000000"/>
    <n v="0.14763822377013497"/>
    <n v="2713000000"/>
  </r>
  <r>
    <x v="95"/>
    <n v="2"/>
    <n v="2013"/>
    <x v="1"/>
    <n v="18095000000"/>
    <n v="7507000000"/>
    <n v="3502000000"/>
    <n v="0"/>
    <n v="4541000000"/>
    <s v="Telecommunications Services"/>
    <s v="Integrated Telecommunications Services"/>
    <n v="0.58513401492124895"/>
    <n v="10588000000"/>
    <n v="0.14064658745509809"/>
    <n v="2545000000"/>
  </r>
  <r>
    <x v="95"/>
    <n v="3"/>
    <n v="2014"/>
    <x v="2"/>
    <n v="18031000000"/>
    <n v="7846000000"/>
    <n v="3347000000"/>
    <n v="0"/>
    <n v="4428000000"/>
    <s v="Telecommunications Services"/>
    <s v="Integrated Telecommunications Services"/>
    <n v="0.56486051799678338"/>
    <n v="10185000000"/>
    <n v="0.1336586989074372"/>
    <n v="2410000000"/>
  </r>
  <r>
    <x v="95"/>
    <n v="4"/>
    <n v="2015"/>
    <x v="3"/>
    <n v="17900000000"/>
    <n v="7778000000"/>
    <n v="3328000000"/>
    <n v="0"/>
    <n v="4189000000"/>
    <s v="Telecommunications Services"/>
    <s v="Integrated Telecommunications Services"/>
    <n v="0.56547486033519556"/>
    <n v="10122000000"/>
    <n v="0.14553072625698324"/>
    <n v="2605000000"/>
  </r>
  <r>
    <x v="96"/>
    <n v="1"/>
    <n v="2012"/>
    <x v="0"/>
    <n v="7346472000"/>
    <n v="4278241000"/>
    <n v="1557646000"/>
    <n v="0"/>
    <n v="149089000"/>
    <s v="Information Technology"/>
    <s v="IT Consulting &amp; Other Services"/>
    <n v="0.4176468650530486"/>
    <n v="3068231000"/>
    <n v="0.18532650774412535"/>
    <n v="1361496000"/>
  </r>
  <r>
    <x v="96"/>
    <n v="2"/>
    <n v="2013"/>
    <x v="1"/>
    <n v="8843200000"/>
    <n v="5265500000"/>
    <n v="1727600000"/>
    <n v="0"/>
    <n v="172200000"/>
    <s v="Information Technology"/>
    <s v="IT Consulting &amp; Other Services"/>
    <n v="0.40457074362221823"/>
    <n v="3577700000"/>
    <n v="0.18973900850370906"/>
    <n v="1677900000"/>
  </r>
  <r>
    <x v="96"/>
    <n v="3"/>
    <n v="2014"/>
    <x v="2"/>
    <n v="10262700000"/>
    <n v="6141100000"/>
    <n v="2037000000"/>
    <n v="0"/>
    <n v="199700000"/>
    <s v="Information Technology"/>
    <s v="IT Consulting &amp; Other Services"/>
    <n v="0.4016097128435987"/>
    <n v="4121600000"/>
    <n v="0.18366511736677482"/>
    <n v="1884900000"/>
  </r>
  <r>
    <x v="96"/>
    <n v="4"/>
    <n v="2015"/>
    <x v="3"/>
    <n v="12416000000"/>
    <n v="7440200000"/>
    <n v="2508600000"/>
    <n v="0"/>
    <n v="325200000"/>
    <s v="Information Technology"/>
    <s v="IT Consulting &amp; Other Services"/>
    <n v="0.40075708762886597"/>
    <n v="4975800000"/>
    <n v="0.17251932989690721"/>
    <n v="2142000000"/>
  </r>
  <r>
    <x v="97"/>
    <n v="1"/>
    <n v="2013"/>
    <x v="1"/>
    <n v="2918434000"/>
    <n v="502795000"/>
    <n v="1476916000"/>
    <n v="516338000"/>
    <n v="41668000"/>
    <s v="Information Technology"/>
    <s v="Internet Software &amp; Services"/>
    <n v="0.82771753618550226"/>
    <n v="2415639000"/>
    <n v="0.13045249609893525"/>
    <n v="380717000"/>
  </r>
  <r>
    <x v="97"/>
    <n v="2"/>
    <n v="2014"/>
    <x v="2"/>
    <n v="3142856000"/>
    <n v="620219000"/>
    <n v="1600187000"/>
    <n v="553817000"/>
    <n v="39577000"/>
    <s v="Information Technology"/>
    <s v="Internet Software &amp; Services"/>
    <n v="0.80265751914818884"/>
    <n v="2522637000"/>
    <n v="0.10469967443624525"/>
    <n v="329056000"/>
  </r>
  <r>
    <x v="97"/>
    <n v="3"/>
    <n v="2015"/>
    <x v="3"/>
    <n v="3275594000"/>
    <n v="614364000"/>
    <n v="1538027000"/>
    <n v="563975000"/>
    <n v="41595000"/>
    <s v="Information Technology"/>
    <s v="Internet Software &amp; Services"/>
    <n v="0.81244195709236244"/>
    <n v="2661230000"/>
    <n v="0.1580272158271141"/>
    <n v="517633000"/>
  </r>
  <r>
    <x v="97"/>
    <n v="4"/>
    <n v="2016"/>
    <x v="12"/>
    <n v="3418265000"/>
    <n v="559541000"/>
    <n v="1620006000"/>
    <n v="489265000"/>
    <n v="29173000"/>
    <s v="Information Technology"/>
    <s v="Internet Software &amp; Services"/>
    <n v="0.83630847813144971"/>
    <n v="2858724000"/>
    <n v="0.21071508499194766"/>
    <n v="720280000"/>
  </r>
  <r>
    <x v="98"/>
    <n v="1"/>
    <n v="2013"/>
    <x v="1"/>
    <n v="126761000000"/>
    <n v="102978000000"/>
    <n v="0"/>
    <n v="0"/>
    <n v="0"/>
    <s v="Consumer Staples"/>
    <s v="Drug Retail"/>
    <n v="0.18762079819502842"/>
    <n v="23783000000"/>
    <n v="0.18762079819502844"/>
    <n v="23783000000"/>
  </r>
  <r>
    <x v="98"/>
    <n v="2"/>
    <n v="2014"/>
    <x v="2"/>
    <n v="139367000000"/>
    <n v="114000000000"/>
    <n v="0"/>
    <n v="0"/>
    <n v="0"/>
    <s v="Consumer Staples"/>
    <s v="Drug Retail"/>
    <n v="0.18201582871124444"/>
    <n v="25367000000"/>
    <n v="0.18201582871124442"/>
    <n v="25367000000"/>
  </r>
  <r>
    <x v="98"/>
    <n v="3"/>
    <n v="2015"/>
    <x v="3"/>
    <n v="153290000000"/>
    <n v="126762000000"/>
    <n v="0"/>
    <n v="0"/>
    <n v="0"/>
    <s v="Consumer Staples"/>
    <s v="Drug Retail"/>
    <n v="0.17305760323569708"/>
    <n v="26528000000"/>
    <n v="0.17305760323569705"/>
    <n v="26528000000"/>
  </r>
  <r>
    <x v="98"/>
    <n v="4"/>
    <n v="2016"/>
    <x v="12"/>
    <n v="177526000000"/>
    <n v="148669000000"/>
    <n v="0"/>
    <n v="0"/>
    <n v="0"/>
    <s v="Consumer Staples"/>
    <s v="Drug Retail"/>
    <n v="0.16255083762378464"/>
    <n v="28857000000"/>
    <n v="0.16255083762378469"/>
    <n v="28857000000"/>
  </r>
  <r>
    <x v="99"/>
    <n v="1"/>
    <n v="2012"/>
    <x v="0"/>
    <n v="230590000000"/>
    <n v="163336000000"/>
    <n v="17100000000"/>
    <n v="0"/>
    <n v="13413000000"/>
    <s v="Energy"/>
    <s v="Integrated Oil &amp; Gas"/>
    <n v="0.29166052300620149"/>
    <n v="67254000000"/>
    <n v="0.15933474998915825"/>
    <n v="36741000000"/>
  </r>
  <r>
    <x v="99"/>
    <n v="2"/>
    <n v="2013"/>
    <x v="1"/>
    <n v="220156000000"/>
    <n v="159323000000"/>
    <n v="17573000000"/>
    <n v="0"/>
    <n v="14186000000"/>
    <s v="Energy"/>
    <s v="Integrated Oil &amp; Gas"/>
    <n v="0.2763177019931321"/>
    <n v="60833000000"/>
    <n v="0.13206090226929995"/>
    <n v="29074000000"/>
  </r>
  <r>
    <x v="99"/>
    <n v="3"/>
    <n v="2014"/>
    <x v="2"/>
    <n v="200494000000"/>
    <n v="144956000000"/>
    <n v="17034000000"/>
    <n v="0"/>
    <n v="16793000000"/>
    <s v="Energy"/>
    <s v="Integrated Oil &amp; Gas"/>
    <n v="0.27700579568465888"/>
    <n v="55538000000"/>
    <n v="0.10828752980139056"/>
    <n v="21711000000"/>
  </r>
  <r>
    <x v="99"/>
    <n v="4"/>
    <n v="2015"/>
    <x v="3"/>
    <n v="129925000000"/>
    <n v="92785000000"/>
    <n v="16473000000"/>
    <n v="0"/>
    <n v="21037000000"/>
    <s v="Energy"/>
    <s v="Integrated Oil &amp; Gas"/>
    <n v="0.28585722532230129"/>
    <n v="37140000000"/>
    <n v="-2.8477968058495287E-3"/>
    <n v="-370000000"/>
  </r>
  <r>
    <x v="100"/>
    <n v="1"/>
    <n v="2012"/>
    <x v="0"/>
    <n v="1819814000"/>
    <n v="343743000"/>
    <n v="133796000"/>
    <n v="0"/>
    <n v="579315000"/>
    <s v="Energy"/>
    <s v="Oil &amp; Gas Exploration &amp; Production"/>
    <n v="0.81111091573094829"/>
    <n v="1476071000"/>
    <n v="0.41925163780474267"/>
    <n v="762960000"/>
  </r>
  <r>
    <x v="100"/>
    <n v="2"/>
    <n v="2013"/>
    <x v="1"/>
    <n v="2319919000"/>
    <n v="455436000"/>
    <n v="169815000"/>
    <n v="0"/>
    <n v="778655000"/>
    <s v="Energy"/>
    <s v="Oil &amp; Gas Exploration &amp; Production"/>
    <n v="0.80368452519247435"/>
    <n v="1864483000"/>
    <n v="0.39484697526077417"/>
    <n v="916013000"/>
  </r>
  <r>
    <x v="100"/>
    <n v="3"/>
    <n v="2014"/>
    <x v="2"/>
    <n v="2660147000"/>
    <n v="538374000"/>
    <n v="204161000"/>
    <n v="0"/>
    <n v="986812000"/>
    <s v="Energy"/>
    <s v="Oil &amp; Gas Exploration &amp; Production"/>
    <n v="0.79761494383581055"/>
    <n v="2121773000"/>
    <n v="0.3499054751485538"/>
    <n v="930800000"/>
  </r>
  <r>
    <x v="100"/>
    <n v="4"/>
    <n v="2015"/>
    <x v="3"/>
    <n v="1803573000"/>
    <n v="541359000"/>
    <n v="230734000"/>
    <n v="0"/>
    <n v="1230853000"/>
    <s v="Energy"/>
    <s v="Oil &amp; Gas Exploration &amp; Production"/>
    <n v="0.69984081598027914"/>
    <n v="1262214000"/>
    <n v="-0.11054334922955711"/>
    <n v="-199373000"/>
  </r>
  <r>
    <x v="101"/>
    <n v="1"/>
    <n v="2012"/>
    <x v="0"/>
    <n v="12835000000"/>
    <n v="8300000000"/>
    <n v="550000000"/>
    <n v="0"/>
    <n v="1127000000"/>
    <s v="Utilities"/>
    <s v="Electric Utilities"/>
    <n v="0.35333073626801714"/>
    <n v="4535000000"/>
    <n v="0.22267238021036229"/>
    <n v="2858000000"/>
  </r>
  <r>
    <x v="101"/>
    <n v="2"/>
    <n v="2013"/>
    <x v="1"/>
    <n v="13120000000"/>
    <n v="8033000000"/>
    <n v="563000000"/>
    <n v="0"/>
    <n v="1208000000"/>
    <s v="Utilities"/>
    <s v="Electric Utilities"/>
    <n v="0.38772865853658534"/>
    <n v="5087000000"/>
    <n v="0.25274390243902439"/>
    <n v="3316000000"/>
  </r>
  <r>
    <x v="101"/>
    <n v="3"/>
    <n v="2014"/>
    <x v="2"/>
    <n v="12436000000"/>
    <n v="7881000000"/>
    <n v="542000000"/>
    <n v="0"/>
    <n v="1292000000"/>
    <s v="Utilities"/>
    <s v="Electric Utilities"/>
    <n v="0.36627532968800258"/>
    <n v="4555000000"/>
    <n v="0.21880025731746541"/>
    <n v="2721000000"/>
  </r>
  <r>
    <x v="101"/>
    <n v="4"/>
    <n v="2015"/>
    <x v="3"/>
    <n v="11683000000"/>
    <n v="6201000000"/>
    <n v="551000000"/>
    <n v="0"/>
    <n v="1395000000"/>
    <s v="Utilities"/>
    <s v="Electric Utilities"/>
    <n v="0.46922879397415052"/>
    <n v="5482000000"/>
    <n v="0.30266198750320977"/>
    <n v="3536000000"/>
  </r>
  <r>
    <x v="102"/>
    <n v="1"/>
    <n v="2013"/>
    <x v="1"/>
    <n v="37773000000"/>
    <n v="20964000000"/>
    <n v="11349000000"/>
    <n v="0"/>
    <n v="1658000000"/>
    <s v="Industrials"/>
    <s v="Airlines"/>
    <n v="0.44500039710904615"/>
    <n v="16809000000"/>
    <n v="0.10065390622931723"/>
    <n v="3802000000"/>
  </r>
  <r>
    <x v="102"/>
    <n v="2"/>
    <n v="2014"/>
    <x v="2"/>
    <n v="40362000000"/>
    <n v="22967000000"/>
    <n v="12702000000"/>
    <n v="0"/>
    <n v="1771000000"/>
    <s v="Industrials"/>
    <s v="Airlines"/>
    <n v="0.43097467915365939"/>
    <n v="17395000000"/>
    <n v="7.2394826817303401E-2"/>
    <n v="2922000000"/>
  </r>
  <r>
    <x v="102"/>
    <n v="3"/>
    <n v="2015"/>
    <x v="3"/>
    <n v="40704000000"/>
    <n v="17096000000"/>
    <n v="13936000000"/>
    <n v="0"/>
    <n v="1835000000"/>
    <s v="Industrials"/>
    <s v="Airlines"/>
    <n v="0.57999213836477992"/>
    <n v="23608000000"/>
    <n v="0.19253636006289307"/>
    <n v="7837000000"/>
  </r>
  <r>
    <x v="102"/>
    <n v="4"/>
    <n v="2016"/>
    <x v="12"/>
    <n v="39639000000"/>
    <n v="15940000000"/>
    <n v="14845000000"/>
    <n v="0"/>
    <n v="1902000000"/>
    <s v="Industrials"/>
    <s v="Airlines"/>
    <n v="0.59787078382401171"/>
    <n v="23699000000"/>
    <n v="0.17538283004112112"/>
    <n v="6952000000"/>
  </r>
  <r>
    <x v="103"/>
    <n v="1"/>
    <n v="2013"/>
    <x v="1"/>
    <n v="28998000000"/>
    <n v="17642000000"/>
    <n v="6564000000"/>
    <n v="2037000000"/>
    <n v="0"/>
    <s v="Materials"/>
    <s v="Diversified Chemicals"/>
    <n v="0.39161321470446242"/>
    <n v="11356000000"/>
    <n v="9.5006552176012143E-2"/>
    <n v="2755000000"/>
  </r>
  <r>
    <x v="103"/>
    <n v="2"/>
    <n v="2014"/>
    <x v="2"/>
    <n v="28406000000"/>
    <n v="17023000000"/>
    <n v="5536000000"/>
    <n v="1958000000"/>
    <n v="0"/>
    <s v="Materials"/>
    <s v="Diversified Chemicals"/>
    <n v="0.40072519890164049"/>
    <n v="11383000000"/>
    <n v="0.13690769555727664"/>
    <n v="3889000000"/>
  </r>
  <r>
    <x v="103"/>
    <n v="3"/>
    <n v="2015"/>
    <x v="3"/>
    <n v="25130000000"/>
    <n v="15112000000"/>
    <n v="5074000000"/>
    <n v="1898000000"/>
    <n v="0"/>
    <s v="Materials"/>
    <s v="Diversified Chemicals"/>
    <n v="0.39864703541583768"/>
    <n v="10018000000"/>
    <n v="0.12120970951054516"/>
    <n v="3046000000"/>
  </r>
  <r>
    <x v="103"/>
    <n v="4"/>
    <n v="2016"/>
    <x v="12"/>
    <n v="24594000000"/>
    <n v="14469000000"/>
    <n v="5005000000"/>
    <n v="1641000000"/>
    <n v="0"/>
    <s v="Materials"/>
    <s v="Diversified Chemicals"/>
    <n v="0.41168577701878506"/>
    <n v="10125000000"/>
    <n v="0.14145726599983735"/>
    <n v="3479000000"/>
  </r>
  <r>
    <x v="104"/>
    <n v="1"/>
    <n v="2013"/>
    <x v="88"/>
    <n v="37795400000"/>
    <n v="25667300000"/>
    <n v="4426100000"/>
    <n v="1477300000"/>
    <n v="0"/>
    <s v="Industrials"/>
    <s v="Construction &amp; Farm Machinery &amp; Heavy Trucks"/>
    <n v="0.32088825624282324"/>
    <n v="12128100000"/>
    <n v="0.16469464538012563"/>
    <n v="6224700000"/>
  </r>
  <r>
    <x v="104"/>
    <n v="2"/>
    <n v="2014"/>
    <x v="89"/>
    <n v="36066900000"/>
    <n v="24775800000"/>
    <n v="4377700000"/>
    <n v="1452000000"/>
    <n v="0"/>
    <s v="Industrials"/>
    <s v="Construction &amp; Farm Machinery &amp; Heavy Trucks"/>
    <n v="0.31305989702469572"/>
    <n v="11291100000"/>
    <n v="0.15142415899342609"/>
    <n v="5461400000"/>
  </r>
  <r>
    <x v="104"/>
    <n v="3"/>
    <n v="2015"/>
    <x v="19"/>
    <n v="28862800000"/>
    <n v="20143200000"/>
    <n v="3834400000"/>
    <n v="1425100000"/>
    <n v="0"/>
    <s v="Industrials"/>
    <s v="Construction &amp; Farm Machinery &amp; Heavy Trucks"/>
    <n v="0.30210513186523835"/>
    <n v="8719600000"/>
    <n v="0.11988095403079396"/>
    <n v="3460100000"/>
  </r>
  <r>
    <x v="104"/>
    <n v="4"/>
    <n v="2016"/>
    <x v="90"/>
    <n v="26644000000"/>
    <n v="18248900000"/>
    <n v="4018300000"/>
    <n v="1389100000"/>
    <n v="0"/>
    <s v="Industrials"/>
    <s v="Construction &amp; Farm Machinery &amp; Heavy Trucks"/>
    <n v="0.31508407146074158"/>
    <n v="8395100000"/>
    <n v="0.11213406395436121"/>
    <n v="2987700000"/>
  </r>
  <r>
    <x v="105"/>
    <n v="1"/>
    <n v="2012"/>
    <x v="0"/>
    <n v="84847000000"/>
    <n v="66635000000"/>
    <n v="17504000000"/>
    <n v="0"/>
    <n v="0"/>
    <s v="Financials"/>
    <s v="Diversified Financial Services"/>
    <n v="0.21464518486216366"/>
    <n v="18212000000"/>
    <n v="8.3444317418411972E-3"/>
    <n v="708000000"/>
  </r>
  <r>
    <x v="105"/>
    <n v="2"/>
    <n v="2013"/>
    <x v="1"/>
    <n v="41461000000"/>
    <n v="26973000000"/>
    <n v="16172000000"/>
    <n v="0"/>
    <n v="0"/>
    <s v="Financials"/>
    <s v="Diversified Financial Services"/>
    <n v="0.34943682014423194"/>
    <n v="14488000000"/>
    <n v="-4.0616482959890017E-2"/>
    <n v="-1684000000"/>
  </r>
  <r>
    <x v="105"/>
    <n v="3"/>
    <n v="2014"/>
    <x v="2"/>
    <n v="54105000000"/>
    <n v="33560000000"/>
    <n v="18786000000"/>
    <n v="0"/>
    <n v="0"/>
    <s v="Financials"/>
    <s v="Diversified Financial Services"/>
    <n v="0.37972460955549392"/>
    <n v="20545000000"/>
    <n v="3.2510858515848812E-2"/>
    <n v="1759000000"/>
  </r>
  <r>
    <x v="105"/>
    <n v="4"/>
    <n v="2015"/>
    <x v="3"/>
    <n v="57119000000"/>
    <n v="32747000000"/>
    <n v="16603000000"/>
    <n v="0"/>
    <n v="0"/>
    <s v="Financials"/>
    <s v="Diversified Financial Services"/>
    <n v="0.42668814229940999"/>
    <n v="24372000000"/>
    <n v="0.13601428596439014"/>
    <n v="7769000000"/>
  </r>
  <r>
    <x v="106"/>
    <n v="1"/>
    <n v="2013"/>
    <x v="91"/>
    <n v="16022128000"/>
    <n v="10936727000"/>
    <n v="3430125000"/>
    <n v="0"/>
    <n v="0"/>
    <s v="Consumer Discretionary"/>
    <s v="General Merchandise Stores"/>
    <n v="0.31739860023587374"/>
    <n v="5085401000"/>
    <n v="0.10331186968422672"/>
    <n v="1655276000"/>
  </r>
  <r>
    <x v="106"/>
    <n v="2"/>
    <n v="2014"/>
    <x v="22"/>
    <n v="17504167000"/>
    <n v="12068425000"/>
    <n v="3699557000"/>
    <n v="0"/>
    <n v="0"/>
    <s v="Consumer Discretionary"/>
    <s v="General Merchandise Stores"/>
    <n v="0.31053988458862392"/>
    <n v="5435742000"/>
    <n v="9.918695359796327E-2"/>
    <n v="1736185000"/>
  </r>
  <r>
    <x v="106"/>
    <n v="3"/>
    <n v="2015"/>
    <x v="92"/>
    <n v="18909588000"/>
    <n v="13107081000"/>
    <n v="4033414000"/>
    <n v="0"/>
    <n v="0"/>
    <s v="Consumer Discretionary"/>
    <s v="General Merchandise Stores"/>
    <n v="0.30685528420820163"/>
    <n v="5802507000"/>
    <n v="9.3555343458567156E-2"/>
    <n v="1769093000"/>
  </r>
  <r>
    <x v="106"/>
    <n v="4"/>
    <n v="2016"/>
    <x v="93"/>
    <n v="20368562000"/>
    <n v="14062471000"/>
    <n v="4365797000"/>
    <n v="0"/>
    <n v="0"/>
    <s v="Consumer Discretionary"/>
    <s v="General Merchandise Stores"/>
    <n v="0.30959922453043076"/>
    <n v="6306091000"/>
    <n v="9.5259252960518279E-2"/>
    <n v="1940294000"/>
  </r>
  <r>
    <x v="107"/>
    <n v="1"/>
    <n v="2012"/>
    <x v="0"/>
    <n v="11240000000"/>
    <n v="429000000"/>
    <n v="6073000000"/>
    <n v="0"/>
    <n v="1441000000"/>
    <s v="Financials"/>
    <s v="Banks"/>
    <n v="0.96183274021352316"/>
    <n v="10811000000"/>
    <n v="0.29332740213523134"/>
    <n v="3297000000"/>
  </r>
  <r>
    <x v="107"/>
    <n v="2"/>
    <n v="2013"/>
    <x v="1"/>
    <n v="8602000000"/>
    <n v="291000000"/>
    <n v="5808000000"/>
    <n v="0"/>
    <n v="576000000"/>
    <s v="Financials"/>
    <s v="Banks"/>
    <n v="0.9661706579865148"/>
    <n v="8311000000"/>
    <n v="0.22401767030923042"/>
    <n v="1927000000"/>
  </r>
  <r>
    <x v="107"/>
    <n v="3"/>
    <n v="2014"/>
    <x v="2"/>
    <n v="8707000000"/>
    <n v="235000000"/>
    <n v="5518000000"/>
    <n v="0"/>
    <n v="367000000"/>
    <s v="Financials"/>
    <s v="Banks"/>
    <n v="0.9730102216607327"/>
    <n v="8472000000"/>
    <n v="0.29711726197312505"/>
    <n v="2587000000"/>
  </r>
  <r>
    <x v="107"/>
    <n v="4"/>
    <n v="2015"/>
    <x v="3"/>
    <n v="8533000000"/>
    <n v="219000000"/>
    <n v="5120000000"/>
    <n v="0"/>
    <n v="205000000"/>
    <s v="Financials"/>
    <s v="Banks"/>
    <n v="0.97433493495839685"/>
    <n v="8314000000"/>
    <n v="0.35028712059064809"/>
    <n v="2989000000"/>
  </r>
  <r>
    <x v="108"/>
    <n v="1"/>
    <n v="2013"/>
    <x v="29"/>
    <n v="6259300000"/>
    <n v="4853500000"/>
    <n v="649900000"/>
    <n v="0"/>
    <n v="0"/>
    <s v="Consumer Discretionary"/>
    <s v="Homebuilding"/>
    <n v="0.22459380441902455"/>
    <n v="1405800000"/>
    <n v="0.12076430271755628"/>
    <n v="755900000"/>
  </r>
  <r>
    <x v="108"/>
    <n v="2"/>
    <n v="2014"/>
    <x v="30"/>
    <n v="8024900000"/>
    <n v="6268600000"/>
    <n v="826900000"/>
    <n v="0"/>
    <n v="0"/>
    <s v="Consumer Discretionary"/>
    <s v="Homebuilding"/>
    <n v="0.21885630973594683"/>
    <n v="1756300000"/>
    <n v="0.11581452728382909"/>
    <n v="929400000"/>
  </r>
  <r>
    <x v="108"/>
    <n v="3"/>
    <n v="2015"/>
    <x v="31"/>
    <n v="10824000000"/>
    <n v="8535700000"/>
    <n v="1003000000"/>
    <n v="0"/>
    <n v="0"/>
    <s v="Consumer Discretionary"/>
    <s v="Homebuilding"/>
    <n v="0.211409830007391"/>
    <n v="2288300000"/>
    <n v="0.11874538063562454"/>
    <n v="1285300000"/>
  </r>
  <r>
    <x v="108"/>
    <n v="4"/>
    <n v="2016"/>
    <x v="32"/>
    <n v="12157400000"/>
    <n v="9502600000"/>
    <n v="1100300000"/>
    <n v="0"/>
    <n v="0"/>
    <s v="Consumer Discretionary"/>
    <s v="Homebuilding"/>
    <n v="0.21836905917383653"/>
    <n v="2654800000"/>
    <n v="0.12786451050389064"/>
    <n v="1554500000"/>
  </r>
  <r>
    <x v="109"/>
    <n v="1"/>
    <n v="2012"/>
    <x v="0"/>
    <n v="18260400000"/>
    <n v="8846100000"/>
    <n v="5181200000"/>
    <n v="1137900000"/>
    <n v="0"/>
    <s v="Industrials"/>
    <s v="Industrial Conglomerates"/>
    <n v="0.51555825721232829"/>
    <n v="9414300000"/>
    <n v="0.1695034062780662"/>
    <n v="3095200000"/>
  </r>
  <r>
    <x v="109"/>
    <n v="2"/>
    <n v="2013"/>
    <x v="1"/>
    <n v="18283100000"/>
    <n v="8941100000"/>
    <n v="5117100000"/>
    <n v="1104400000"/>
    <n v="0"/>
    <s v="Industrials"/>
    <s v="Industrial Conglomerates"/>
    <n v="0.5109636768381729"/>
    <n v="9342000000"/>
    <n v="0.17067674519091403"/>
    <n v="3120500000"/>
  </r>
  <r>
    <x v="109"/>
    <n v="3"/>
    <n v="2014"/>
    <x v="2"/>
    <n v="19154000000"/>
    <n v="9261400000"/>
    <n v="5389000000"/>
    <n v="1157000000"/>
    <n v="0"/>
    <s v="Industrials"/>
    <s v="Industrial Conglomerates"/>
    <n v="0.51647697608854548"/>
    <n v="9892600000"/>
    <n v="0.17472068497441787"/>
    <n v="3346600000"/>
  </r>
  <r>
    <x v="109"/>
    <n v="4"/>
    <n v="2015"/>
    <x v="3"/>
    <n v="20563100000"/>
    <n v="9800600000"/>
    <n v="6054300000"/>
    <n v="1239100000"/>
    <n v="0"/>
    <s v="Industrials"/>
    <s v="Industrial Conglomerates"/>
    <n v="0.52338898317860627"/>
    <n v="10762500000"/>
    <n v="0.16870510769290623"/>
    <n v="3469100000"/>
  </r>
  <r>
    <x v="110"/>
    <n v="1"/>
    <n v="2013"/>
    <x v="8"/>
    <n v="45041000000"/>
    <n v="25034000000"/>
    <n v="8365000000"/>
    <n v="0"/>
    <n v="2192000000"/>
    <s v="Consumer Discretionary"/>
    <s v="Broadcasting &amp; Cable TV"/>
    <n v="0.4441952887369286"/>
    <n v="20007000000"/>
    <n v="0.20980884083390688"/>
    <n v="9450000000"/>
  </r>
  <r>
    <x v="110"/>
    <n v="2"/>
    <n v="2014"/>
    <x v="9"/>
    <n v="48813000000"/>
    <n v="26420000000"/>
    <n v="8565000000"/>
    <n v="0"/>
    <n v="2288000000"/>
    <s v="Consumer Discretionary"/>
    <s v="Broadcasting &amp; Cable TV"/>
    <n v="0.45875074263003712"/>
    <n v="22393000000"/>
    <n v="0.23641243111466209"/>
    <n v="11540000000"/>
  </r>
  <r>
    <x v="110"/>
    <n v="3"/>
    <n v="2015"/>
    <x v="94"/>
    <n v="52465000000"/>
    <n v="28364000000"/>
    <n v="8523000000"/>
    <n v="0"/>
    <n v="2354000000"/>
    <s v="Consumer Discretionary"/>
    <s v="Broadcasting &amp; Cable TV"/>
    <n v="0.4593729152768512"/>
    <n v="24101000000"/>
    <n v="0.25205375011912706"/>
    <n v="13224000000"/>
  </r>
  <r>
    <x v="110"/>
    <n v="4"/>
    <n v="2016"/>
    <x v="95"/>
    <n v="55632000000"/>
    <n v="29993000000"/>
    <n v="8754000000"/>
    <n v="0"/>
    <n v="2527000000"/>
    <s v="Consumer Discretionary"/>
    <s v="Broadcasting &amp; Cable TV"/>
    <n v="0.46086784584411844"/>
    <n v="25639000000"/>
    <n v="0.25808886971527178"/>
    <n v="14358000000"/>
  </r>
  <r>
    <x v="111"/>
    <n v="1"/>
    <n v="2013"/>
    <x v="1"/>
    <n v="5535000000"/>
    <n v="1689000000"/>
    <n v="1598000000"/>
    <n v="0"/>
    <n v="276000000"/>
    <s v="Consumer Discretionary"/>
    <s v="Cable &amp; Satellite"/>
    <n v="0.69485094850948514"/>
    <n v="3846000000"/>
    <n v="0.35627822944896115"/>
    <n v="1972000000"/>
  </r>
  <r>
    <x v="111"/>
    <n v="2"/>
    <n v="2014"/>
    <x v="2"/>
    <n v="6265000000"/>
    <n v="2124000000"/>
    <n v="1692000000"/>
    <n v="0"/>
    <n v="329000000"/>
    <s v="Consumer Discretionary"/>
    <s v="Cable &amp; Satellite"/>
    <n v="0.66097366320830009"/>
    <n v="4141000000"/>
    <n v="0.33838786911412611"/>
    <n v="2120000000"/>
  </r>
  <r>
    <x v="111"/>
    <n v="3"/>
    <n v="2015"/>
    <x v="3"/>
    <n v="6394000000"/>
    <n v="2343000000"/>
    <n v="1669000000"/>
    <n v="0"/>
    <n v="330000000"/>
    <s v="Consumer Discretionary"/>
    <s v="Cable &amp; Satellite"/>
    <n v="0.633562715045355"/>
    <n v="4051000000"/>
    <n v="0.32092586800125117"/>
    <n v="2052000000"/>
  </r>
  <r>
    <x v="111"/>
    <n v="4"/>
    <n v="2016"/>
    <x v="12"/>
    <n v="6497000000"/>
    <n v="2432000000"/>
    <n v="1690000000"/>
    <n v="0"/>
    <n v="322000000"/>
    <s v="Consumer Discretionary"/>
    <s v="Cable &amp; Satellite"/>
    <n v="0.6256733877174081"/>
    <n v="4065000000"/>
    <n v="0.3159919963059874"/>
    <n v="2053000000"/>
  </r>
  <r>
    <x v="112"/>
    <n v="1"/>
    <n v="2013"/>
    <x v="1"/>
    <n v="5535000000"/>
    <n v="1689000000"/>
    <n v="1598000000"/>
    <n v="0"/>
    <n v="276000000"/>
    <s v="Consumer Discretionary"/>
    <s v="Cable &amp; Satellite"/>
    <n v="0.69485094850948514"/>
    <n v="3846000000"/>
    <n v="0.35627822944896115"/>
    <n v="1972000000"/>
  </r>
  <r>
    <x v="112"/>
    <n v="2"/>
    <n v="2014"/>
    <x v="2"/>
    <n v="6265000000"/>
    <n v="2124000000"/>
    <n v="1692000000"/>
    <n v="0"/>
    <n v="329000000"/>
    <s v="Consumer Discretionary"/>
    <s v="Cable &amp; Satellite"/>
    <n v="0.66097366320830009"/>
    <n v="4141000000"/>
    <n v="0.33838786911412611"/>
    <n v="2120000000"/>
  </r>
  <r>
    <x v="112"/>
    <n v="3"/>
    <n v="2015"/>
    <x v="3"/>
    <n v="6394000000"/>
    <n v="2343000000"/>
    <n v="1669000000"/>
    <n v="0"/>
    <n v="330000000"/>
    <s v="Consumer Discretionary"/>
    <s v="Cable &amp; Satellite"/>
    <n v="0.633562715045355"/>
    <n v="4051000000"/>
    <n v="0.32092586800125117"/>
    <n v="2052000000"/>
  </r>
  <r>
    <x v="112"/>
    <n v="4"/>
    <n v="2016"/>
    <x v="12"/>
    <n v="6497000000"/>
    <n v="2432000000"/>
    <n v="1690000000"/>
    <n v="0"/>
    <n v="322000000"/>
    <s v="Consumer Discretionary"/>
    <s v="Cable &amp; Satellite"/>
    <n v="0.6256733877174081"/>
    <n v="4065000000"/>
    <n v="0.3159919963059874"/>
    <n v="2053000000"/>
  </r>
  <r>
    <x v="113"/>
    <n v="1"/>
    <n v="2013"/>
    <x v="1"/>
    <n v="15051000000"/>
    <n v="12274000000"/>
    <n v="916000000"/>
    <n v="0"/>
    <n v="97000000"/>
    <s v="Consumer Discretionary"/>
    <s v="Auto Parts &amp; Equipment"/>
    <n v="0.18450601288950896"/>
    <n v="2777000000"/>
    <n v="0.11720151484951166"/>
    <n v="1764000000"/>
  </r>
  <r>
    <x v="113"/>
    <n v="2"/>
    <n v="2014"/>
    <x v="2"/>
    <n v="15499000000"/>
    <n v="12471000000"/>
    <n v="1036000000"/>
    <n v="0"/>
    <n v="94000000"/>
    <s v="Consumer Discretionary"/>
    <s v="Auto Parts &amp; Equipment"/>
    <n v="0.19536744306084264"/>
    <n v="3028000000"/>
    <n v="0.1224595135170011"/>
    <n v="1898000000"/>
  </r>
  <r>
    <x v="113"/>
    <n v="3"/>
    <n v="2015"/>
    <x v="3"/>
    <n v="15165000000"/>
    <n v="12155000000"/>
    <n v="1017000000"/>
    <n v="0"/>
    <n v="93000000"/>
    <s v="Consumer Discretionary"/>
    <s v="Auto Parts &amp; Equipment"/>
    <n v="0.19848334981866134"/>
    <n v="3010000000"/>
    <n v="0.12528849324101549"/>
    <n v="1900000000"/>
  </r>
  <r>
    <x v="113"/>
    <n v="4"/>
    <n v="2016"/>
    <x v="12"/>
    <n v="16661000000"/>
    <n v="13107000000"/>
    <n v="1145000000"/>
    <n v="0"/>
    <n v="134000000"/>
    <s v="Consumer Discretionary"/>
    <s v="Auto Parts &amp; Equipment"/>
    <n v="0.21331252625892805"/>
    <n v="3554000000"/>
    <n v="0.13654642578476683"/>
    <n v="2275000000"/>
  </r>
  <r>
    <x v="114"/>
    <n v="1"/>
    <n v="2012"/>
    <x v="0"/>
    <n v="1279067000"/>
    <n v="461898000"/>
    <n v="68538000"/>
    <n v="0"/>
    <n v="382553000"/>
    <s v="Real Estate"/>
    <s v="Specialized REITs"/>
    <n v="0.63887896411994061"/>
    <n v="817169000"/>
    <n v="0.2862070556116294"/>
    <n v="366078000"/>
  </r>
  <r>
    <x v="114"/>
    <n v="2"/>
    <n v="2013"/>
    <x v="1"/>
    <n v="1482259000"/>
    <n v="555660000"/>
    <n v="69323000"/>
    <n v="0"/>
    <n v="475464000"/>
    <s v="Real Estate"/>
    <s v="Specialized REITs"/>
    <n v="0.62512624311945486"/>
    <n v="926599000"/>
    <n v="0.2575879114243867"/>
    <n v="381812000"/>
  </r>
  <r>
    <x v="114"/>
    <n v="3"/>
    <n v="2014"/>
    <x v="2"/>
    <n v="1616438000"/>
    <n v="603321000"/>
    <n v="89468000"/>
    <n v="0"/>
    <n v="538513000"/>
    <s v="Real Estate"/>
    <s v="Specialized REITs"/>
    <n v="0.62675896013333021"/>
    <n v="1013117000"/>
    <n v="0.238262154193356"/>
    <n v="385136000"/>
  </r>
  <r>
    <x v="114"/>
    <n v="4"/>
    <n v="2015"/>
    <x v="3"/>
    <n v="1763336000"/>
    <n v="651282000"/>
    <n v="139616000"/>
    <n v="0"/>
    <n v="570527000"/>
    <s v="Real Estate"/>
    <s v="Specialized REITs"/>
    <n v="0.630653488614762"/>
    <n v="1112054000"/>
    <n v="0.22792649840983228"/>
    <n v="401911000"/>
  </r>
  <r>
    <x v="115"/>
    <n v="1"/>
    <n v="2013"/>
    <x v="96"/>
    <n v="7394500000"/>
    <n v="4741800000"/>
    <n v="1732600000"/>
    <n v="0"/>
    <n v="0"/>
    <s v="Consumer Discretionary"/>
    <s v="General Merchandise Stores"/>
    <n v="0.35873960375955105"/>
    <n v="2652700000"/>
    <n v="0.12443031983230779"/>
    <n v="920100000"/>
  </r>
  <r>
    <x v="115"/>
    <n v="2"/>
    <n v="2014"/>
    <x v="47"/>
    <n v="7840300000"/>
    <n v="5050500000"/>
    <n v="1819500000"/>
    <n v="0"/>
    <n v="0"/>
    <s v="Consumer Discretionary"/>
    <s v="General Merchandise Stores"/>
    <n v="0.35582822085889576"/>
    <n v="2789800000"/>
    <n v="0.12375801946354094"/>
    <n v="970300000"/>
  </r>
  <r>
    <x v="115"/>
    <n v="3"/>
    <n v="2015"/>
    <x v="23"/>
    <n v="8602200000"/>
    <n v="5568200000"/>
    <n v="1993800000"/>
    <n v="0"/>
    <n v="0"/>
    <s v="Consumer Discretionary"/>
    <s v="General Merchandise Stores"/>
    <n v="0.35270047197228616"/>
    <n v="3034000000"/>
    <n v="0.12092255469531051"/>
    <n v="1040200000"/>
  </r>
  <r>
    <x v="115"/>
    <n v="4"/>
    <n v="2016"/>
    <x v="48"/>
    <n v="15498400000"/>
    <n v="10841700000"/>
    <n v="3607000000"/>
    <n v="0"/>
    <n v="0"/>
    <s v="Consumer Discretionary"/>
    <s v="General Merchandise Stores"/>
    <n v="0.30046327362824554"/>
    <n v="4656700000"/>
    <n v="6.7729572084860371E-2"/>
    <n v="1049700000"/>
  </r>
  <r>
    <x v="116"/>
    <n v="1"/>
    <n v="2012"/>
    <x v="0"/>
    <n v="1663000000"/>
    <n v="0"/>
    <n v="1123200000"/>
    <n v="0"/>
    <n v="78300000"/>
    <s v="Industrials"/>
    <s v="Research &amp; Consulting Services"/>
    <n v="1"/>
    <n v="1663000000"/>
    <n v="0.27751052315093205"/>
    <n v="461500000"/>
  </r>
  <r>
    <x v="116"/>
    <n v="2"/>
    <n v="2013"/>
    <x v="1"/>
    <n v="1558400000"/>
    <n v="0"/>
    <n v="1058000000"/>
    <n v="0"/>
    <n v="60400000"/>
    <s v="Industrials"/>
    <s v="Research &amp; Consulting Services"/>
    <n v="1"/>
    <n v="1558400000"/>
    <n v="0.28234086242299794"/>
    <n v="440000000"/>
  </r>
  <r>
    <x v="116"/>
    <n v="3"/>
    <n v="2014"/>
    <x v="2"/>
    <n v="1584500000"/>
    <n v="0"/>
    <n v="1105700000"/>
    <n v="0"/>
    <n v="52500000"/>
    <s v="Industrials"/>
    <s v="Research &amp; Consulting Services"/>
    <n v="1"/>
    <n v="1584500000"/>
    <n v="0.26904386241716632"/>
    <n v="426300000"/>
  </r>
  <r>
    <x v="116"/>
    <n v="4"/>
    <n v="2015"/>
    <x v="3"/>
    <n v="1637100000"/>
    <n v="0"/>
    <n v="1209100000"/>
    <n v="0"/>
    <n v="58700000"/>
    <s v="Industrials"/>
    <s v="Research &amp; Consulting Services"/>
    <n v="1"/>
    <n v="1637100000"/>
    <n v="0.22558182151365219"/>
    <n v="369300000"/>
  </r>
  <r>
    <x v="117"/>
    <n v="1"/>
    <n v="2013"/>
    <x v="1"/>
    <n v="7155096000"/>
    <n v="4376505000"/>
    <n v="1616921000"/>
    <n v="0"/>
    <n v="0"/>
    <s v="Industrials"/>
    <s v="Industrial Machinery"/>
    <n v="0.38833734725571811"/>
    <n v="2778591000"/>
    <n v="0.16235561339777971"/>
    <n v="1161670000"/>
  </r>
  <r>
    <x v="117"/>
    <n v="2"/>
    <n v="2014"/>
    <x v="2"/>
    <n v="7752728000"/>
    <n v="4778479000"/>
    <n v="1758765000"/>
    <n v="0"/>
    <n v="0"/>
    <s v="Industrials"/>
    <s v="Industrial Machinery"/>
    <n v="0.38363902357982893"/>
    <n v="2974249000"/>
    <n v="0.15678145808804334"/>
    <n v="1215484000"/>
  </r>
  <r>
    <x v="117"/>
    <n v="3"/>
    <n v="2015"/>
    <x v="3"/>
    <n v="6956311000"/>
    <n v="4388167000"/>
    <n v="1647382000"/>
    <n v="0"/>
    <n v="0"/>
    <s v="Industrials"/>
    <s v="Industrial Machinery"/>
    <n v="0.36918188390369555"/>
    <n v="2568144000"/>
    <n v="0.13236354728821068"/>
    <n v="920762000"/>
  </r>
  <r>
    <x v="117"/>
    <n v="4"/>
    <n v="2016"/>
    <x v="12"/>
    <n v="6794342000"/>
    <n v="4322373000"/>
    <n v="1757523000"/>
    <n v="0"/>
    <n v="0"/>
    <s v="Industrials"/>
    <s v="Industrial Machinery"/>
    <n v="0.36382757888843398"/>
    <n v="2471969000"/>
    <n v="0.10515308178481449"/>
    <n v="714446000"/>
  </r>
  <r>
    <x v="118"/>
    <n v="1"/>
    <n v="2013"/>
    <x v="1"/>
    <n v="5997000000"/>
    <n v="2499000000"/>
    <n v="2337000000"/>
    <n v="0"/>
    <n v="115000000"/>
    <s v="Consumer Staples"/>
    <s v="Soft Drinks"/>
    <n v="0.58329164582291138"/>
    <n v="3498000000"/>
    <n v="0.1744205436051359"/>
    <n v="1046000000"/>
  </r>
  <r>
    <x v="118"/>
    <n v="2"/>
    <n v="2014"/>
    <x v="2"/>
    <n v="6121000000"/>
    <n v="2491000000"/>
    <n v="2335000000"/>
    <n v="0"/>
    <n v="115000000"/>
    <s v="Consumer Staples"/>
    <s v="Soft Drinks"/>
    <n v="0.59304035288351575"/>
    <n v="3630000000"/>
    <n v="0.19277895768665251"/>
    <n v="1180000000"/>
  </r>
  <r>
    <x v="118"/>
    <n v="3"/>
    <n v="2015"/>
    <x v="3"/>
    <n v="6282000000"/>
    <n v="2559000000"/>
    <n v="2320000000"/>
    <n v="0"/>
    <n v="105000000"/>
    <s v="Consumer Staples"/>
    <s v="Soft Drinks"/>
    <n v="0.59264565425023874"/>
    <n v="3723000000"/>
    <n v="0.20662209487424388"/>
    <n v="1298000000"/>
  </r>
  <r>
    <x v="118"/>
    <n v="4"/>
    <n v="2016"/>
    <x v="12"/>
    <n v="6440000000"/>
    <n v="2582000000"/>
    <n v="2326000000"/>
    <n v="0"/>
    <n v="99000000"/>
    <s v="Consumer Staples"/>
    <s v="Soft Drinks"/>
    <n v="0.59906832298136647"/>
    <n v="3858000000"/>
    <n v="0.22251552795031057"/>
    <n v="1433000000"/>
  </r>
  <r>
    <x v="119"/>
    <n v="1"/>
    <n v="2013"/>
    <x v="53"/>
    <n v="5921000000"/>
    <n v="4616600000"/>
    <n v="625200000"/>
    <n v="0"/>
    <n v="278300000"/>
    <s v="Consumer Discretionary"/>
    <s v="Restaurants"/>
    <n v="0.22030062489444346"/>
    <n v="1304400000"/>
    <n v="6.7708157405843614E-2"/>
    <n v="400900000"/>
  </r>
  <r>
    <x v="119"/>
    <n v="2"/>
    <n v="2014"/>
    <x v="54"/>
    <n v="6285600000"/>
    <n v="4990500000"/>
    <n v="665400000"/>
    <n v="0"/>
    <n v="304400000"/>
    <s v="Consumer Discretionary"/>
    <s v="Restaurants"/>
    <n v="0.20604238258877439"/>
    <n v="1295100000"/>
    <n v="5.175321369479445E-2"/>
    <n v="325300000"/>
  </r>
  <r>
    <x v="119"/>
    <n v="3"/>
    <n v="2015"/>
    <x v="55"/>
    <n v="6764000000"/>
    <n v="5341500000"/>
    <n v="673500000"/>
    <n v="0"/>
    <n v="319300000"/>
    <s v="Consumer Discretionary"/>
    <s v="Restaurants"/>
    <n v="0.21030455351862798"/>
    <n v="1422500000"/>
    <n v="6.352749852158486E-2"/>
    <n v="429700000"/>
  </r>
  <r>
    <x v="119"/>
    <n v="4"/>
    <n v="2016"/>
    <x v="56"/>
    <n v="6933500000"/>
    <n v="5392400000"/>
    <n v="622900000"/>
    <n v="0"/>
    <n v="290200000"/>
    <s v="Consumer Discretionary"/>
    <s v="Restaurants"/>
    <n v="0.22226869546405137"/>
    <n v="1541100000"/>
    <n v="9.0574745799379824E-2"/>
    <n v="628000000"/>
  </r>
  <r>
    <x v="120"/>
    <n v="1"/>
    <n v="2012"/>
    <x v="0"/>
    <n v="17912000000"/>
    <n v="11235000000"/>
    <n v="965000000"/>
    <n v="0"/>
    <n v="2145000000"/>
    <s v="Utilities"/>
    <s v="Electric Utilities"/>
    <n v="0.37276686020544891"/>
    <n v="6677000000"/>
    <n v="0.19914024117909782"/>
    <n v="3567000000"/>
  </r>
  <r>
    <x v="120"/>
    <n v="2"/>
    <n v="2013"/>
    <x v="1"/>
    <n v="22756000000"/>
    <n v="13545000000"/>
    <n v="1274000000"/>
    <n v="0"/>
    <n v="2668000000"/>
    <s v="Utilities"/>
    <s v="Electric Utilities"/>
    <n v="0.40477236772719283"/>
    <n v="9211000000"/>
    <n v="0.23154332923185095"/>
    <n v="5269000000"/>
  </r>
  <r>
    <x v="120"/>
    <n v="3"/>
    <n v="2014"/>
    <x v="2"/>
    <n v="23925000000"/>
    <n v="14323000000"/>
    <n v="1213000000"/>
    <n v="0"/>
    <n v="3066000000"/>
    <s v="Utilities"/>
    <s v="Electric Utilities"/>
    <n v="0.401337513061651"/>
    <n v="9602000000"/>
    <n v="0.22248693834900732"/>
    <n v="5323000000"/>
  </r>
  <r>
    <x v="120"/>
    <n v="4"/>
    <n v="2015"/>
    <x v="3"/>
    <n v="23459000000"/>
    <n v="13728000000"/>
    <n v="1135000000"/>
    <n v="0"/>
    <n v="3144000000"/>
    <s v="Utilities"/>
    <s v="Electric Utilities"/>
    <n v="0.41480881538002468"/>
    <n v="9731000000"/>
    <n v="0.23240547337908693"/>
    <n v="5452000000"/>
  </r>
  <r>
    <x v="121"/>
    <n v="1"/>
    <n v="2012"/>
    <x v="0"/>
    <n v="10793000000"/>
    <n v="362000000"/>
    <n v="2123000000"/>
    <n v="0"/>
    <n v="4549000000"/>
    <s v="Financials"/>
    <s v="Consumer Finance"/>
    <n v="0.96645974242564625"/>
    <n v="10431000000"/>
    <n v="0.34828129343092745"/>
    <n v="3759000000"/>
  </r>
  <r>
    <x v="121"/>
    <n v="2"/>
    <n v="2013"/>
    <x v="1"/>
    <n v="11813000000"/>
    <n v="374000000"/>
    <n v="2484000000"/>
    <n v="0"/>
    <n v="5445000000"/>
    <s v="Financials"/>
    <s v="Consumer Finance"/>
    <n v="0.96833996444594939"/>
    <n v="11439000000"/>
    <n v="0.29713028019977988"/>
    <n v="3510000000"/>
  </r>
  <r>
    <x v="121"/>
    <n v="3"/>
    <n v="2014"/>
    <x v="2"/>
    <n v="12727000000"/>
    <n v="470000000"/>
    <n v="2927000000"/>
    <n v="0"/>
    <n v="5492000000"/>
    <s v="Financials"/>
    <s v="Consumer Finance"/>
    <n v="0.96307063722794062"/>
    <n v="12257000000"/>
    <n v="0.30156360493439144"/>
    <n v="3838000000"/>
  </r>
  <r>
    <x v="121"/>
    <n v="4"/>
    <n v="2015"/>
    <x v="3"/>
    <n v="13620000000"/>
    <n v="607000000"/>
    <n v="3264000000"/>
    <n v="0"/>
    <n v="5690000000"/>
    <s v="Financials"/>
    <s v="Consumer Finance"/>
    <n v="0.95543318649045517"/>
    <n v="13013000000"/>
    <n v="0.29801762114537445"/>
    <n v="4059000000"/>
  </r>
  <r>
    <x v="122"/>
    <n v="1"/>
    <n v="2013"/>
    <x v="1"/>
    <n v="10397000000"/>
    <n v="2268000000"/>
    <n v="2743000000"/>
    <n v="0"/>
    <n v="2780000000"/>
    <s v="Energy"/>
    <s v="Oil &amp; Gas Exploration &amp; Production"/>
    <n v="0.7818601519669135"/>
    <n v="8129000000"/>
    <n v="0.2506492257381937"/>
    <n v="2606000000"/>
  </r>
  <r>
    <x v="122"/>
    <n v="2"/>
    <n v="2014"/>
    <x v="2"/>
    <n v="20638000000"/>
    <n v="2332000000"/>
    <n v="8290000000"/>
    <n v="0"/>
    <n v="3319000000"/>
    <s v="Energy"/>
    <s v="Oil &amp; Gas Exploration &amp; Production"/>
    <n v="0.88700455470491324"/>
    <n v="18306000000"/>
    <n v="0.32449849791646479"/>
    <n v="6697000000"/>
  </r>
  <r>
    <x v="122"/>
    <n v="3"/>
    <n v="2015"/>
    <x v="3"/>
    <n v="13145000000"/>
    <n v="2104000000"/>
    <n v="7741000000"/>
    <n v="0"/>
    <n v="3129000000"/>
    <s v="Energy"/>
    <s v="Oil &amp; Gas Exploration &amp; Production"/>
    <n v="0.83993914035755046"/>
    <n v="11041000000"/>
    <n v="1.300874857360213E-2"/>
    <n v="171000000"/>
  </r>
  <r>
    <x v="122"/>
    <n v="4"/>
    <n v="2016"/>
    <x v="12"/>
    <n v="12197000000"/>
    <n v="1582000000"/>
    <n v="6476000000"/>
    <n v="0"/>
    <n v="1792000000"/>
    <s v="Energy"/>
    <s v="Oil &amp; Gas Exploration &amp; Production"/>
    <n v="0.87029597441993933"/>
    <n v="10615000000"/>
    <n v="0.19242436664753629"/>
    <n v="2347000000"/>
  </r>
  <r>
    <x v="123"/>
    <n v="1"/>
    <n v="2013"/>
    <x v="97"/>
    <n v="3797000000"/>
    <n v="1388000000"/>
    <n v="1078000000"/>
    <n v="1153000000"/>
    <n v="30000000"/>
    <s v="Information Technology"/>
    <s v="Home Entertainment Software"/>
    <n v="0.63444824861732951"/>
    <n v="2409000000"/>
    <n v="3.8978140637345275E-2"/>
    <n v="148000000"/>
  </r>
  <r>
    <x v="123"/>
    <n v="2"/>
    <n v="2014"/>
    <x v="98"/>
    <n v="3575000000"/>
    <n v="1347000000"/>
    <n v="1055000000"/>
    <n v="1125000000"/>
    <n v="16000000"/>
    <s v="Information Technology"/>
    <s v="Home Entertainment Software"/>
    <n v="0.6232167832167832"/>
    <n v="2228000000"/>
    <n v="8.951048951048951E-3"/>
    <n v="32000000"/>
  </r>
  <r>
    <x v="123"/>
    <n v="3"/>
    <n v="2015"/>
    <x v="99"/>
    <n v="4515000000"/>
    <n v="1429000000"/>
    <n v="1030000000"/>
    <n v="1094000000"/>
    <n v="14000000"/>
    <s v="Information Technology"/>
    <s v="Home Entertainment Software"/>
    <n v="0.68349944629014403"/>
    <n v="3086000000"/>
    <n v="0.20996677740863787"/>
    <n v="948000000"/>
  </r>
  <r>
    <x v="123"/>
    <n v="4"/>
    <n v="2016"/>
    <x v="100"/>
    <n v="4396000000"/>
    <n v="1354000000"/>
    <n v="1028000000"/>
    <n v="1109000000"/>
    <n v="7000000"/>
    <s v="Information Technology"/>
    <s v="Home Entertainment Software"/>
    <n v="0.69199272065514106"/>
    <n v="3042000000"/>
    <n v="0.20427661510464057"/>
    <n v="898000000"/>
  </r>
  <r>
    <x v="124"/>
    <n v="1"/>
    <n v="2013"/>
    <x v="1"/>
    <n v="8257000000"/>
    <n v="1492000000"/>
    <n v="3260000000"/>
    <n v="915000000"/>
    <n v="136000000"/>
    <s v="Information Technology"/>
    <s v="Internet Software &amp; Services"/>
    <n v="0.81930483226353401"/>
    <n v="6765000000"/>
    <n v="0.29720237374349034"/>
    <n v="2454000000"/>
  </r>
  <r>
    <x v="124"/>
    <n v="2"/>
    <n v="2014"/>
    <x v="2"/>
    <n v="8790000000"/>
    <n v="1663000000"/>
    <n v="3593000000"/>
    <n v="983000000"/>
    <n v="75000000"/>
    <s v="Information Technology"/>
    <s v="Internet Software &amp; Services"/>
    <n v="0.81080773606370871"/>
    <n v="7127000000"/>
    <n v="0.28168373151308307"/>
    <n v="2476000000"/>
  </r>
  <r>
    <x v="124"/>
    <n v="3"/>
    <n v="2015"/>
    <x v="3"/>
    <n v="8592000000"/>
    <n v="1771000000"/>
    <n v="3660000000"/>
    <n v="923000000"/>
    <n v="41000000"/>
    <s v="Information Technology"/>
    <s v="Internet Software &amp; Services"/>
    <n v="0.79387802607076352"/>
    <n v="6821000000"/>
    <n v="0.25570297951582865"/>
    <n v="2197000000"/>
  </r>
  <r>
    <x v="124"/>
    <n v="4"/>
    <n v="2016"/>
    <x v="12"/>
    <n v="8979000000"/>
    <n v="2007000000"/>
    <n v="3499000000"/>
    <n v="1114000000"/>
    <n v="34000000"/>
    <s v="Information Technology"/>
    <s v="Internet Software &amp; Services"/>
    <n v="0.77647844971600399"/>
    <n v="6972000000"/>
    <n v="0.25893752088205813"/>
    <n v="2325000000"/>
  </r>
  <r>
    <x v="125"/>
    <n v="1"/>
    <n v="2012"/>
    <x v="0"/>
    <n v="11838700000"/>
    <n v="6385400000"/>
    <n v="4018300000"/>
    <n v="0"/>
    <n v="0"/>
    <s v="Materials"/>
    <s v="Specialty Chemicals"/>
    <n v="0.46063334656676835"/>
    <n v="5453300000"/>
    <n v="0.12121263314384181"/>
    <n v="1435000000"/>
  </r>
  <r>
    <x v="125"/>
    <n v="2"/>
    <n v="2013"/>
    <x v="1"/>
    <n v="13253400000"/>
    <n v="7161200000"/>
    <n v="4360300000"/>
    <n v="0"/>
    <n v="0"/>
    <s v="Materials"/>
    <s v="Specialty Chemicals"/>
    <n v="0.45967072600238434"/>
    <n v="6092200000"/>
    <n v="0.13067590203268595"/>
    <n v="1731900000"/>
  </r>
  <r>
    <x v="125"/>
    <n v="3"/>
    <n v="2014"/>
    <x v="2"/>
    <n v="14280500000"/>
    <n v="7679100000"/>
    <n v="4577600000"/>
    <n v="0"/>
    <n v="0"/>
    <s v="Materials"/>
    <s v="Specialty Chemicals"/>
    <n v="0.4622667273554848"/>
    <n v="6601400000"/>
    <n v="0.14171772697034418"/>
    <n v="2023800000"/>
  </r>
  <r>
    <x v="125"/>
    <n v="4"/>
    <n v="2015"/>
    <x v="3"/>
    <n v="13545100000"/>
    <n v="7223500000"/>
    <n v="4345500000"/>
    <n v="0"/>
    <n v="0"/>
    <s v="Materials"/>
    <s v="Specialty Chemicals"/>
    <n v="0.46670751784778264"/>
    <n v="6321600000"/>
    <n v="0.14589039578888308"/>
    <n v="1976100000"/>
  </r>
  <r>
    <x v="126"/>
    <n v="1"/>
    <n v="2013"/>
    <x v="1"/>
    <n v="12354000000"/>
    <n v="7191000000"/>
    <n v="1895000000"/>
    <n v="0"/>
    <n v="1024000000"/>
    <s v="Utilities"/>
    <s v="Electric Utilities"/>
    <n v="0.41792132102962598"/>
    <n v="5163000000"/>
    <n v="0.18164157357940747"/>
    <n v="2244000000"/>
  </r>
  <r>
    <x v="126"/>
    <n v="2"/>
    <n v="2014"/>
    <x v="2"/>
    <n v="12919000000"/>
    <n v="7807000000"/>
    <n v="1877000000"/>
    <n v="0"/>
    <n v="1071000000"/>
    <s v="Utilities"/>
    <s v="Electric Utilities"/>
    <n v="0.39569626132053559"/>
    <n v="5112000000"/>
    <n v="0.16750522486260547"/>
    <n v="2164000000"/>
  </r>
  <r>
    <x v="126"/>
    <n v="3"/>
    <n v="2015"/>
    <x v="3"/>
    <n v="12554000000"/>
    <n v="7060000000"/>
    <n v="1937000000"/>
    <n v="0"/>
    <n v="1130000000"/>
    <s v="Utilities"/>
    <s v="Electric Utilities"/>
    <n v="0.43762944081567623"/>
    <n v="5494000000"/>
    <n v="0.19332483670543252"/>
    <n v="2427000000"/>
  </r>
  <r>
    <x v="126"/>
    <n v="4"/>
    <n v="2016"/>
    <x v="12"/>
    <n v="12075000000"/>
    <n v="6357000000"/>
    <n v="2031000000"/>
    <n v="0"/>
    <n v="1216000000"/>
    <s v="Utilities"/>
    <s v="Electric Utilities"/>
    <n v="0.47354037267080751"/>
    <n v="5718000000"/>
    <n v="0.2046376811594203"/>
    <n v="2471000000"/>
  </r>
  <r>
    <x v="127"/>
    <n v="1"/>
    <n v="2012"/>
    <x v="0"/>
    <n v="2073000000"/>
    <n v="759500000"/>
    <n v="673500000"/>
    <n v="0"/>
    <n v="160000000"/>
    <s v="Industrials"/>
    <s v="Research &amp; Consulting Services"/>
    <n v="0.63362276893391223"/>
    <n v="1313500000"/>
    <n v="0.23154848046309695"/>
    <n v="480000000"/>
  </r>
  <r>
    <x v="127"/>
    <n v="2"/>
    <n v="2013"/>
    <x v="1"/>
    <n v="2303900000"/>
    <n v="787300000"/>
    <n v="715800000"/>
    <n v="0"/>
    <n v="189600000"/>
    <s v="Industrials"/>
    <s v="Research &amp; Consulting Services"/>
    <n v="0.6582750987456053"/>
    <n v="1516600000"/>
    <n v="0.26528929206996832"/>
    <n v="611200000"/>
  </r>
  <r>
    <x v="127"/>
    <n v="3"/>
    <n v="2014"/>
    <x v="2"/>
    <n v="2436400000"/>
    <n v="844700000"/>
    <n v="751700000"/>
    <n v="0"/>
    <n v="201800000"/>
    <s v="Industrials"/>
    <s v="Research &amp; Consulting Services"/>
    <n v="0.65329995074700375"/>
    <n v="1591700000"/>
    <n v="0.26194385158430472"/>
    <n v="638200000"/>
  </r>
  <r>
    <x v="127"/>
    <n v="4"/>
    <n v="2015"/>
    <x v="3"/>
    <n v="2663600000"/>
    <n v="887400000"/>
    <n v="884300000"/>
    <n v="0"/>
    <n v="198000000"/>
    <s v="Industrials"/>
    <s v="Research &amp; Consulting Services"/>
    <n v="0.66684186814837065"/>
    <n v="1776200000"/>
    <n v="0.26051208890223759"/>
    <n v="693900000"/>
  </r>
  <r>
    <x v="128"/>
    <n v="1"/>
    <n v="2012"/>
    <x v="0"/>
    <n v="11862000000"/>
    <n v="7747000000"/>
    <n v="296000000"/>
    <n v="0"/>
    <n v="1562000000"/>
    <s v="Utilities"/>
    <s v="Electric Utilities"/>
    <n v="0.34690608666329459"/>
    <n v="4115000000"/>
    <n v="0.19027145506659923"/>
    <n v="2257000000"/>
  </r>
  <r>
    <x v="128"/>
    <n v="2"/>
    <n v="2013"/>
    <x v="1"/>
    <n v="12581000000"/>
    <n v="8364000000"/>
    <n v="309000000"/>
    <n v="0"/>
    <n v="1622000000"/>
    <s v="Utilities"/>
    <s v="Electric Utilities"/>
    <n v="0.33518798187743426"/>
    <n v="4217000000"/>
    <n v="0.18170256736348461"/>
    <n v="2286000000"/>
  </r>
  <r>
    <x v="128"/>
    <n v="3"/>
    <n v="2014"/>
    <x v="2"/>
    <n v="13413000000"/>
    <n v="8742000000"/>
    <n v="322000000"/>
    <n v="0"/>
    <n v="1720000000"/>
    <s v="Utilities"/>
    <s v="Electric Utilities"/>
    <n v="0.34824424066204429"/>
    <n v="4671000000"/>
    <n v="0.19600387683590548"/>
    <n v="2629000000"/>
  </r>
  <r>
    <x v="128"/>
    <n v="4"/>
    <n v="2015"/>
    <x v="3"/>
    <n v="11524000000"/>
    <n v="7256000000"/>
    <n v="336000000"/>
    <n v="0"/>
    <n v="1919000000"/>
    <s v="Utilities"/>
    <s v="Electric Utilities"/>
    <n v="0.37035751475182233"/>
    <n v="4268000000"/>
    <n v="0.17467893092676154"/>
    <n v="2013000000"/>
  </r>
  <r>
    <x v="129"/>
    <n v="1"/>
    <n v="2013"/>
    <x v="61"/>
    <n v="10181700000"/>
    <n v="2025900000"/>
    <n v="6597000000"/>
    <n v="0"/>
    <n v="0"/>
    <s v="Consumer Staples"/>
    <s v="Personal Products"/>
    <n v="0.80102536904446209"/>
    <n v="8155800000"/>
    <n v="0.1530982056041722"/>
    <n v="1558800000"/>
  </r>
  <r>
    <x v="129"/>
    <n v="2"/>
    <n v="2014"/>
    <x v="62"/>
    <n v="10968800000"/>
    <n v="2158200000"/>
    <n v="6985900000"/>
    <n v="0"/>
    <n v="0"/>
    <s v="Consumer Staples"/>
    <s v="Personal Products"/>
    <n v="0.80324192254394289"/>
    <n v="8810600000"/>
    <n v="0.16635365764714463"/>
    <n v="1824700000"/>
  </r>
  <r>
    <x v="129"/>
    <n v="3"/>
    <n v="2015"/>
    <x v="63"/>
    <n v="10780400000"/>
    <n v="2100600000"/>
    <n v="7073500000"/>
    <n v="0"/>
    <n v="0"/>
    <s v="Consumer Staples"/>
    <s v="Personal Products"/>
    <n v="0.80514637675781975"/>
    <n v="8679800000"/>
    <n v="0.1490018923231049"/>
    <n v="1606300000"/>
  </r>
  <r>
    <x v="129"/>
    <n v="4"/>
    <n v="2016"/>
    <x v="64"/>
    <n v="11262300000"/>
    <n v="2181100000"/>
    <n v="7337800000"/>
    <n v="0"/>
    <n v="0"/>
    <s v="Consumer Staples"/>
    <s v="Personal Products"/>
    <n v="0.80633618355042924"/>
    <n v="9081200000"/>
    <n v="0.15479964128108822"/>
    <n v="1743400000"/>
  </r>
  <r>
    <x v="130"/>
    <n v="1"/>
    <n v="2012"/>
    <x v="0"/>
    <n v="8102000000"/>
    <n v="6340000000"/>
    <n v="644000000"/>
    <n v="198000000"/>
    <n v="0"/>
    <s v="Materials"/>
    <s v="Diversified Chemicals"/>
    <n v="0.21747716613181933"/>
    <n v="1762000000"/>
    <n v="0.11355220933102937"/>
    <n v="920000000"/>
  </r>
  <r>
    <x v="130"/>
    <n v="2"/>
    <n v="2013"/>
    <x v="1"/>
    <n v="9350000000"/>
    <n v="6574000000"/>
    <n v="645000000"/>
    <n v="193000000"/>
    <n v="0"/>
    <s v="Materials"/>
    <s v="Diversified Chemicals"/>
    <n v="0.29689839572192511"/>
    <n v="2776000000"/>
    <n v="0.20727272727272728"/>
    <n v="1938000000"/>
  </r>
  <r>
    <x v="130"/>
    <n v="3"/>
    <n v="2014"/>
    <x v="2"/>
    <n v="9527000000"/>
    <n v="7306000000"/>
    <n v="755000000"/>
    <n v="227000000"/>
    <n v="0"/>
    <s v="Materials"/>
    <s v="Diversified Chemicals"/>
    <n v="0.23312690248766665"/>
    <n v="2221000000"/>
    <n v="0.13005143277002204"/>
    <n v="1239000000"/>
  </r>
  <r>
    <x v="130"/>
    <n v="4"/>
    <n v="2015"/>
    <x v="3"/>
    <n v="9648000000"/>
    <n v="7068000000"/>
    <n v="762000000"/>
    <n v="251000000"/>
    <n v="0"/>
    <s v="Materials"/>
    <s v="Diversified Chemicals"/>
    <n v="0.26741293532338306"/>
    <n v="2580000000"/>
    <n v="0.16241708126036483"/>
    <n v="1567000000"/>
  </r>
  <r>
    <x v="131"/>
    <n v="1"/>
    <n v="2013"/>
    <x v="29"/>
    <n v="24669000000"/>
    <n v="14717000000"/>
    <n v="6010000000"/>
    <n v="0"/>
    <n v="0"/>
    <s v="Industrials"/>
    <s v="Industrial Conglomerates"/>
    <n v="0.40342129798532567"/>
    <n v="9952000000"/>
    <n v="0.15979569500182414"/>
    <n v="3942000000"/>
  </r>
  <r>
    <x v="131"/>
    <n v="2"/>
    <n v="2014"/>
    <x v="30"/>
    <n v="17733000000"/>
    <n v="9971000000"/>
    <n v="4375000000"/>
    <n v="0"/>
    <n v="0"/>
    <s v="Industrials"/>
    <s v="Industrial Conglomerates"/>
    <n v="0.43771499464275643"/>
    <n v="7762000000"/>
    <n v="0.19099983082388766"/>
    <n v="3387000000"/>
  </r>
  <r>
    <x v="131"/>
    <n v="3"/>
    <n v="2015"/>
    <x v="31"/>
    <n v="16249000000"/>
    <n v="9241000000"/>
    <n v="4065000000"/>
    <n v="0"/>
    <n v="0"/>
    <s v="Industrials"/>
    <s v="Industrial Conglomerates"/>
    <n v="0.43128807926641644"/>
    <n v="7008000000"/>
    <n v="0.18111883808234353"/>
    <n v="2943000000"/>
  </r>
  <r>
    <x v="131"/>
    <n v="4"/>
    <n v="2016"/>
    <x v="32"/>
    <n v="14522000000"/>
    <n v="8260000000"/>
    <n v="3758000000"/>
    <n v="0"/>
    <n v="0"/>
    <s v="Industrials"/>
    <s v="Industrial Conglomerates"/>
    <n v="0.43120782261396506"/>
    <n v="6262000000"/>
    <n v="0.17242804021484645"/>
    <n v="2504000000"/>
  </r>
  <r>
    <x v="132"/>
    <n v="1"/>
    <n v="2012"/>
    <x v="0"/>
    <n v="11682636000"/>
    <n v="1699428000"/>
    <n v="3862434000"/>
    <n v="0"/>
    <n v="3169703000"/>
    <s v="Energy"/>
    <s v="Oil &amp; Gas Exploration &amp; Production"/>
    <n v="0.85453385691379924"/>
    <n v="9983208000"/>
    <n v="0.25260317962487233"/>
    <n v="2951071000"/>
  </r>
  <r>
    <x v="132"/>
    <n v="2"/>
    <n v="2013"/>
    <x v="1"/>
    <n v="14487118000"/>
    <n v="2066893000"/>
    <n v="4621096000"/>
    <n v="0"/>
    <n v="3600976000"/>
    <s v="Energy"/>
    <s v="Oil &amp; Gas Exploration &amp; Production"/>
    <n v="0.85732890420303054"/>
    <n v="12420225000"/>
    <n v="0.28978524230975411"/>
    <n v="4198153000"/>
  </r>
  <r>
    <x v="132"/>
    <n v="3"/>
    <n v="2014"/>
    <x v="2"/>
    <n v="18035340000"/>
    <n v="2534389000"/>
    <n v="5285634000"/>
    <n v="0"/>
    <n v="3997041000"/>
    <s v="Energy"/>
    <s v="Oil &amp; Gas Exploration &amp; Production"/>
    <n v="0.85947650557183841"/>
    <n v="15500951000"/>
    <n v="0.34478285410754661"/>
    <n v="6218276000"/>
  </r>
  <r>
    <x v="132"/>
    <n v="4"/>
    <n v="2015"/>
    <x v="3"/>
    <n v="8757428000"/>
    <n v="2177757000"/>
    <n v="3174320000"/>
    <n v="0"/>
    <n v="3313644000"/>
    <s v="Energy"/>
    <s v="Oil &amp; Gas Exploration &amp; Production"/>
    <n v="0.75132458982249128"/>
    <n v="6579671000"/>
    <n v="1.0471910245793628E-2"/>
    <n v="91707000"/>
  </r>
  <r>
    <x v="133"/>
    <n v="1"/>
    <n v="2012"/>
    <x v="0"/>
    <n v="1887376000"/>
    <n v="944617000"/>
    <n v="531180000"/>
    <n v="0"/>
    <n v="0"/>
    <s v="Real Estate"/>
    <s v="REITs"/>
    <n v="0.49950778223311099"/>
    <n v="942759000"/>
    <n v="0.21806942548808506"/>
    <n v="411579000"/>
  </r>
  <r>
    <x v="133"/>
    <n v="2"/>
    <n v="2013"/>
    <x v="1"/>
    <n v="2152766000"/>
    <n v="1064403000"/>
    <n v="621413000"/>
    <n v="0"/>
    <n v="0"/>
    <s v="Real Estate"/>
    <s v="REITs"/>
    <n v="0.505564933671379"/>
    <n v="1088363000"/>
    <n v="0.2169069931427754"/>
    <n v="466950000"/>
  </r>
  <r>
    <x v="133"/>
    <n v="3"/>
    <n v="2014"/>
    <x v="2"/>
    <n v="2443776000"/>
    <n v="1197885000"/>
    <n v="734119000"/>
    <n v="0"/>
    <n v="0"/>
    <s v="Real Estate"/>
    <s v="REITs"/>
    <n v="0.50982209498742925"/>
    <n v="1245891000"/>
    <n v="0.20941853917871359"/>
    <n v="511772000"/>
  </r>
  <r>
    <x v="133"/>
    <n v="4"/>
    <n v="2015"/>
    <x v="3"/>
    <n v="2725867000"/>
    <n v="1291506000"/>
    <n v="825296000"/>
    <n v="0"/>
    <n v="0"/>
    <s v="Real Estate"/>
    <s v="REITs"/>
    <n v="0.52620358953683355"/>
    <n v="1434361000"/>
    <n v="0.22343900124254046"/>
    <n v="609065000"/>
  </r>
  <r>
    <x v="134"/>
    <n v="1"/>
    <n v="2012"/>
    <x v="0"/>
    <n v="1747502000"/>
    <n v="625507000"/>
    <n v="47233000"/>
    <n v="0"/>
    <n v="560669000"/>
    <s v="Real Estate"/>
    <s v="REITs"/>
    <n v="0.64205648977798024"/>
    <n v="1121995000"/>
    <n v="0.29418736001446638"/>
    <n v="514093000"/>
  </r>
  <r>
    <x v="134"/>
    <n v="2"/>
    <n v="2013"/>
    <x v="1"/>
    <n v="2387702000"/>
    <n v="834228000"/>
    <n v="62179000"/>
    <n v="0"/>
    <n v="978973000"/>
    <s v="Real Estate"/>
    <s v="REITs"/>
    <n v="0.65061469144809525"/>
    <n v="1553474000"/>
    <n v="0.21456697695106006"/>
    <n v="512322000"/>
  </r>
  <r>
    <x v="134"/>
    <n v="3"/>
    <n v="2014"/>
    <x v="2"/>
    <n v="2614748000"/>
    <n v="883564000"/>
    <n v="50948000"/>
    <n v="0"/>
    <n v="758861000"/>
    <s v="Real Estate"/>
    <s v="REITs"/>
    <n v="0.66208445326280008"/>
    <n v="1731184000"/>
    <n v="0.35237621369248584"/>
    <n v="921375000"/>
  </r>
  <r>
    <x v="134"/>
    <n v="4"/>
    <n v="2015"/>
    <x v="3"/>
    <n v="2744965000"/>
    <n v="905168000"/>
    <n v="65082000"/>
    <n v="0"/>
    <n v="765895000"/>
    <s v="Real Estate"/>
    <s v="REITs"/>
    <n v="0.67024424719440867"/>
    <n v="1839797000"/>
    <n v="0.36751652571162108"/>
    <n v="1008820000"/>
  </r>
  <r>
    <x v="135"/>
    <n v="1"/>
    <n v="2013"/>
    <x v="1"/>
    <n v="1859177000"/>
    <n v="354561000"/>
    <n v="200849000"/>
    <n v="0"/>
    <n v="653132000"/>
    <s v="Energy"/>
    <s v="Oil &amp; Gas Exploration &amp; Production"/>
    <n v="0.8092914230328796"/>
    <n v="1504616000"/>
    <n v="0.34995861071861367"/>
    <n v="650635000"/>
  </r>
  <r>
    <x v="135"/>
    <n v="2"/>
    <n v="2014"/>
    <x v="2"/>
    <n v="2388768000"/>
    <n v="443974000"/>
    <n v="238134000"/>
    <n v="0"/>
    <n v="679298000"/>
    <s v="Energy"/>
    <s v="Oil &amp; Gas Exploration &amp; Production"/>
    <n v="0.81414101327546251"/>
    <n v="1944794000"/>
    <n v="0.43008027569023027"/>
    <n v="1027362000"/>
  </r>
  <r>
    <x v="135"/>
    <n v="3"/>
    <n v="2015"/>
    <x v="3"/>
    <n v="1954000000"/>
    <n v="523043000"/>
    <n v="249925000"/>
    <n v="0"/>
    <n v="819216000"/>
    <s v="Energy"/>
    <s v="Oil &amp; Gas Exploration &amp; Production"/>
    <n v="0.73232190378710338"/>
    <n v="1430957000"/>
    <n v="0.18516683725690891"/>
    <n v="361816000"/>
  </r>
  <r>
    <x v="135"/>
    <n v="4"/>
    <n v="2016"/>
    <x v="12"/>
    <n v="1857339000"/>
    <n v="613909000"/>
    <n v="272747000"/>
    <n v="0"/>
    <n v="927920000"/>
    <s v="Energy"/>
    <s v="Oil &amp; Gas Exploration &amp; Production"/>
    <n v="0.66946852459351791"/>
    <n v="1243430000"/>
    <n v="2.3023799101833321E-2"/>
    <n v="42763000"/>
  </r>
  <r>
    <x v="136"/>
    <n v="1"/>
    <n v="2012"/>
    <x v="0"/>
    <n v="6273787000"/>
    <n v="3667434000"/>
    <n v="747356000"/>
    <n v="0"/>
    <n v="740791000"/>
    <s v="Utilities"/>
    <s v="MultiUtilities"/>
    <n v="0.41543536623095434"/>
    <n v="2606353000"/>
    <n v="0.17823461332047136"/>
    <n v="1118206000"/>
  </r>
  <r>
    <x v="136"/>
    <n v="2"/>
    <n v="2013"/>
    <x v="1"/>
    <n v="7301204000"/>
    <n v="3997940000"/>
    <n v="914149000"/>
    <n v="0"/>
    <n v="859680000"/>
    <s v="Utilities"/>
    <s v="MultiUtilities"/>
    <n v="0.4524272982921721"/>
    <n v="3303264000"/>
    <n v="0.20947709446277626"/>
    <n v="1529435000"/>
  </r>
  <r>
    <x v="136"/>
    <n v="3"/>
    <n v="2014"/>
    <x v="2"/>
    <n v="7741856000"/>
    <n v="4449139000"/>
    <n v="1034507000"/>
    <n v="0"/>
    <n v="625361000"/>
    <s v="Utilities"/>
    <s v="MultiUtilities"/>
    <n v="0.42531364572009611"/>
    <n v="3292717000"/>
    <n v="0.2109118278614327"/>
    <n v="1632849000"/>
  </r>
  <r>
    <x v="136"/>
    <n v="4"/>
    <n v="2015"/>
    <x v="3"/>
    <n v="7954827000"/>
    <n v="4416194000"/>
    <n v="1086274000"/>
    <n v="0"/>
    <n v="688195000"/>
    <s v="Utilities"/>
    <s v="MultiUtilities"/>
    <n v="0.4448409751714274"/>
    <n v="3538633000"/>
    <n v="0.22177276765415516"/>
    <n v="1764164000"/>
  </r>
  <r>
    <x v="137"/>
    <n v="1"/>
    <n v="2012"/>
    <x v="0"/>
    <n v="535153000"/>
    <n v="172167000"/>
    <n v="24573000"/>
    <n v="0"/>
    <n v="169173000"/>
    <s v="Real Estate"/>
    <s v="Residential REITs"/>
    <n v="0.6782845279761115"/>
    <n v="362986000"/>
    <n v="0.31624600815094001"/>
    <n v="169240000"/>
  </r>
  <r>
    <x v="137"/>
    <n v="2"/>
    <n v="2013"/>
    <x v="1"/>
    <n v="610590000"/>
    <n v="197336000"/>
    <n v="26684000"/>
    <n v="0"/>
    <n v="192420000"/>
    <s v="Real Estate"/>
    <s v="Residential REITs"/>
    <n v="0.67681095334021191"/>
    <n v="413254000"/>
    <n v="0.31797114266529097"/>
    <n v="194150000"/>
  </r>
  <r>
    <x v="137"/>
    <n v="3"/>
    <n v="2014"/>
    <x v="2"/>
    <n v="970938000"/>
    <n v="312546000"/>
    <n v="40878000"/>
    <n v="0"/>
    <n v="360592000"/>
    <s v="Real Estate"/>
    <s v="Residential REITs"/>
    <n v="0.67809891053805704"/>
    <n v="658392000"/>
    <n v="0.2646121585518334"/>
    <n v="256922000"/>
  </r>
  <r>
    <x v="137"/>
    <n v="4"/>
    <n v="2015"/>
    <x v="3"/>
    <n v="1194407000"/>
    <n v="363508000"/>
    <n v="40090000"/>
    <n v="0"/>
    <n v="453423000"/>
    <s v="Real Estate"/>
    <s v="Residential REITs"/>
    <n v="0.69565818016806669"/>
    <n v="830899000"/>
    <n v="0.28247155282914449"/>
    <n v="337386000"/>
  </r>
  <r>
    <x v="138"/>
    <n v="1"/>
    <n v="2012"/>
    <x v="0"/>
    <n v="3589516000"/>
    <n v="1955682000"/>
    <n v="0"/>
    <n v="0"/>
    <n v="787329000"/>
    <s v="Financials"/>
    <s v="Life &amp; Health Insurance"/>
    <n v="0.45516832910063643"/>
    <n v="1633834000"/>
    <n v="0.23582705857837102"/>
    <n v="846505000"/>
  </r>
  <r>
    <x v="138"/>
    <n v="2"/>
    <n v="2013"/>
    <x v="1"/>
    <n v="3494253000"/>
    <n v="1838766000"/>
    <n v="0"/>
    <n v="0"/>
    <n v="819711000"/>
    <s v="Financials"/>
    <s v="Life &amp; Health Insurance"/>
    <n v="0.47377422298843275"/>
    <n v="1655487000"/>
    <n v="0.23918588608208965"/>
    <n v="835776000"/>
  </r>
  <r>
    <x v="138"/>
    <n v="3"/>
    <n v="2014"/>
    <x v="2"/>
    <n v="3620095000"/>
    <n v="1903384000"/>
    <n v="0"/>
    <n v="0"/>
    <n v="855908000"/>
    <s v="Financials"/>
    <s v="Life &amp; Health Insurance"/>
    <n v="0.47421711308681125"/>
    <n v="1716711000"/>
    <n v="0.23778464377316064"/>
    <n v="860803000"/>
  </r>
  <r>
    <x v="138"/>
    <n v="4"/>
    <n v="2015"/>
    <x v="3"/>
    <n v="3766065000"/>
    <n v="2016212000"/>
    <n v="0"/>
    <n v="0"/>
    <n v="907024000"/>
    <s v="Financials"/>
    <s v="Life &amp; Health Insurance"/>
    <n v="0.46463696192179371"/>
    <n v="1749853000"/>
    <n v="0.22379565939515117"/>
    <n v="842829000"/>
  </r>
  <r>
    <x v="139"/>
    <n v="1"/>
    <n v="2012"/>
    <x v="0"/>
    <n v="16311000000"/>
    <n v="11448000000"/>
    <n v="2894000000"/>
    <n v="439000000"/>
    <n v="0"/>
    <s v="Industrials"/>
    <s v="Industrial Conglomerates"/>
    <n v="0.2981423579179695"/>
    <n v="4863000000"/>
    <n v="9.3801728894610997E-2"/>
    <n v="1530000000"/>
  </r>
  <r>
    <x v="139"/>
    <n v="2"/>
    <n v="2013"/>
    <x v="1"/>
    <n v="22046000000"/>
    <n v="15369000000"/>
    <n v="3886000000"/>
    <n v="644000000"/>
    <n v="0"/>
    <s v="Industrials"/>
    <s v="Industrial Conglomerates"/>
    <n v="0.3028667331942303"/>
    <n v="6677000000"/>
    <n v="9.7387281139435719E-2"/>
    <n v="2147000000"/>
  </r>
  <r>
    <x v="139"/>
    <n v="3"/>
    <n v="2014"/>
    <x v="2"/>
    <n v="22552000000"/>
    <n v="15646000000"/>
    <n v="3810000000"/>
    <n v="647000000"/>
    <n v="0"/>
    <s v="Industrials"/>
    <s v="Industrial Conglomerates"/>
    <n v="0.30622561191912023"/>
    <n v="6906000000"/>
    <n v="0.10859347286271727"/>
    <n v="2449000000"/>
  </r>
  <r>
    <x v="139"/>
    <n v="4"/>
    <n v="2015"/>
    <x v="3"/>
    <n v="20855000000"/>
    <n v="14292000000"/>
    <n v="3596000000"/>
    <n v="625000000"/>
    <n v="0"/>
    <s v="Industrials"/>
    <s v="Industrial Conglomerates"/>
    <n v="0.31469671541596744"/>
    <n v="6563000000"/>
    <n v="0.11229920882282426"/>
    <n v="2342000000"/>
  </r>
  <r>
    <x v="140"/>
    <n v="1"/>
    <n v="2012"/>
    <x v="0"/>
    <n v="10302079000"/>
    <n v="6583627000"/>
    <n v="917162000"/>
    <n v="0"/>
    <n v="1144585000"/>
    <s v="Utilities"/>
    <s v="Electric Utilities"/>
    <n v="0.36094190308577523"/>
    <n v="3718452000"/>
    <n v="0.16081268644901675"/>
    <n v="1656705000"/>
  </r>
  <r>
    <x v="140"/>
    <n v="2"/>
    <n v="2013"/>
    <x v="1"/>
    <n v="11390947000"/>
    <n v="7588885000"/>
    <n v="888051000"/>
    <n v="0"/>
    <n v="1261044000"/>
    <s v="Utilities"/>
    <s v="Electric Utilities"/>
    <n v="0.33377927225892634"/>
    <n v="3802062000"/>
    <n v="0.14511234228374514"/>
    <n v="1652967000"/>
  </r>
  <r>
    <x v="140"/>
    <n v="3"/>
    <n v="2014"/>
    <x v="2"/>
    <n v="12494921000"/>
    <n v="8126187000"/>
    <n v="863455000"/>
    <n v="0"/>
    <n v="1318638000"/>
    <s v="Utilities"/>
    <s v="Electric Utilities"/>
    <n v="0.34964078604418547"/>
    <n v="4368734000"/>
    <n v="0.17500238696987361"/>
    <n v="2186641000"/>
  </r>
  <r>
    <x v="140"/>
    <n v="4"/>
    <n v="2015"/>
    <x v="3"/>
    <n v="11513251000"/>
    <n v="7449273000"/>
    <n v="1074998000"/>
    <n v="0"/>
    <n v="1337276000"/>
    <s v="Utilities"/>
    <s v="Electric Utilities"/>
    <n v="0.35298266319391458"/>
    <n v="4063978000"/>
    <n v="0.14346113013604933"/>
    <n v="1651704000"/>
  </r>
  <r>
    <x v="141"/>
    <n v="1"/>
    <n v="2013"/>
    <x v="1"/>
    <n v="26191000000"/>
    <n v="13307000000"/>
    <n v="3757000000"/>
    <n v="0"/>
    <n v="3821000000"/>
    <s v="Financials"/>
    <s v="Property &amp; Casualty Insurance"/>
    <n v="0.49192470696040624"/>
    <n v="12884000000"/>
    <n v="0.2025886754992173"/>
    <n v="5306000000"/>
  </r>
  <r>
    <x v="141"/>
    <n v="2"/>
    <n v="2014"/>
    <x v="2"/>
    <n v="27174000000"/>
    <n v="13870000000"/>
    <n v="3964000000"/>
    <n v="0"/>
    <n v="3882000000"/>
    <s v="Financials"/>
    <s v="Property &amp; Casualty Insurance"/>
    <n v="0.48958563332597338"/>
    <n v="13304000000"/>
    <n v="0.20085375726797675"/>
    <n v="5458000000"/>
  </r>
  <r>
    <x v="141"/>
    <n v="3"/>
    <n v="2015"/>
    <x v="3"/>
    <n v="26815000000"/>
    <n v="13723000000"/>
    <n v="4094000000"/>
    <n v="0"/>
    <n v="3885000000"/>
    <s v="Financials"/>
    <s v="Property &amp; Casualty Insurance"/>
    <n v="0.48823419727764306"/>
    <n v="13092000000"/>
    <n v="0.19067685996643668"/>
    <n v="5113000000"/>
  </r>
  <r>
    <x v="141"/>
    <n v="4"/>
    <n v="2016"/>
    <x v="12"/>
    <n v="27625000000"/>
    <n v="15070000000"/>
    <n v="4154000000"/>
    <n v="0"/>
    <n v="3985000000"/>
    <s v="Financials"/>
    <s v="Property &amp; Casualty Insurance"/>
    <n v="0.45447963800904978"/>
    <n v="12555000000"/>
    <n v="0.15985520361990951"/>
    <n v="4416000000"/>
  </r>
  <r>
    <x v="142"/>
    <n v="1"/>
    <n v="2013"/>
    <x v="1"/>
    <n v="24888000000"/>
    <n v="17994000000"/>
    <n v="1095000000"/>
    <n v="0"/>
    <n v="2153000000"/>
    <s v="Utilities"/>
    <s v="MultiUtilities"/>
    <n v="0.27700096432015431"/>
    <n v="6894000000"/>
    <n v="0.14649630343940856"/>
    <n v="3646000000"/>
  </r>
  <r>
    <x v="142"/>
    <n v="2"/>
    <n v="2014"/>
    <x v="2"/>
    <n v="27429000000"/>
    <n v="21571000000"/>
    <n v="1154000000"/>
    <n v="0"/>
    <n v="2314000000"/>
    <s v="Utilities"/>
    <s v="MultiUtilities"/>
    <n v="0.21356957964198475"/>
    <n v="5858000000"/>
    <n v="8.7134055197054208E-2"/>
    <n v="2390000000"/>
  </r>
  <r>
    <x v="142"/>
    <n v="3"/>
    <n v="2015"/>
    <x v="3"/>
    <n v="29447000000"/>
    <n v="21406000000"/>
    <n v="1200000000"/>
    <n v="0"/>
    <n v="2450000000"/>
    <s v="Utilities"/>
    <s v="MultiUtilities"/>
    <n v="0.27306686589465823"/>
    <n v="8041000000"/>
    <n v="0.14911535979896084"/>
    <n v="4391000000"/>
  </r>
  <r>
    <x v="142"/>
    <n v="4"/>
    <n v="2016"/>
    <x v="12"/>
    <n v="31360000000"/>
    <n v="22688000000"/>
    <n v="1576000000"/>
    <n v="0"/>
    <n v="3936000000"/>
    <s v="Utilities"/>
    <s v="MultiUtilities"/>
    <n v="0.27653061224489794"/>
    <n v="8672000000"/>
    <n v="0.10076530612244898"/>
    <n v="3160000000"/>
  </r>
  <r>
    <x v="143"/>
    <n v="1"/>
    <n v="2012"/>
    <x v="0"/>
    <n v="5992215000"/>
    <n v="4156845000"/>
    <n v="1264632000"/>
    <n v="0"/>
    <n v="39940000"/>
    <s v="Industrials"/>
    <s v="Air Freight &amp; Logistics"/>
    <n v="0.30629241440769395"/>
    <n v="1835370000"/>
    <n v="8.8581267527950855E-2"/>
    <n v="530798000"/>
  </r>
  <r>
    <x v="143"/>
    <n v="2"/>
    <n v="2013"/>
    <x v="1"/>
    <n v="6080257000"/>
    <n v="4197404000"/>
    <n v="1282709000"/>
    <n v="0"/>
    <n v="48071000"/>
    <s v="Industrials"/>
    <s v="Air Freight &amp; Logistics"/>
    <n v="0.309666680207761"/>
    <n v="1882853000"/>
    <n v="9.0797642270713227E-2"/>
    <n v="552073000"/>
  </r>
  <r>
    <x v="143"/>
    <n v="3"/>
    <n v="2014"/>
    <x v="2"/>
    <n v="6564721000"/>
    <n v="4583294000"/>
    <n v="1337487000"/>
    <n v="0"/>
    <n v="49292000"/>
    <s v="Industrials"/>
    <s v="Air Freight &amp; Logistics"/>
    <n v="0.3018295827042764"/>
    <n v="1981427000"/>
    <n v="9.058237204597118E-2"/>
    <n v="594648000"/>
  </r>
  <r>
    <x v="143"/>
    <n v="4"/>
    <n v="2015"/>
    <x v="3"/>
    <n v="6616632000"/>
    <n v="4428855000"/>
    <n v="1420281000"/>
    <n v="0"/>
    <n v="46012000"/>
    <s v="Industrials"/>
    <s v="Air Freight &amp; Logistics"/>
    <n v="0.33064813034788698"/>
    <n v="2187777000"/>
    <n v="0.10904097432047"/>
    <n v="721484000"/>
  </r>
  <r>
    <x v="144"/>
    <n v="1"/>
    <n v="2013"/>
    <x v="1"/>
    <n v="4771259000"/>
    <n v="1038034000"/>
    <n v="3151043000"/>
    <n v="0"/>
    <n v="71731000"/>
    <s v="Consumer Discretionary"/>
    <s v="Internet &amp; Direct Marketing Retail"/>
    <n v="0.78244023223220538"/>
    <n v="3733225000"/>
    <n v="0.10698455061861031"/>
    <n v="510451000"/>
  </r>
  <r>
    <x v="144"/>
    <n v="2"/>
    <n v="2014"/>
    <x v="2"/>
    <n v="5763485000"/>
    <n v="1179081000"/>
    <n v="3919856000"/>
    <n v="0"/>
    <n v="76773000"/>
    <s v="Consumer Discretionary"/>
    <s v="Internet &amp; Direct Marketing Retail"/>
    <n v="0.79542221416382619"/>
    <n v="4584404000"/>
    <n v="0.10198256783872951"/>
    <n v="587775000"/>
  </r>
  <r>
    <x v="144"/>
    <n v="3"/>
    <n v="2015"/>
    <x v="3"/>
    <n v="6672317000"/>
    <n v="1309559000"/>
    <n v="4785243000"/>
    <n v="0"/>
    <n v="156458000"/>
    <s v="Consumer Discretionary"/>
    <s v="Internet &amp; Direct Marketing Retail"/>
    <n v="0.80373249652257228"/>
    <n v="5362758000"/>
    <n v="6.3105065301903365E-2"/>
    <n v="421057000"/>
  </r>
  <r>
    <x v="144"/>
    <n v="4"/>
    <n v="2016"/>
    <x v="12"/>
    <n v="8773564000"/>
    <n v="1596698000"/>
    <n v="6280728000"/>
    <n v="0"/>
    <n v="317141000"/>
    <s v="Consumer Discretionary"/>
    <s v="Internet &amp; Direct Marketing Retail"/>
    <n v="0.81801033194719963"/>
    <n v="7176866000"/>
    <n v="6.5993363700316082E-2"/>
    <n v="578997000"/>
  </r>
  <r>
    <x v="145"/>
    <n v="1"/>
    <n v="2012"/>
    <x v="0"/>
    <n v="409396000"/>
    <n v="114028000"/>
    <n v="58323000"/>
    <n v="0"/>
    <n v="74453000"/>
    <s v="Real Estate"/>
    <s v="Specialized REITs"/>
    <n v="0.72147260842802563"/>
    <n v="295368000"/>
    <n v="0.39715092477698855"/>
    <n v="162592000"/>
  </r>
  <r>
    <x v="145"/>
    <n v="2"/>
    <n v="2013"/>
    <x v="1"/>
    <n v="520613000"/>
    <n v="140012000"/>
    <n v="63268000"/>
    <n v="0"/>
    <n v="95232000"/>
    <s v="Real Estate"/>
    <s v="Specialized REITs"/>
    <n v="0.7310631889714625"/>
    <n v="380601000"/>
    <n v="0.42661439495364117"/>
    <n v="222101000"/>
  </r>
  <r>
    <x v="145"/>
    <n v="3"/>
    <n v="2014"/>
    <x v="2"/>
    <n v="647155000"/>
    <n v="172416000"/>
    <n v="71369000"/>
    <n v="0"/>
    <n v="115076000"/>
    <s v="Real Estate"/>
    <s v="Specialized REITs"/>
    <n v="0.73357850901252397"/>
    <n v="474739000"/>
    <n v="0.44547905833996493"/>
    <n v="288294000"/>
  </r>
  <r>
    <x v="145"/>
    <n v="4"/>
    <n v="2015"/>
    <x v="3"/>
    <n v="782270000"/>
    <n v="203965000"/>
    <n v="80791000"/>
    <n v="0"/>
    <n v="133457000"/>
    <s v="Real Estate"/>
    <s v="Specialized REITs"/>
    <n v="0.73926521533485878"/>
    <n v="578305000"/>
    <n v="0.46538535288327559"/>
    <n v="364057000"/>
  </r>
  <r>
    <x v="146"/>
    <n v="1"/>
    <n v="2013"/>
    <x v="1"/>
    <n v="146917000000"/>
    <n v="123050000000"/>
    <n v="10850000000"/>
    <n v="0"/>
    <n v="0"/>
    <s v="Consumer Discretionary"/>
    <s v="Automobile Manufacturers"/>
    <n v="0.16245226896819287"/>
    <n v="23867000000"/>
    <n v="8.8601046849581741E-2"/>
    <n v="13017000000"/>
  </r>
  <r>
    <x v="146"/>
    <n v="2"/>
    <n v="2014"/>
    <x v="2"/>
    <n v="144077000000"/>
    <n v="131903000000"/>
    <n v="11842000000"/>
    <n v="0"/>
    <n v="0"/>
    <s v="Consumer Discretionary"/>
    <s v="Automobile Manufacturers"/>
    <n v="8.4496484518694848E-2"/>
    <n v="12174000000"/>
    <n v="2.3043233826356741E-3"/>
    <n v="332000000"/>
  </r>
  <r>
    <x v="146"/>
    <n v="3"/>
    <n v="2015"/>
    <x v="3"/>
    <n v="149558000000"/>
    <n v="131409000000"/>
    <n v="10502000000"/>
    <n v="0"/>
    <n v="0"/>
    <s v="Consumer Discretionary"/>
    <s v="Automobile Manufacturers"/>
    <n v="0.1213509140266652"/>
    <n v="18149000000"/>
    <n v="5.113066502627743E-2"/>
    <n v="7647000000"/>
  </r>
  <r>
    <x v="146"/>
    <n v="4"/>
    <n v="2016"/>
    <x v="12"/>
    <n v="151800000000"/>
    <n v="135488000000"/>
    <n v="12196000000"/>
    <n v="0"/>
    <n v="0"/>
    <s v="Consumer Discretionary"/>
    <s v="Automobile Manufacturers"/>
    <n v="0.10745718050065878"/>
    <n v="16312000000"/>
    <n v="2.7114624505928855E-2"/>
    <n v="4116000000"/>
  </r>
  <r>
    <x v="147"/>
    <n v="1"/>
    <n v="2013"/>
    <x v="1"/>
    <n v="3326106000"/>
    <n v="1606661000"/>
    <n v="1007431000"/>
    <n v="0"/>
    <n v="0"/>
    <s v="Industrials"/>
    <s v="Building Products"/>
    <n v="0.51695436044431542"/>
    <n v="1719445000"/>
    <n v="0.21406834298125196"/>
    <n v="712014000"/>
  </r>
  <r>
    <x v="147"/>
    <n v="2"/>
    <n v="2014"/>
    <x v="2"/>
    <n v="3733507000"/>
    <n v="1836105000"/>
    <n v="1110776000"/>
    <n v="0"/>
    <n v="0"/>
    <s v="Industrials"/>
    <s v="Building Products"/>
    <n v="0.50820903777601067"/>
    <n v="1897402000"/>
    <n v="0.21069359184273659"/>
    <n v="786626000"/>
  </r>
  <r>
    <x v="147"/>
    <n v="3"/>
    <n v="2015"/>
    <x v="3"/>
    <n v="3869187000"/>
    <n v="1920253000"/>
    <n v="1121590000"/>
    <n v="0"/>
    <n v="0"/>
    <s v="Industrials"/>
    <s v="Building Products"/>
    <n v="0.50370633417304456"/>
    <n v="1948934000"/>
    <n v="0.21382889997304344"/>
    <n v="827344000"/>
  </r>
  <r>
    <x v="147"/>
    <n v="4"/>
    <n v="2016"/>
    <x v="12"/>
    <n v="3962036000"/>
    <n v="1997259000"/>
    <n v="1169470000"/>
    <n v="0"/>
    <n v="0"/>
    <s v="Industrials"/>
    <s v="Building Products"/>
    <n v="0.49590084491912745"/>
    <n v="1964777000"/>
    <n v="0.20073189642900771"/>
    <n v="795307000"/>
  </r>
  <r>
    <x v="148"/>
    <n v="1"/>
    <n v="2013"/>
    <x v="1"/>
    <n v="7872000000"/>
    <n v="1875000000"/>
    <n v="1778000000"/>
    <n v="1415000000"/>
    <n v="0"/>
    <s v="Information Technology"/>
    <s v="Internet Software &amp; Services"/>
    <n v="0.76181402439024393"/>
    <n v="5997000000"/>
    <n v="0.35619918699186992"/>
    <n v="2804000000"/>
  </r>
  <r>
    <x v="148"/>
    <n v="2"/>
    <n v="2014"/>
    <x v="2"/>
    <n v="12466000000"/>
    <n v="2153000000"/>
    <n v="2653000000"/>
    <n v="2666000000"/>
    <n v="0"/>
    <s v="Information Technology"/>
    <s v="Internet Software &amp; Services"/>
    <n v="0.82729022942403341"/>
    <n v="10313000000"/>
    <n v="0.40060965827049577"/>
    <n v="4994000000"/>
  </r>
  <r>
    <x v="148"/>
    <n v="3"/>
    <n v="2015"/>
    <x v="3"/>
    <n v="17928000000"/>
    <n v="2867000000"/>
    <n v="4020000000"/>
    <n v="4816000000"/>
    <n v="0"/>
    <s v="Information Technology"/>
    <s v="Internet Software &amp; Services"/>
    <n v="0.84008255243194996"/>
    <n v="15061000000"/>
    <n v="0.34722222222222221"/>
    <n v="6225000000"/>
  </r>
  <r>
    <x v="148"/>
    <n v="4"/>
    <n v="2016"/>
    <x v="12"/>
    <n v="27638000000"/>
    <n v="3789000000"/>
    <n v="5503000000"/>
    <n v="5919000000"/>
    <n v="0"/>
    <s v="Information Technology"/>
    <s v="Internet Software &amp; Services"/>
    <n v="0.86290614371517482"/>
    <n v="23849000000"/>
    <n v="0.44963456111151312"/>
    <n v="12427000000"/>
  </r>
  <r>
    <x v="149"/>
    <n v="1"/>
    <n v="2012"/>
    <x v="0"/>
    <n v="3134800000"/>
    <n v="2093200000"/>
    <n v="873100000"/>
    <n v="0"/>
    <n v="7400000"/>
    <s v="Industrials"/>
    <s v="Building Products"/>
    <n v="0.33227000127599848"/>
    <n v="1041600000"/>
    <n v="5.1390838330994004E-2"/>
    <n v="161100000"/>
  </r>
  <r>
    <x v="149"/>
    <n v="2"/>
    <n v="2013"/>
    <x v="1"/>
    <n v="3703600000"/>
    <n v="2408500000"/>
    <n v="938700000"/>
    <n v="0"/>
    <n v="9400000"/>
    <s v="Industrials"/>
    <s v="Building Products"/>
    <n v="0.34968679123015445"/>
    <n v="1295100000"/>
    <n v="9.3692623393455021E-2"/>
    <n v="347000000"/>
  </r>
  <r>
    <x v="149"/>
    <n v="3"/>
    <n v="2014"/>
    <x v="2"/>
    <n v="4013600000"/>
    <n v="2646700000"/>
    <n v="943300000"/>
    <n v="0"/>
    <n v="13100000"/>
    <s v="Industrials"/>
    <s v="Building Products"/>
    <n v="0.34056707195535185"/>
    <n v="1366900000"/>
    <n v="0.10227725732509468"/>
    <n v="410500000"/>
  </r>
  <r>
    <x v="149"/>
    <n v="4"/>
    <n v="2015"/>
    <x v="3"/>
    <n v="4579400000"/>
    <n v="2997500000"/>
    <n v="1047600000"/>
    <n v="0"/>
    <n v="21600000"/>
    <s v="Industrials"/>
    <s v="Building Products"/>
    <n v="0.34543826702188063"/>
    <n v="1581900000"/>
    <n v="0.11195789841463948"/>
    <n v="512700000"/>
  </r>
  <r>
    <x v="150"/>
    <n v="1"/>
    <n v="2012"/>
    <x v="0"/>
    <n v="18010000000"/>
    <n v="11561000000"/>
    <n v="431000000"/>
    <n v="285000000"/>
    <n v="0"/>
    <s v="Materials"/>
    <s v="Copper"/>
    <n v="0.35807884508606325"/>
    <n v="6449000000"/>
    <n v="0.3183231538034425"/>
    <n v="5733000000"/>
  </r>
  <r>
    <x v="150"/>
    <n v="2"/>
    <n v="2013"/>
    <x v="1"/>
    <n v="20921000000"/>
    <n v="14637000000"/>
    <n v="657000000"/>
    <n v="210000000"/>
    <n v="0"/>
    <s v="Materials"/>
    <s v="Copper"/>
    <n v="0.30036805124038046"/>
    <n v="6284000000"/>
    <n v="0.25892643755078631"/>
    <n v="5417000000"/>
  </r>
  <r>
    <x v="150"/>
    <n v="3"/>
    <n v="2014"/>
    <x v="2"/>
    <n v="21438000000"/>
    <n v="19504000000"/>
    <n v="592000000"/>
    <n v="126000000"/>
    <n v="0"/>
    <s v="Materials"/>
    <s v="Copper"/>
    <n v="9.0213639332027196E-2"/>
    <n v="1934000000"/>
    <n v="5.6721709114656217E-2"/>
    <n v="1216000000"/>
  </r>
  <r>
    <x v="150"/>
    <n v="4"/>
    <n v="2015"/>
    <x v="3"/>
    <n v="15877000000"/>
    <n v="28524000000"/>
    <n v="569000000"/>
    <n v="127000000"/>
    <n v="0"/>
    <s v="Materials"/>
    <s v="Copper"/>
    <n v="-0.79656106317314346"/>
    <n v="-12647000000"/>
    <n v="-0.8403980600869182"/>
    <n v="-13343000000"/>
  </r>
  <r>
    <x v="151"/>
    <n v="1"/>
    <n v="2013"/>
    <x v="85"/>
    <n v="44287000000"/>
    <n v="16448000000"/>
    <n v="20359000000"/>
    <n v="0"/>
    <n v="2386000000"/>
    <s v="Industrials"/>
    <s v="Air Freight &amp; Logistics"/>
    <n v="0.62860433084200773"/>
    <n v="27839000000"/>
    <n v="0.11502246708966514"/>
    <n v="5094000000"/>
  </r>
  <r>
    <x v="151"/>
    <n v="2"/>
    <n v="2014"/>
    <x v="86"/>
    <n v="45567000000"/>
    <n v="17052000000"/>
    <n v="22113000000"/>
    <n v="0"/>
    <n v="2587000000"/>
    <s v="Industrials"/>
    <s v="Air Freight &amp; Logistics"/>
    <n v="0.62578181578774106"/>
    <n v="28515000000"/>
    <n v="8.3722869620558735E-2"/>
    <n v="3815000000"/>
  </r>
  <r>
    <x v="151"/>
    <n v="3"/>
    <n v="2015"/>
    <x v="55"/>
    <n v="47453000000"/>
    <n v="16984000000"/>
    <n v="25715000000"/>
    <n v="0"/>
    <n v="2611000000"/>
    <s v="Industrials"/>
    <s v="Air Freight &amp; Logistics"/>
    <n v="0.6420879607190273"/>
    <n v="30469000000"/>
    <n v="4.5160474574842478E-2"/>
    <n v="2143000000"/>
  </r>
  <r>
    <x v="151"/>
    <n v="4"/>
    <n v="2016"/>
    <x v="87"/>
    <n v="50365000000"/>
    <n v="17327000000"/>
    <n v="27330000000"/>
    <n v="0"/>
    <n v="2631000000"/>
    <s v="Industrials"/>
    <s v="Air Freight &amp; Logistics"/>
    <n v="0.6559714087163705"/>
    <n v="33038000000"/>
    <n v="6.1094013699990075E-2"/>
    <n v="3077000000"/>
  </r>
  <r>
    <x v="152"/>
    <n v="1"/>
    <n v="2012"/>
    <x v="0"/>
    <n v="15255000000"/>
    <n v="6717000000"/>
    <n v="5353000000"/>
    <n v="0"/>
    <n v="1051000000"/>
    <s v="Utilities"/>
    <s v="Electric Utilities"/>
    <n v="0.55968534906587997"/>
    <n v="8538000000"/>
    <n v="0.13988856112749917"/>
    <n v="2134000000"/>
  </r>
  <r>
    <x v="152"/>
    <n v="2"/>
    <n v="2013"/>
    <x v="1"/>
    <n v="14892000000"/>
    <n v="6459000000"/>
    <n v="4315000000"/>
    <n v="0"/>
    <n v="1741000000"/>
    <s v="Utilities"/>
    <s v="Electric Utilities"/>
    <n v="0.56627719580983071"/>
    <n v="8433000000"/>
    <n v="0.15961590115498253"/>
    <n v="2377000000"/>
  </r>
  <r>
    <x v="152"/>
    <n v="3"/>
    <n v="2014"/>
    <x v="2"/>
    <n v="15049000000"/>
    <n v="6996000000"/>
    <n v="5759000000"/>
    <n v="0"/>
    <n v="1232000000"/>
    <s v="Utilities"/>
    <s v="Electric Utilities"/>
    <n v="0.53511861253239412"/>
    <n v="8053000000"/>
    <n v="7.0569473054688026E-2"/>
    <n v="1062000000"/>
  </r>
  <r>
    <x v="152"/>
    <n v="4"/>
    <n v="2015"/>
    <x v="3"/>
    <n v="15026000000"/>
    <n v="6173000000"/>
    <n v="4969000000"/>
    <n v="0"/>
    <n v="1550000000"/>
    <s v="Utilities"/>
    <s v="Electric Utilities"/>
    <n v="0.58917875682150944"/>
    <n v="8853000000"/>
    <n v="0.15533076001597232"/>
    <n v="2334000000"/>
  </r>
  <r>
    <x v="153"/>
    <n v="1"/>
    <n v="2013"/>
    <x v="29"/>
    <n v="1481314000"/>
    <n v="253047000"/>
    <n v="587835000"/>
    <n v="209614000"/>
    <n v="0"/>
    <s v="Information Technology"/>
    <s v="Networking Equipment"/>
    <n v="0.82917396311653035"/>
    <n v="1228267000"/>
    <n v="0.29083502890001717"/>
    <n v="430818000"/>
  </r>
  <r>
    <x v="153"/>
    <n v="2"/>
    <n v="2014"/>
    <x v="30"/>
    <n v="1732046000"/>
    <n v="309959000"/>
    <n v="664738000"/>
    <n v="263792000"/>
    <n v="0"/>
    <s v="Information Technology"/>
    <s v="Networking Equipment"/>
    <n v="0.82104459119446016"/>
    <n v="1422087000"/>
    <n v="0.28495605774904359"/>
    <n v="493557000"/>
  </r>
  <r>
    <x v="153"/>
    <n v="3"/>
    <n v="2015"/>
    <x v="31"/>
    <n v="1919823000"/>
    <n v="332261000"/>
    <n v="738080000"/>
    <n v="296583000"/>
    <n v="0"/>
    <s v="Information Technology"/>
    <s v="Networking Equipment"/>
    <n v="0.82693144107555749"/>
    <n v="1587562000"/>
    <n v="0.28799477868532675"/>
    <n v="552899000"/>
  </r>
  <r>
    <x v="153"/>
    <n v="4"/>
    <n v="2016"/>
    <x v="32"/>
    <n v="1995034000"/>
    <n v="337205000"/>
    <n v="767174000"/>
    <n v="334227000"/>
    <n v="0"/>
    <s v="Information Technology"/>
    <s v="Networking Equipment"/>
    <n v="0.83097781792190006"/>
    <n v="1657829000"/>
    <n v="0.27890652490133"/>
    <n v="556428000"/>
  </r>
  <r>
    <x v="154"/>
    <n v="1"/>
    <n v="2012"/>
    <x v="0"/>
    <n v="5795800000"/>
    <n v="3956200000"/>
    <n v="763300000"/>
    <n v="0"/>
    <n v="0"/>
    <s v="Information Technology"/>
    <s v="Internet Software &amp; Services"/>
    <n v="0.31740225680665313"/>
    <n v="1839600000"/>
    <n v="0.18570344042237483"/>
    <n v="1076300000"/>
  </r>
  <r>
    <x v="154"/>
    <n v="2"/>
    <n v="2013"/>
    <x v="1"/>
    <n v="6063400000"/>
    <n v="4092700000"/>
    <n v="907800000"/>
    <n v="0"/>
    <n v="0"/>
    <s v="Information Technology"/>
    <s v="Internet Software &amp; Services"/>
    <n v="0.32501566777715474"/>
    <n v="1970700000"/>
    <n v="0.1752976877659399"/>
    <n v="1062900000"/>
  </r>
  <r>
    <x v="154"/>
    <n v="3"/>
    <n v="2014"/>
    <x v="2"/>
    <n v="6413800000"/>
    <n v="4328300000"/>
    <n v="814900000"/>
    <n v="0"/>
    <n v="0"/>
    <s v="Information Technology"/>
    <s v="Internet Software &amp; Services"/>
    <n v="0.32515825251800801"/>
    <n v="2085500000"/>
    <n v="0.19810408806012036"/>
    <n v="1270600000"/>
  </r>
  <r>
    <x v="154"/>
    <n v="4"/>
    <n v="2015"/>
    <x v="3"/>
    <n v="6595200000"/>
    <n v="4393200000"/>
    <n v="1102800000"/>
    <n v="0"/>
    <n v="0"/>
    <s v="Information Technology"/>
    <s v="Internet Software &amp; Services"/>
    <n v="0.33387918486171764"/>
    <n v="2202000000"/>
    <n v="0.16666666666666666"/>
    <n v="1099200000"/>
  </r>
  <r>
    <x v="155"/>
    <n v="1"/>
    <n v="2012"/>
    <x v="0"/>
    <n v="4436000000"/>
    <n v="2564000000"/>
    <n v="824000000"/>
    <n v="0"/>
    <n v="0"/>
    <s v="Information Technology"/>
    <s v="Internet Software &amp; Services"/>
    <n v="0.42200180342651039"/>
    <n v="1872000000"/>
    <n v="0.23624887285843102"/>
    <n v="1048000000"/>
  </r>
  <r>
    <x v="155"/>
    <n v="2"/>
    <n v="2013"/>
    <x v="1"/>
    <n v="4814000000"/>
    <n v="2776000000"/>
    <n v="977000000"/>
    <n v="0"/>
    <n v="0"/>
    <s v="Information Technology"/>
    <s v="Internet Software &amp; Services"/>
    <n v="0.42334856668051513"/>
    <n v="2038000000"/>
    <n v="0.22039883672621521"/>
    <n v="1061000000"/>
  </r>
  <r>
    <x v="155"/>
    <n v="3"/>
    <n v="2014"/>
    <x v="2"/>
    <n v="5066000000"/>
    <n v="2881000000"/>
    <n v="975000000"/>
    <n v="0"/>
    <n v="0"/>
    <s v="Information Technology"/>
    <s v="Internet Software &amp; Services"/>
    <n v="0.43130675088827475"/>
    <n v="2185000000"/>
    <n v="0.2388472167390446"/>
    <n v="1210000000"/>
  </r>
  <r>
    <x v="155"/>
    <n v="4"/>
    <n v="2015"/>
    <x v="3"/>
    <n v="5254000000"/>
    <n v="2909000000"/>
    <n v="1034000000"/>
    <n v="0"/>
    <n v="0"/>
    <s v="Information Technology"/>
    <s v="Internet Software &amp; Services"/>
    <n v="0.44632660829843929"/>
    <n v="2345000000"/>
    <n v="0.24952417205938332"/>
    <n v="1311000000"/>
  </r>
  <r>
    <x v="156"/>
    <n v="1"/>
    <n v="2013"/>
    <x v="96"/>
    <n v="6182000000"/>
    <n v="4148000000"/>
    <n v="1294000000"/>
    <n v="0"/>
    <n v="118000000"/>
    <s v="Consumer Discretionary"/>
    <s v="Apparel Retail"/>
    <n v="0.32901973471368484"/>
    <n v="2034000000"/>
    <n v="0.10061468780329991"/>
    <n v="622000000"/>
  </r>
  <r>
    <x v="156"/>
    <n v="2"/>
    <n v="2014"/>
    <x v="47"/>
    <n v="6505000000"/>
    <n v="4372000000"/>
    <n v="1334000000"/>
    <n v="0"/>
    <n v="133000000"/>
    <s v="Consumer Discretionary"/>
    <s v="Apparel Retail"/>
    <n v="0.32790161414296692"/>
    <n v="2133000000"/>
    <n v="0.10238278247501921"/>
    <n v="666000000"/>
  </r>
  <r>
    <x v="156"/>
    <n v="3"/>
    <n v="2015"/>
    <x v="23"/>
    <n v="7151000000"/>
    <n v="4777000000"/>
    <n v="1426000000"/>
    <n v="0"/>
    <n v="139000000"/>
    <s v="Consumer Discretionary"/>
    <s v="Apparel Retail"/>
    <n v="0.33198154104321076"/>
    <n v="2374000000"/>
    <n v="0.11313103062508741"/>
    <n v="809000000"/>
  </r>
  <r>
    <x v="156"/>
    <n v="4"/>
    <n v="2016"/>
    <x v="48"/>
    <n v="7412000000"/>
    <n v="4907000000"/>
    <n v="1415000000"/>
    <n v="0"/>
    <n v="148000000"/>
    <s v="Consumer Discretionary"/>
    <s v="Apparel Retail"/>
    <n v="0.33796546141392336"/>
    <n v="2505000000"/>
    <n v="0.1270912034538586"/>
    <n v="942000000"/>
  </r>
  <r>
    <x v="157"/>
    <n v="1"/>
    <n v="2012"/>
    <x v="0"/>
    <n v="1405358000"/>
    <n v="670174000"/>
    <n v="292500000"/>
    <n v="137354000"/>
    <n v="0"/>
    <s v="Information Technology"/>
    <s v="Electronic Equipment &amp; Instruments"/>
    <n v="0.52312933786266558"/>
    <n v="735184000"/>
    <n v="0.2172613668545666"/>
    <n v="305330000"/>
  </r>
  <r>
    <x v="157"/>
    <n v="2"/>
    <n v="2013"/>
    <x v="1"/>
    <n v="1496372000"/>
    <n v="759362000"/>
    <n v="322739000"/>
    <n v="147696000"/>
    <n v="0"/>
    <s v="Information Technology"/>
    <s v="Electronic Equipment &amp; Instruments"/>
    <n v="0.49253126896253074"/>
    <n v="737010000"/>
    <n v="0.1781475461984052"/>
    <n v="266575000"/>
  </r>
  <r>
    <x v="157"/>
    <n v="3"/>
    <n v="2014"/>
    <x v="2"/>
    <n v="1530654000"/>
    <n v="780281000"/>
    <n v="331995000"/>
    <n v="142751000"/>
    <n v="0"/>
    <s v="Information Technology"/>
    <s v="Electronic Equipment &amp; Instruments"/>
    <n v="0.49023031985020782"/>
    <n v="750373000"/>
    <n v="0.18007139431902963"/>
    <n v="275627000"/>
  </r>
  <r>
    <x v="157"/>
    <n v="4"/>
    <n v="2015"/>
    <x v="3"/>
    <n v="1557067000"/>
    <n v="803506000"/>
    <n v="313544000"/>
    <n v="132892000"/>
    <n v="0"/>
    <s v="Information Technology"/>
    <s v="Electronic Equipment &amp; Instruments"/>
    <n v="0.48396183337004761"/>
    <n v="753561000"/>
    <n v="0.19724584748119381"/>
    <n v="307125000"/>
  </r>
  <r>
    <x v="158"/>
    <n v="1"/>
    <n v="2013"/>
    <x v="1"/>
    <n v="27351573000"/>
    <n v="25986382000"/>
    <n v="175148000"/>
    <n v="0"/>
    <n v="0"/>
    <s v="Industrials"/>
    <s v="Diversified Commercial Services"/>
    <n v="4.9912705203463026E-2"/>
    <n v="1365191000"/>
    <n v="4.3509124685443136E-2"/>
    <n v="1190043000"/>
  </r>
  <r>
    <x v="158"/>
    <n v="2"/>
    <n v="2014"/>
    <x v="2"/>
    <n v="21531577000"/>
    <n v="20132544000"/>
    <n v="182711000"/>
    <n v="0"/>
    <n v="0"/>
    <s v="Industrials"/>
    <s v="Diversified Commercial Services"/>
    <n v="6.497587241287528E-2"/>
    <n v="1399033000"/>
    <n v="5.649014932812399E-2"/>
    <n v="1216322000"/>
  </r>
  <r>
    <x v="158"/>
    <n v="3"/>
    <n v="2015"/>
    <x v="3"/>
    <n v="18114048000"/>
    <n v="17019352000"/>
    <n v="408225000"/>
    <n v="0"/>
    <n v="0"/>
    <s v="Industrials"/>
    <s v="Diversified Commercial Services"/>
    <n v="6.0433537550524274E-2"/>
    <n v="1094696000"/>
    <n v="3.7897161363379409E-2"/>
    <n v="686471000"/>
  </r>
  <r>
    <x v="158"/>
    <n v="4"/>
    <n v="2016"/>
    <x v="12"/>
    <n v="19036525000"/>
    <n v="18246209000"/>
    <n v="191073000"/>
    <n v="0"/>
    <n v="0"/>
    <s v="Industrials"/>
    <s v="Diversified Commercial Services"/>
    <n v="4.1515770341488234E-2"/>
    <n v="790316000"/>
    <n v="3.1478591812318685E-2"/>
    <n v="599243000"/>
  </r>
  <r>
    <x v="159"/>
    <n v="1"/>
    <n v="2013"/>
    <x v="1"/>
    <n v="4954619000"/>
    <n v="3266524000"/>
    <n v="966829000"/>
    <n v="0"/>
    <n v="0"/>
    <s v="Industrials"/>
    <s v="Industrial Machinery"/>
    <n v="0.34071136448635098"/>
    <n v="1688095000"/>
    <n v="0.14557446294054094"/>
    <n v="721266000"/>
  </r>
  <r>
    <x v="159"/>
    <n v="2"/>
    <n v="2014"/>
    <x v="2"/>
    <n v="4877885000"/>
    <n v="3163268000"/>
    <n v="936900000"/>
    <n v="0"/>
    <n v="0"/>
    <s v="Industrials"/>
    <s v="Industrial Machinery"/>
    <n v="0.35150828689073232"/>
    <n v="1714617000"/>
    <n v="0.15943733810862701"/>
    <n v="777717000"/>
  </r>
  <r>
    <x v="159"/>
    <n v="3"/>
    <n v="2015"/>
    <x v="3"/>
    <n v="4561030000"/>
    <n v="3073712000"/>
    <n v="971611000"/>
    <n v="0"/>
    <n v="0"/>
    <s v="Industrials"/>
    <s v="Industrial Machinery"/>
    <n v="0.32609257119554136"/>
    <n v="1487318000"/>
    <n v="0.11306810084564232"/>
    <n v="515707000"/>
  </r>
  <r>
    <x v="159"/>
    <n v="4"/>
    <n v="2016"/>
    <x v="12"/>
    <n v="3991462000"/>
    <n v="2759908000"/>
    <n v="965322000"/>
    <n v="0"/>
    <n v="0"/>
    <s v="Industrials"/>
    <s v="Industrial Machinery"/>
    <n v="0.30854709377165557"/>
    <n v="1231554000"/>
    <n v="6.6700371943914288E-2"/>
    <n v="266232000"/>
  </r>
  <r>
    <x v="160"/>
    <n v="1"/>
    <n v="2012"/>
    <x v="0"/>
    <n v="3409900000"/>
    <n v="2141600000"/>
    <n v="489700000"/>
    <n v="112000000"/>
    <n v="0"/>
    <s v="Materials"/>
    <s v="Diversified Chemicals"/>
    <n v="0.37194639138977681"/>
    <n v="1268300000"/>
    <n v="0.19548960380069796"/>
    <n v="666600000"/>
  </r>
  <r>
    <x v="160"/>
    <n v="2"/>
    <n v="2013"/>
    <x v="1"/>
    <n v="3130700000"/>
    <n v="1929800000"/>
    <n v="496100000"/>
    <n v="115600000"/>
    <n v="0"/>
    <s v="Materials"/>
    <s v="Diversified Chemicals"/>
    <n v="0.38358833487718402"/>
    <n v="1200900000"/>
    <n v="0.18820072188328488"/>
    <n v="589200000"/>
  </r>
  <r>
    <x v="160"/>
    <n v="3"/>
    <n v="2014"/>
    <x v="2"/>
    <n v="3258700000"/>
    <n v="2047800000"/>
    <n v="589800000"/>
    <n v="126300000"/>
    <n v="0"/>
    <s v="Materials"/>
    <s v="Diversified Chemicals"/>
    <n v="0.37158989781201091"/>
    <n v="1210900000"/>
    <n v="0.15183969067419523"/>
    <n v="494800000"/>
  </r>
  <r>
    <x v="160"/>
    <n v="4"/>
    <n v="2015"/>
    <x v="3"/>
    <n v="3276500000"/>
    <n v="2201100000"/>
    <n v="737900000"/>
    <n v="143700000"/>
    <n v="0"/>
    <s v="Materials"/>
    <s v="Diversified Chemicals"/>
    <n v="0.32821608423622772"/>
    <n v="1075400000"/>
    <n v="5.9148481611475658E-2"/>
    <n v="193800000"/>
  </r>
  <r>
    <x v="161"/>
    <n v="1"/>
    <n v="2013"/>
    <x v="1"/>
    <n v="637413000"/>
    <n v="190454000"/>
    <n v="31970000"/>
    <n v="0"/>
    <n v="160828000"/>
    <s v="Real Estate"/>
    <s v="Retail REITs"/>
    <n v="0.70120785111066142"/>
    <n v="446959000"/>
    <n v="0.39873833762411498"/>
    <n v="254161000"/>
  </r>
  <r>
    <x v="161"/>
    <n v="2"/>
    <n v="2014"/>
    <x v="2"/>
    <n v="686090000"/>
    <n v="211923000"/>
    <n v="32316000"/>
    <n v="0"/>
    <n v="170814000"/>
    <s v="Real Estate"/>
    <s v="Retail REITs"/>
    <n v="0.69111486831173752"/>
    <n v="474167000"/>
    <n v="0.39504583946712529"/>
    <n v="271037000"/>
  </r>
  <r>
    <x v="161"/>
    <n v="3"/>
    <n v="2015"/>
    <x v="3"/>
    <n v="744012000"/>
    <n v="233417000"/>
    <n v="35645000"/>
    <n v="0"/>
    <n v="174796000"/>
    <s v="Real Estate"/>
    <s v="Retail REITs"/>
    <n v="0.68627253323871118"/>
    <n v="510595000"/>
    <n v="0.40342628882329856"/>
    <n v="300154000"/>
  </r>
  <r>
    <x v="161"/>
    <n v="4"/>
    <n v="2016"/>
    <x v="12"/>
    <n v="801591000"/>
    <n v="253612000"/>
    <n v="33399000"/>
    <n v="0"/>
    <n v="193585000"/>
    <s v="Real Estate"/>
    <s v="Retail REITs"/>
    <n v="0.68361421223541674"/>
    <n v="547979000"/>
    <n v="0.40044736031217915"/>
    <n v="320995000"/>
  </r>
  <r>
    <x v="162"/>
    <n v="1"/>
    <n v="2012"/>
    <x v="0"/>
    <n v="3368545000"/>
    <n v="2515796000"/>
    <n v="280928000"/>
    <n v="132460000"/>
    <n v="0"/>
    <s v="Information Technology"/>
    <s v="Semiconductors"/>
    <n v="0.25315054422606798"/>
    <n v="852749000"/>
    <n v="0.13043049744028951"/>
    <n v="439361000"/>
  </r>
  <r>
    <x v="162"/>
    <n v="2"/>
    <n v="2013"/>
    <x v="1"/>
    <n v="3309616000"/>
    <n v="2444984000"/>
    <n v="270261000"/>
    <n v="134300000"/>
    <n v="0"/>
    <s v="Information Technology"/>
    <s v="Semiconductors"/>
    <n v="0.2612484348637425"/>
    <n v="864632000"/>
    <n v="0.13901038670347254"/>
    <n v="460071000"/>
  </r>
  <r>
    <x v="162"/>
    <n v="3"/>
    <n v="2014"/>
    <x v="2"/>
    <n v="3391187000"/>
    <n v="2566246000"/>
    <n v="253827000"/>
    <n v="143969000"/>
    <n v="0"/>
    <s v="Information Technology"/>
    <s v="Semiconductors"/>
    <n v="0.24326025076175395"/>
    <n v="824941000"/>
    <n v="0.12595737126852632"/>
    <n v="427145000"/>
  </r>
  <r>
    <x v="162"/>
    <n v="4"/>
    <n v="2015"/>
    <x v="3"/>
    <n v="3578995000"/>
    <n v="2659728000"/>
    <n v="255192000"/>
    <n v="130593000"/>
    <n v="0"/>
    <s v="Information Technology"/>
    <s v="Semiconductors"/>
    <n v="0.25685059632662244"/>
    <n v="919267000"/>
    <n v="0.1490591632567243"/>
    <n v="533482000"/>
  </r>
  <r>
    <x v="163"/>
    <n v="1"/>
    <n v="2012"/>
    <x v="0"/>
    <n v="5011853000"/>
    <n v="0"/>
    <n v="2676141000"/>
    <n v="0"/>
    <n v="1266807000"/>
    <s v="Telecommunications Services"/>
    <s v="Integrated Telecommunications Services"/>
    <n v="1"/>
    <n v="5011853000"/>
    <n v="0.21327540931467862"/>
    <n v="1068905000"/>
  </r>
  <r>
    <x v="163"/>
    <n v="2"/>
    <n v="2013"/>
    <x v="1"/>
    <n v="4762000000"/>
    <n v="0"/>
    <n v="2616000000"/>
    <n v="0"/>
    <n v="1170000000"/>
    <s v="Telecommunications Services"/>
    <s v="Integrated Telecommunications Services"/>
    <n v="1"/>
    <n v="4762000000"/>
    <n v="0.20495590088198237"/>
    <n v="976000000"/>
  </r>
  <r>
    <x v="163"/>
    <n v="3"/>
    <n v="2014"/>
    <x v="2"/>
    <n v="4772000000"/>
    <n v="0"/>
    <n v="2671000000"/>
    <n v="0"/>
    <n v="1139000000"/>
    <s v="Telecommunications Services"/>
    <s v="Integrated Telecommunications Services"/>
    <n v="1"/>
    <n v="4772000000"/>
    <n v="0.20159262363788769"/>
    <n v="962000000"/>
  </r>
  <r>
    <x v="163"/>
    <n v="4"/>
    <n v="2015"/>
    <x v="3"/>
    <n v="5576000000"/>
    <n v="0"/>
    <n v="3275000000"/>
    <n v="0"/>
    <n v="1320000000"/>
    <s v="Telecommunications Services"/>
    <s v="Integrated Telecommunications Services"/>
    <n v="1"/>
    <n v="5576000000"/>
    <n v="0.17593256814921091"/>
    <n v="981000000"/>
  </r>
  <r>
    <x v="164"/>
    <n v="1"/>
    <n v="2013"/>
    <x v="1"/>
    <n v="30930000000"/>
    <n v="25202000000"/>
    <n v="2039000000"/>
    <n v="0"/>
    <n v="0"/>
    <s v="Industrials"/>
    <s v="Aerospace &amp; Defense"/>
    <n v="0.18519236986744259"/>
    <n v="5728000000"/>
    <n v="0.11926931781441966"/>
    <n v="3689000000"/>
  </r>
  <r>
    <x v="164"/>
    <n v="2"/>
    <n v="2014"/>
    <x v="2"/>
    <n v="30852000000"/>
    <n v="24979000000"/>
    <n v="1984000000"/>
    <n v="0"/>
    <n v="0"/>
    <s v="Industrials"/>
    <s v="Aerospace &amp; Defense"/>
    <n v="0.19036043044211071"/>
    <n v="5873000000"/>
    <n v="0.12605341631012576"/>
    <n v="3889000000"/>
  </r>
  <r>
    <x v="164"/>
    <n v="3"/>
    <n v="2015"/>
    <x v="3"/>
    <n v="31469000000"/>
    <n v="25339000000"/>
    <n v="1952000000"/>
    <n v="0"/>
    <n v="0"/>
    <s v="Industrials"/>
    <s v="Aerospace &amp; Defense"/>
    <n v="0.19479487749849056"/>
    <n v="6130000000"/>
    <n v="0.13276557882360418"/>
    <n v="4178000000"/>
  </r>
  <r>
    <x v="164"/>
    <n v="4"/>
    <n v="2016"/>
    <x v="12"/>
    <n v="31353000000"/>
    <n v="25104000000"/>
    <n v="1940000000"/>
    <n v="0"/>
    <n v="0"/>
    <s v="Industrials"/>
    <s v="Aerospace &amp; Defense"/>
    <n v="0.19931107071093679"/>
    <n v="6249000000"/>
    <n v="0.13743501419321916"/>
    <n v="4309000000"/>
  </r>
  <r>
    <x v="165"/>
    <n v="1"/>
    <n v="2012"/>
    <x v="0"/>
    <n v="2426301000"/>
    <n v="800336000"/>
    <n v="72163000"/>
    <n v="0"/>
    <n v="768820000"/>
    <s v="Real Estate"/>
    <s v="Retail REITs"/>
    <n v="0.67014150346556345"/>
    <n v="1625965000"/>
    <n v="0.32353034516327528"/>
    <n v="784982000"/>
  </r>
  <r>
    <x v="165"/>
    <n v="2"/>
    <n v="2013"/>
    <x v="1"/>
    <n v="2486017000"/>
    <n v="815095000"/>
    <n v="76864000"/>
    <n v="0"/>
    <n v="749722000"/>
    <s v="Real Estate"/>
    <s v="Retail REITs"/>
    <n v="0.67212814715265423"/>
    <n v="1670922000"/>
    <n v="0.33963404111878559"/>
    <n v="844336000"/>
  </r>
  <r>
    <x v="165"/>
    <n v="3"/>
    <n v="2014"/>
    <x v="2"/>
    <n v="2535559000"/>
    <n v="783602000"/>
    <n v="88705000"/>
    <n v="0"/>
    <n v="708406000"/>
    <s v="Real Estate"/>
    <s v="Retail REITs"/>
    <n v="0.69095493340916148"/>
    <n v="1751957000"/>
    <n v="0.37658204758792835"/>
    <n v="954846000"/>
  </r>
  <r>
    <x v="165"/>
    <n v="4"/>
    <n v="2015"/>
    <x v="3"/>
    <n v="2403906000"/>
    <n v="747276000"/>
    <n v="72363000"/>
    <n v="0"/>
    <n v="643689000"/>
    <s v="Real Estate"/>
    <s v="Retail REITs"/>
    <n v="0.68914092314757736"/>
    <n v="1656630000"/>
    <n v="0.3912707069244804"/>
    <n v="940578000"/>
  </r>
  <r>
    <x v="166"/>
    <n v="1"/>
    <n v="2012"/>
    <x v="0"/>
    <n v="10515400000"/>
    <n v="7172100000"/>
    <n v="786800000"/>
    <n v="0"/>
    <n v="1161600000"/>
    <s v="Financials"/>
    <s v="Diversified Financial Services"/>
    <n v="0.31794320710576873"/>
    <n v="3343300000"/>
    <n v="0.1326530612244898"/>
    <n v="1394900000"/>
  </r>
  <r>
    <x v="166"/>
    <n v="2"/>
    <n v="2013"/>
    <x v="1"/>
    <n v="10368600000"/>
    <n v="7038400000"/>
    <n v="790400000"/>
    <n v="0"/>
    <n v="1170400000"/>
    <s v="Financials"/>
    <s v="Diversified Financial Services"/>
    <n v="0.32118125880060955"/>
    <n v="3330200000"/>
    <n v="0.13207183226279343"/>
    <n v="1369400000"/>
  </r>
  <r>
    <x v="166"/>
    <n v="3"/>
    <n v="2014"/>
    <x v="2"/>
    <n v="10524500000"/>
    <n v="7722100000"/>
    <n v="820900000"/>
    <n v="0"/>
    <n v="1272000000"/>
    <s v="Financials"/>
    <s v="Diversified Financial Services"/>
    <n v="0.26627393225331375"/>
    <n v="2802400000"/>
    <n v="6.7414128937241677E-2"/>
    <n v="709500000"/>
  </r>
  <r>
    <x v="166"/>
    <n v="4"/>
    <n v="2015"/>
    <x v="3"/>
    <n v="10731300000"/>
    <n v="7209400000"/>
    <n v="835100000"/>
    <n v="0"/>
    <n v="1295700000"/>
    <s v="Financials"/>
    <s v="Diversified Financial Services"/>
    <n v="0.32818950173790684"/>
    <n v="3521900000"/>
    <n v="0.12963014732604625"/>
    <n v="1391100000"/>
  </r>
  <r>
    <x v="167"/>
    <n v="1"/>
    <n v="2013"/>
    <x v="53"/>
    <n v="17774100000"/>
    <n v="11350200000"/>
    <n v="3552300000"/>
    <n v="0"/>
    <n v="0"/>
    <s v="Consumer Staples"/>
    <s v="Packaged Foods &amp; Meats"/>
    <n v="0.36141914358532923"/>
    <n v="6423900000"/>
    <n v="0.16156092291592825"/>
    <n v="2871600000"/>
  </r>
  <r>
    <x v="167"/>
    <n v="2"/>
    <n v="2014"/>
    <x v="54"/>
    <n v="17909600000"/>
    <n v="11539800000"/>
    <n v="3474300000"/>
    <n v="0"/>
    <n v="0"/>
    <s v="Consumer Staples"/>
    <s v="Packaged Foods &amp; Meats"/>
    <n v="0.35566400142940102"/>
    <n v="6369800000"/>
    <n v="0.16167306919194174"/>
    <n v="2895500000"/>
  </r>
  <r>
    <x v="167"/>
    <n v="3"/>
    <n v="2015"/>
    <x v="55"/>
    <n v="17630300000"/>
    <n v="11681100000"/>
    <n v="3328000000"/>
    <n v="0"/>
    <n v="0"/>
    <s v="Consumer Staples"/>
    <s v="Packaged Foods &amp; Meats"/>
    <n v="0.33744179055376256"/>
    <n v="5949200000"/>
    <n v="0.14867585917426249"/>
    <n v="2621200000"/>
  </r>
  <r>
    <x v="167"/>
    <n v="4"/>
    <n v="2016"/>
    <x v="56"/>
    <n v="16563100000"/>
    <n v="10733600000"/>
    <n v="3118900000"/>
    <n v="0"/>
    <n v="0"/>
    <s v="Consumer Staples"/>
    <s v="Packaged Foods &amp; Meats"/>
    <n v="0.35195706117816106"/>
    <n v="5829500000"/>
    <n v="0.16365293936521544"/>
    <n v="2710600000"/>
  </r>
  <r>
    <x v="168"/>
    <n v="1"/>
    <n v="2013"/>
    <x v="1"/>
    <n v="7819000000"/>
    <n v="4495000000"/>
    <n v="1126000000"/>
    <n v="710000000"/>
    <n v="31000000"/>
    <s v="Information Technology"/>
    <s v="Electronic Components"/>
    <n v="0.42511830157309116"/>
    <n v="3324000000"/>
    <n v="0.18634096431768768"/>
    <n v="1457000000"/>
  </r>
  <r>
    <x v="168"/>
    <n v="2"/>
    <n v="2014"/>
    <x v="2"/>
    <n v="9715000000"/>
    <n v="5663000000"/>
    <n v="1202000000"/>
    <n v="815000000"/>
    <n v="33000000"/>
    <s v="Information Technology"/>
    <s v="Electronic Components"/>
    <n v="0.41708697889861035"/>
    <n v="4052000000"/>
    <n v="0.20607308286155429"/>
    <n v="2002000000"/>
  </r>
  <r>
    <x v="168"/>
    <n v="3"/>
    <n v="2015"/>
    <x v="3"/>
    <n v="9111000000"/>
    <n v="5458000000"/>
    <n v="1508000000"/>
    <n v="769000000"/>
    <n v="54000000"/>
    <s v="Information Technology"/>
    <s v="Electronic Components"/>
    <n v="0.40094391395017015"/>
    <n v="3653000000"/>
    <n v="0.14509933047963999"/>
    <n v="1322000000"/>
  </r>
  <r>
    <x v="168"/>
    <n v="4"/>
    <n v="2016"/>
    <x v="12"/>
    <n v="9390000000"/>
    <n v="5644000000"/>
    <n v="1472000000"/>
    <n v="742000000"/>
    <n v="64000000"/>
    <s v="Information Technology"/>
    <s v="Electronic Components"/>
    <n v="0.39893503727369539"/>
    <n v="3746000000"/>
    <n v="0.15633652822151226"/>
    <n v="1468000000"/>
  </r>
  <r>
    <x v="169"/>
    <n v="1"/>
    <n v="2013"/>
    <x v="1"/>
    <n v="155427000000"/>
    <n v="137373000000"/>
    <n v="12382000000"/>
    <n v="0"/>
    <n v="0"/>
    <s v="Consumer Discretionary"/>
    <s v="Automobile Manufacturers"/>
    <n v="0.11615742438572452"/>
    <n v="18054000000"/>
    <n v="3.6493016013948672E-2"/>
    <n v="5672000000"/>
  </r>
  <r>
    <x v="169"/>
    <n v="2"/>
    <n v="2014"/>
    <x v="2"/>
    <n v="155929000000"/>
    <n v="142121000000"/>
    <n v="12158000000"/>
    <n v="0"/>
    <n v="0"/>
    <s v="Consumer Discretionary"/>
    <s v="Automobile Manufacturers"/>
    <n v="8.8553123536994405E-2"/>
    <n v="13808000000"/>
    <n v="1.0581739124858108E-2"/>
    <n v="1650000000"/>
  </r>
  <r>
    <x v="169"/>
    <n v="3"/>
    <n v="2015"/>
    <x v="3"/>
    <n v="152356000000"/>
    <n v="134054000000"/>
    <n v="13405000000"/>
    <n v="0"/>
    <n v="0"/>
    <s v="Consumer Discretionary"/>
    <s v="Automobile Manufacturers"/>
    <n v="0.12012654572186199"/>
    <n v="18302000000"/>
    <n v="3.2141825723962299E-2"/>
    <n v="4897000000"/>
  </r>
  <r>
    <x v="169"/>
    <n v="4"/>
    <n v="2016"/>
    <x v="12"/>
    <n v="166380000000"/>
    <n v="145125000000"/>
    <n v="11710000000"/>
    <n v="0"/>
    <n v="0"/>
    <s v="Consumer Discretionary"/>
    <s v="Automobile Manufacturers"/>
    <n v="0.12774972953479991"/>
    <n v="21255000000"/>
    <n v="5.7368674119485513E-2"/>
    <n v="9545000000"/>
  </r>
  <r>
    <x v="170"/>
    <n v="1"/>
    <n v="2012"/>
    <x v="0"/>
    <n v="13013868000"/>
    <n v="9235777000"/>
    <n v="2656530000"/>
    <n v="0"/>
    <n v="98383000"/>
    <s v="Consumer Discretionary"/>
    <s v="Specialty Stores"/>
    <n v="0.29031268797255361"/>
    <n v="3778091000"/>
    <n v="7.8622128332637153E-2"/>
    <n v="1023178000"/>
  </r>
  <r>
    <x v="170"/>
    <n v="2"/>
    <n v="2013"/>
    <x v="1"/>
    <n v="14077843000"/>
    <n v="9857923000"/>
    <n v="3028028000"/>
    <n v="0"/>
    <n v="133957000"/>
    <s v="Consumer Discretionary"/>
    <s v="Specialty Stores"/>
    <n v="0.29975614872249956"/>
    <n v="4219920000"/>
    <n v="7.5148941496222116E-2"/>
    <n v="1057935000"/>
  </r>
  <r>
    <x v="170"/>
    <n v="3"/>
    <n v="2014"/>
    <x v="2"/>
    <n v="15341647000"/>
    <n v="10747886000"/>
    <n v="3314030000"/>
    <n v="0"/>
    <n v="148313000"/>
    <s v="Consumer Discretionary"/>
    <s v="Specialty Stores"/>
    <n v="0.29943075864019031"/>
    <n v="4593761000"/>
    <n v="7.3748144511472588E-2"/>
    <n v="1131418000"/>
  </r>
  <r>
    <x v="170"/>
    <n v="4"/>
    <n v="2015"/>
    <x v="3"/>
    <n v="15280044000"/>
    <n v="10724192000"/>
    <n v="3277390000"/>
    <n v="0"/>
    <n v="141675000"/>
    <s v="Consumer Discretionary"/>
    <s v="Specialty Stores"/>
    <n v="0.29815699483587876"/>
    <n v="4555852000"/>
    <n v="7.4396840742081638E-2"/>
    <n v="1136787000"/>
  </r>
  <r>
    <x v="171"/>
    <n v="1"/>
    <n v="2013"/>
    <x v="85"/>
    <n v="2375923000"/>
    <n v="862075000"/>
    <n v="1156635000"/>
    <n v="0"/>
    <n v="0"/>
    <s v="Information Technology"/>
    <s v="Data Processing &amp; Outsourced Services"/>
    <n v="0.63716206291197142"/>
    <n v="1513848000"/>
    <n v="0.15034704407508157"/>
    <n v="357213000"/>
  </r>
  <r>
    <x v="171"/>
    <n v="2"/>
    <n v="2014"/>
    <x v="86"/>
    <n v="2554236000"/>
    <n v="952225000"/>
    <n v="1196512000"/>
    <n v="0"/>
    <n v="0"/>
    <s v="Information Technology"/>
    <s v="Data Processing &amp; Outsourced Services"/>
    <n v="0.62719772174536725"/>
    <n v="1602011000"/>
    <n v="0.15875549479374654"/>
    <n v="405499000"/>
  </r>
  <r>
    <x v="171"/>
    <n v="3"/>
    <n v="2015"/>
    <x v="55"/>
    <n v="2773718000"/>
    <n v="1022107000"/>
    <n v="1295014000"/>
    <n v="0"/>
    <n v="0"/>
    <s v="Information Technology"/>
    <s v="Data Processing &amp; Outsourced Services"/>
    <n v="0.63150291413907256"/>
    <n v="1751611000"/>
    <n v="0.1646155088585069"/>
    <n v="456597000"/>
  </r>
  <r>
    <x v="171"/>
    <n v="4"/>
    <n v="2016"/>
    <x v="87"/>
    <n v="2898150000"/>
    <n v="1147639000"/>
    <n v="1325567000"/>
    <n v="0"/>
    <n v="0"/>
    <s v="Information Technology"/>
    <s v="Data Processing &amp; Outsourced Services"/>
    <n v="0.60400979935476085"/>
    <n v="1750511000"/>
    <n v="0.14662595103773096"/>
    <n v="424944000"/>
  </r>
  <r>
    <x v="172"/>
    <n v="1"/>
    <n v="2013"/>
    <x v="96"/>
    <n v="15651000000"/>
    <n v="9480000000"/>
    <n v="0"/>
    <n v="0"/>
    <n v="0"/>
    <s v="Consumer Discretionary"/>
    <s v="Apparel Retail"/>
    <n v="0.3942879049262028"/>
    <n v="6171000000"/>
    <n v="0.3942879049262028"/>
    <n v="6171000000"/>
  </r>
  <r>
    <x v="172"/>
    <n v="2"/>
    <n v="2014"/>
    <x v="47"/>
    <n v="16148000000"/>
    <n v="9855000000"/>
    <n v="0"/>
    <n v="0"/>
    <n v="0"/>
    <s v="Consumer Discretionary"/>
    <s v="Apparel Retail"/>
    <n v="0.38970770374040131"/>
    <n v="6293000000"/>
    <n v="0.38970770374040131"/>
    <n v="6293000000"/>
  </r>
  <r>
    <x v="172"/>
    <n v="3"/>
    <n v="2015"/>
    <x v="23"/>
    <n v="16435000000"/>
    <n v="10146000000"/>
    <n v="0"/>
    <n v="0"/>
    <n v="0"/>
    <s v="Consumer Discretionary"/>
    <s v="Apparel Retail"/>
    <n v="0.38265895953757223"/>
    <n v="6289000000"/>
    <n v="0.38265895953757223"/>
    <n v="6289000000"/>
  </r>
  <r>
    <x v="172"/>
    <n v="4"/>
    <n v="2016"/>
    <x v="48"/>
    <n v="15797000000"/>
    <n v="10077000000"/>
    <n v="0"/>
    <n v="0"/>
    <n v="0"/>
    <s v="Consumer Discretionary"/>
    <s v="Apparel Retail"/>
    <n v="0.36209406849401782"/>
    <n v="5720000000"/>
    <n v="0.36209406849401787"/>
    <n v="5720000000"/>
  </r>
  <r>
    <x v="173"/>
    <n v="1"/>
    <n v="2012"/>
    <x v="4"/>
    <n v="2715675000"/>
    <n v="1277195000"/>
    <n v="508547000"/>
    <n v="325773000"/>
    <n v="0"/>
    <s v="Consumer Discretionary"/>
    <s v="Consumer Electronics"/>
    <n v="0.52969519548546862"/>
    <n v="1438480000"/>
    <n v="0.2224713929317757"/>
    <n v="604160000"/>
  </r>
  <r>
    <x v="173"/>
    <n v="2"/>
    <n v="2013"/>
    <x v="5"/>
    <n v="2631851000"/>
    <n v="1224551000"/>
    <n v="468345000"/>
    <n v="364923000"/>
    <n v="0"/>
    <s v="Consumer Discretionary"/>
    <s v="Consumer Electronics"/>
    <n v="0.53471872077864591"/>
    <n v="1407300000"/>
    <n v="0.21810961182832919"/>
    <n v="574032000"/>
  </r>
  <r>
    <x v="173"/>
    <n v="3"/>
    <n v="2014"/>
    <x v="101"/>
    <n v="2870658000"/>
    <n v="1266246000"/>
    <n v="518665000"/>
    <n v="395121000"/>
    <n v="0"/>
    <s v="Consumer Discretionary"/>
    <s v="Consumer Electronics"/>
    <n v="0.55890043328045347"/>
    <n v="1604412000"/>
    <n v="0.24058107932049028"/>
    <n v="690626000"/>
  </r>
  <r>
    <x v="173"/>
    <n v="4"/>
    <n v="2015"/>
    <x v="102"/>
    <n v="2820270000"/>
    <n v="1281566000"/>
    <n v="562080000"/>
    <n v="427043000"/>
    <n v="0"/>
    <s v="Consumer Discretionary"/>
    <s v="Consumer Electronics"/>
    <n v="0.54558747921298312"/>
    <n v="1538704000"/>
    <n v="0.19486822183691632"/>
    <n v="549581000"/>
  </r>
  <r>
    <x v="174"/>
    <n v="1"/>
    <n v="2013"/>
    <x v="1"/>
    <n v="19540000000"/>
    <n v="15422000000"/>
    <n v="2816000000"/>
    <n v="0"/>
    <n v="0"/>
    <s v="Consumer Discretionary"/>
    <s v="Tires &amp; Rubber"/>
    <n v="0.21074718526100311"/>
    <n v="4118000000"/>
    <n v="6.6632548618219031E-2"/>
    <n v="1302000000"/>
  </r>
  <r>
    <x v="174"/>
    <n v="2"/>
    <n v="2014"/>
    <x v="2"/>
    <n v="18138000000"/>
    <n v="13906000000"/>
    <n v="2815000000"/>
    <n v="0"/>
    <n v="0"/>
    <s v="Consumer Discretionary"/>
    <s v="Tires &amp; Rubber"/>
    <n v="0.23332230675928989"/>
    <n v="4232000000"/>
    <n v="7.8123277097805713E-2"/>
    <n v="1417000000"/>
  </r>
  <r>
    <x v="174"/>
    <n v="3"/>
    <n v="2015"/>
    <x v="3"/>
    <n v="16443000000"/>
    <n v="12164000000"/>
    <n v="2728000000"/>
    <n v="0"/>
    <n v="0"/>
    <s v="Consumer Discretionary"/>
    <s v="Tires &amp; Rubber"/>
    <n v="0.26023231770358202"/>
    <n v="4279000000"/>
    <n v="9.4325852946542596E-2"/>
    <n v="1551000000"/>
  </r>
  <r>
    <x v="174"/>
    <n v="4"/>
    <n v="2016"/>
    <x v="12"/>
    <n v="15158000000"/>
    <n v="10972000000"/>
    <n v="2617000000"/>
    <n v="0"/>
    <n v="0"/>
    <s v="Consumer Discretionary"/>
    <s v="Tires &amp; Rubber"/>
    <n v="0.27615780445969129"/>
    <n v="4186000000"/>
    <n v="0.10350969784932049"/>
    <n v="1569000000"/>
  </r>
  <r>
    <x v="175"/>
    <n v="1"/>
    <n v="2012"/>
    <x v="0"/>
    <n v="8950045000"/>
    <n v="5033885000"/>
    <n v="2785035000"/>
    <n v="0"/>
    <n v="0"/>
    <s v="Industrials"/>
    <s v="Industrial Materials"/>
    <n v="0.43755757652615157"/>
    <n v="3916160000"/>
    <n v="0.12638204612379045"/>
    <n v="1131125000"/>
  </r>
  <r>
    <x v="175"/>
    <n v="2"/>
    <n v="2013"/>
    <x v="1"/>
    <n v="9437758000"/>
    <n v="5301275000"/>
    <n v="2839629000"/>
    <n v="0"/>
    <n v="0"/>
    <s v="Industrials"/>
    <s v="Industrial Materials"/>
    <n v="0.43829085255205735"/>
    <n v="4136483000"/>
    <n v="0.13741123686367038"/>
    <n v="1296854000"/>
  </r>
  <r>
    <x v="175"/>
    <n v="3"/>
    <n v="2014"/>
    <x v="2"/>
    <n v="9964953000"/>
    <n v="5650711000"/>
    <n v="2967125000"/>
    <n v="0"/>
    <n v="0"/>
    <s v="Industrials"/>
    <s v="Industrial Materials"/>
    <n v="0.43294153018082471"/>
    <n v="4314242000"/>
    <n v="0.13518548456776464"/>
    <n v="1347117000"/>
  </r>
  <r>
    <x v="175"/>
    <n v="4"/>
    <n v="2015"/>
    <x v="3"/>
    <n v="9973384000"/>
    <n v="5741956000"/>
    <n v="2931108000"/>
    <n v="0"/>
    <n v="0"/>
    <s v="Industrials"/>
    <s v="Industrial Materials"/>
    <n v="0.42427204246823347"/>
    <n v="4231428000"/>
    <n v="0.13037901679109118"/>
    <n v="1300320000"/>
  </r>
  <r>
    <x v="176"/>
    <n v="1"/>
    <n v="2013"/>
    <x v="1"/>
    <n v="29402000000"/>
    <n v="24931000000"/>
    <n v="1333000000"/>
    <n v="0"/>
    <n v="0"/>
    <s v="Energy"/>
    <s v="Oil &amp; Gas Equipment &amp; Services"/>
    <n v="0.15206448540915585"/>
    <n v="4471000000"/>
    <n v="0.10672743350792463"/>
    <n v="3138000000"/>
  </r>
  <r>
    <x v="176"/>
    <n v="2"/>
    <n v="2014"/>
    <x v="2"/>
    <n v="32870000000"/>
    <n v="27334000000"/>
    <n v="293000000"/>
    <n v="0"/>
    <n v="0"/>
    <s v="Energy"/>
    <s v="Oil &amp; Gas Equipment &amp; Services"/>
    <n v="0.16842105263157892"/>
    <n v="5536000000"/>
    <n v="0.15950714937633101"/>
    <n v="5243000000"/>
  </r>
  <r>
    <x v="176"/>
    <n v="3"/>
    <n v="2015"/>
    <x v="3"/>
    <n v="23633000000"/>
    <n v="21113000000"/>
    <n v="200000000"/>
    <n v="0"/>
    <n v="0"/>
    <s v="Energy"/>
    <s v="Oil &amp; Gas Equipment &amp; Services"/>
    <n v="0.10663055896416029"/>
    <n v="2520000000"/>
    <n v="9.8167816189226931E-2"/>
    <n v="2320000000"/>
  </r>
  <r>
    <x v="176"/>
    <n v="4"/>
    <n v="2016"/>
    <x v="12"/>
    <n v="15887000000"/>
    <n v="15023000000"/>
    <n v="228000000"/>
    <n v="0"/>
    <n v="0"/>
    <s v="Energy"/>
    <s v="Oil &amp; Gas Equipment &amp; Services"/>
    <n v="5.4384087618807864E-2"/>
    <n v="864000000"/>
    <n v="4.0032731163844655E-2"/>
    <n v="636000000"/>
  </r>
  <r>
    <x v="177"/>
    <n v="1"/>
    <n v="2013"/>
    <x v="61"/>
    <n v="4297842000"/>
    <n v="3193722000"/>
    <n v="902869000"/>
    <n v="0"/>
    <n v="0"/>
    <s v="Consumer Discretionary"/>
    <s v="Consumer Electronics"/>
    <n v="0.25690102148938931"/>
    <n v="1104120000"/>
    <n v="4.682605828692632E-2"/>
    <n v="201251000"/>
  </r>
  <r>
    <x v="177"/>
    <n v="2"/>
    <n v="2014"/>
    <x v="62"/>
    <n v="5348483000"/>
    <n v="3891816000"/>
    <n v="1126940000"/>
    <n v="0"/>
    <n v="0"/>
    <s v="Consumer Discretionary"/>
    <s v="Consumer Electronics"/>
    <n v="0.27235143123760508"/>
    <n v="1456667000"/>
    <n v="6.1648695527311205E-2"/>
    <n v="329727000"/>
  </r>
  <r>
    <x v="177"/>
    <n v="3"/>
    <n v="2015"/>
    <x v="63"/>
    <n v="6155297000"/>
    <n v="4338193000"/>
    <n v="1347510000"/>
    <n v="0"/>
    <n v="0"/>
    <s v="Consumer Discretionary"/>
    <s v="Consumer Electronics"/>
    <n v="0.29520980059938617"/>
    <n v="1817104000"/>
    <n v="7.6291038434051189E-2"/>
    <n v="469594000"/>
  </r>
  <r>
    <x v="177"/>
    <n v="4"/>
    <n v="2016"/>
    <x v="64"/>
    <n v="6911676000"/>
    <n v="4818585000"/>
    <n v="1513064000"/>
    <n v="0"/>
    <n v="0"/>
    <s v="Consumer Discretionary"/>
    <s v="Consumer Electronics"/>
    <n v="0.3028340738194325"/>
    <n v="2093091000"/>
    <n v="8.3919877031272877E-2"/>
    <n v="580027000"/>
  </r>
  <r>
    <x v="178"/>
    <n v="1"/>
    <n v="2012"/>
    <x v="0"/>
    <n v="4088983000"/>
    <n v="1671980000"/>
    <n v="1269586000"/>
    <n v="201197000"/>
    <n v="92369000"/>
    <s v="Consumer Discretionary"/>
    <s v="Leisure Products"/>
    <n v="0.59110125916395351"/>
    <n v="2417003000"/>
    <n v="0.20881744922881801"/>
    <n v="853851000"/>
  </r>
  <r>
    <x v="178"/>
    <n v="2"/>
    <n v="2013"/>
    <x v="103"/>
    <n v="4082157000"/>
    <n v="1672901000"/>
    <n v="1269777000"/>
    <n v="207591000"/>
    <n v="125876000"/>
    <s v="Consumer Discretionary"/>
    <s v="Leisure Products"/>
    <n v="0.59019190099743835"/>
    <n v="2409256000"/>
    <n v="0.19744757489729081"/>
    <n v="806012000"/>
  </r>
  <r>
    <x v="178"/>
    <n v="3"/>
    <n v="2014"/>
    <x v="104"/>
    <n v="4277207000"/>
    <n v="1698372000"/>
    <n v="1315793000"/>
    <n v="222556000"/>
    <n v="99794000"/>
    <s v="Consumer Discretionary"/>
    <s v="Leisure Products"/>
    <n v="0.60292499287502332"/>
    <n v="2578835000"/>
    <n v="0.21993137110268454"/>
    <n v="940692000"/>
  </r>
  <r>
    <x v="178"/>
    <n v="4"/>
    <n v="2015"/>
    <x v="105"/>
    <n v="4447509000"/>
    <n v="1677033000"/>
    <n v="1370183000"/>
    <n v="242944000"/>
    <n v="86171000"/>
    <s v="Consumer Discretionary"/>
    <s v="Leisure Products"/>
    <n v="0.62292757586325287"/>
    <n v="2770476000"/>
    <n v="0.24084897860802529"/>
    <n v="1071178000"/>
  </r>
  <r>
    <x v="179"/>
    <n v="1"/>
    <n v="2013"/>
    <x v="106"/>
    <n v="2436948000"/>
    <n v="1589821000"/>
    <n v="441168000"/>
    <n v="62630000"/>
    <n v="0"/>
    <s v="Financials"/>
    <s v="Banks"/>
    <n v="0.34761800415930089"/>
    <n v="847127000"/>
    <n v="0.14088482807183411"/>
    <n v="343329000"/>
  </r>
  <r>
    <x v="179"/>
    <n v="2"/>
    <n v="2014"/>
    <x v="107"/>
    <n v="2473500000"/>
    <n v="1595700000"/>
    <n v="460300000"/>
    <n v="61800000"/>
    <n v="0"/>
    <s v="Financials"/>
    <s v="Banks"/>
    <n v="0.35488174651303817"/>
    <n v="877800000"/>
    <n v="0.14380432585405295"/>
    <n v="355700000"/>
  </r>
  <r>
    <x v="179"/>
    <n v="3"/>
    <n v="2015"/>
    <x v="108"/>
    <n v="2371200000"/>
    <n v="1562600000"/>
    <n v="460100000"/>
    <n v="60200000"/>
    <n v="0"/>
    <s v="Financials"/>
    <s v="Banks"/>
    <n v="0.34100877192982459"/>
    <n v="808600000"/>
    <n v="0.12158400809716599"/>
    <n v="288300000"/>
  </r>
  <r>
    <x v="179"/>
    <n v="4"/>
    <n v="2016"/>
    <x v="75"/>
    <n v="2220300000"/>
    <n v="1465500000"/>
    <n v="425100000"/>
    <n v="55500000"/>
    <n v="0"/>
    <s v="Financials"/>
    <s v="Banks"/>
    <n v="0.33995406026212671"/>
    <n v="754800000"/>
    <n v="0.1234968247534117"/>
    <n v="274200000"/>
  </r>
  <r>
    <x v="180"/>
    <n v="1"/>
    <n v="2013"/>
    <x v="5"/>
    <n v="4627802000"/>
    <n v="3016109000"/>
    <n v="1096507000"/>
    <n v="0"/>
    <n v="0"/>
    <s v="Consumer Discretionary"/>
    <s v="Apparel, Accessories &amp; Luxury Goods"/>
    <n v="0.34826317115555072"/>
    <n v="1611693000"/>
    <n v="0.11132412320146799"/>
    <n v="515186000"/>
  </r>
  <r>
    <x v="180"/>
    <n v="2"/>
    <n v="2015"/>
    <x v="6"/>
    <n v="5324746000"/>
    <n v="3420339000"/>
    <n v="1340453000"/>
    <n v="0"/>
    <n v="0"/>
    <s v="Consumer Discretionary"/>
    <s v="Apparel, Accessories &amp; Luxury Goods"/>
    <n v="0.35765217721183318"/>
    <n v="1904407000"/>
    <n v="0.10591190640830567"/>
    <n v="563954000"/>
  </r>
  <r>
    <x v="180"/>
    <n v="3"/>
    <n v="2016"/>
    <x v="7"/>
    <n v="5731549000"/>
    <n v="3595217000"/>
    <n v="1541214000"/>
    <n v="0"/>
    <n v="0"/>
    <s v="Consumer Discretionary"/>
    <s v="Apparel, Accessories &amp; Luxury Goods"/>
    <n v="0.37273204852649777"/>
    <n v="2136332000"/>
    <n v="0.10383196584378848"/>
    <n v="595118000"/>
  </r>
  <r>
    <x v="180"/>
    <n v="4"/>
    <n v="2016"/>
    <x v="12"/>
    <n v="6028199000"/>
    <n v="3752151000"/>
    <n v="1500399000"/>
    <n v="0"/>
    <n v="0"/>
    <s v="Consumer Discretionary"/>
    <s v="Apparel, Accessories &amp; Luxury Goods"/>
    <n v="0.3775668321500335"/>
    <n v="2276048000"/>
    <n v="0.12867010528351835"/>
    <n v="775649000"/>
  </r>
  <r>
    <x v="181"/>
    <n v="1"/>
    <n v="2012"/>
    <x v="0"/>
    <n v="91247000000"/>
    <n v="1727000000"/>
    <n v="48724000000"/>
    <n v="0"/>
    <n v="8891000000"/>
    <s v="Financials"/>
    <s v="Banks"/>
    <n v="0.98107335035672405"/>
    <n v="89520000000"/>
    <n v="0.3496553311341743"/>
    <n v="31905000000"/>
  </r>
  <r>
    <x v="181"/>
    <n v="2"/>
    <n v="2013"/>
    <x v="1"/>
    <n v="88069000000"/>
    <n v="1337000000"/>
    <n v="47338000000"/>
    <n v="0"/>
    <n v="3813000000"/>
    <s v="Financials"/>
    <s v="Banks"/>
    <n v="0.98481872168413398"/>
    <n v="86732000000"/>
    <n v="0.40401276272013992"/>
    <n v="35581000000"/>
  </r>
  <r>
    <x v="181"/>
    <n v="3"/>
    <n v="2014"/>
    <x v="2"/>
    <n v="88372000000"/>
    <n v="1096000000"/>
    <n v="47667000000"/>
    <n v="0"/>
    <n v="2765000000"/>
    <s v="Financials"/>
    <s v="Banks"/>
    <n v="0.9875978816819807"/>
    <n v="87276000000"/>
    <n v="0.41691938623093289"/>
    <n v="36844000000"/>
  </r>
  <r>
    <x v="181"/>
    <n v="4"/>
    <n v="2015"/>
    <x v="3"/>
    <n v="90033000000"/>
    <n v="963000000"/>
    <n v="48728000000"/>
    <n v="0"/>
    <n v="3688000000"/>
    <s v="Financials"/>
    <s v="Banks"/>
    <n v="0.98930392189530503"/>
    <n v="89070000000"/>
    <n v="0.40711739029022692"/>
    <n v="36654000000"/>
  </r>
  <r>
    <x v="182"/>
    <n v="1"/>
    <n v="2012"/>
    <x v="0"/>
    <n v="1765979000"/>
    <n v="567989000"/>
    <n v="158950000"/>
    <n v="0"/>
    <n v="506220000"/>
    <s v="Real Estate"/>
    <s v="REITs"/>
    <n v="0.67837160011529019"/>
    <n v="1197990000"/>
    <n v="0.30171366703681074"/>
    <n v="532820000"/>
  </r>
  <r>
    <x v="182"/>
    <n v="2"/>
    <n v="2013"/>
    <x v="1"/>
    <n v="2847945000"/>
    <n v="1206813000"/>
    <n v="241719000"/>
    <n v="0"/>
    <n v="865800000"/>
    <s v="Real Estate"/>
    <s v="REITs"/>
    <n v="0.57625129698782807"/>
    <n v="1641132000"/>
    <n v="0.18736773357631556"/>
    <n v="533613000"/>
  </r>
  <r>
    <x v="182"/>
    <n v="3"/>
    <n v="2014"/>
    <x v="2"/>
    <n v="3305879000"/>
    <n v="1403358000"/>
    <n v="212481000"/>
    <n v="0"/>
    <n v="844130000"/>
    <s v="Real Estate"/>
    <s v="REITs"/>
    <n v="0.57549625984496111"/>
    <n v="1902521000"/>
    <n v="0.25588050863325607"/>
    <n v="845910000"/>
  </r>
  <r>
    <x v="182"/>
    <n v="4"/>
    <n v="2015"/>
    <x v="3"/>
    <n v="3775685000"/>
    <n v="1622257000"/>
    <n v="258342000"/>
    <n v="0"/>
    <n v="826240000"/>
    <s v="Real Estate"/>
    <s v="REITs"/>
    <n v="0.57034101096887058"/>
    <n v="2153428000"/>
    <n v="0.28308664520477739"/>
    <n v="1068846000"/>
  </r>
  <r>
    <x v="183"/>
    <n v="1"/>
    <n v="2013"/>
    <x v="1"/>
    <n v="2013719000"/>
    <n v="0"/>
    <n v="401324000"/>
    <n v="0"/>
    <n v="423312000"/>
    <s v="Real Estate"/>
    <s v="REITs"/>
    <n v="1"/>
    <n v="2013719000"/>
    <n v="0.59049102680165411"/>
    <n v="1189083000"/>
  </r>
  <r>
    <x v="183"/>
    <n v="2"/>
    <n v="2014"/>
    <x v="2"/>
    <n v="1563210000"/>
    <n v="0"/>
    <n v="463059000"/>
    <n v="0"/>
    <n v="455016000"/>
    <s v="Real Estate"/>
    <s v="REITs"/>
    <n v="1"/>
    <n v="1563210000"/>
    <n v="0.4126988696336385"/>
    <n v="645135000"/>
  </r>
  <r>
    <x v="183"/>
    <n v="3"/>
    <n v="2015"/>
    <x v="3"/>
    <n v="1828305000"/>
    <n v="0"/>
    <n v="706644000"/>
    <n v="0"/>
    <n v="504905000"/>
    <s v="Real Estate"/>
    <s v="REITs"/>
    <n v="1"/>
    <n v="1828305000"/>
    <n v="0.33733758864084495"/>
    <n v="616756000"/>
  </r>
  <r>
    <x v="183"/>
    <n v="4"/>
    <n v="2016"/>
    <x v="12"/>
    <n v="2040486000"/>
    <n v="0"/>
    <n v="842010000"/>
    <n v="0"/>
    <n v="568108000"/>
    <s v="Real Estate"/>
    <s v="REITs"/>
    <n v="1"/>
    <n v="2040486000"/>
    <n v="0.3089303234621556"/>
    <n v="630368000"/>
  </r>
  <r>
    <x v="184"/>
    <n v="1"/>
    <n v="2013"/>
    <x v="109"/>
    <n v="74754000000"/>
    <n v="48912000000"/>
    <n v="16508000000"/>
    <n v="0"/>
    <n v="1568000000"/>
    <s v="Consumer Discretionary"/>
    <s v="Home Improvement Retail"/>
    <n v="0.34569387591299461"/>
    <n v="25842000000"/>
    <n v="0.10388741739572464"/>
    <n v="7766000000"/>
  </r>
  <r>
    <x v="184"/>
    <n v="2"/>
    <n v="2014"/>
    <x v="110"/>
    <n v="78812000000"/>
    <n v="51897000000"/>
    <n v="16122000000"/>
    <n v="0"/>
    <n v="1627000000"/>
    <s v="Consumer Discretionary"/>
    <s v="Home Improvement Retail"/>
    <n v="0.34150890727300409"/>
    <n v="26915000000"/>
    <n v="0.11630208597675482"/>
    <n v="9166000000"/>
  </r>
  <r>
    <x v="184"/>
    <n v="3"/>
    <n v="2015"/>
    <x v="111"/>
    <n v="83176000000"/>
    <n v="54787000000"/>
    <n v="16280000000"/>
    <n v="0"/>
    <n v="1640000000"/>
    <s v="Consumer Discretionary"/>
    <s v="Home Improvement Retail"/>
    <n v="0.34131239780705969"/>
    <n v="28389000000"/>
    <n v="0.12586563431759162"/>
    <n v="10469000000"/>
  </r>
  <r>
    <x v="184"/>
    <n v="4"/>
    <n v="2016"/>
    <x v="24"/>
    <n v="88519000000"/>
    <n v="58254000000"/>
    <n v="16801000000"/>
    <n v="0"/>
    <n v="1690000000"/>
    <s v="Consumer Discretionary"/>
    <s v="Home Improvement Retail"/>
    <n v="0.34190399801172633"/>
    <n v="30265000000"/>
    <n v="0.13301099199042013"/>
    <n v="11774000000"/>
  </r>
  <r>
    <x v="185"/>
    <n v="1"/>
    <n v="2012"/>
    <x v="0"/>
    <n v="12245000000"/>
    <n v="3535000000"/>
    <n v="1126000000"/>
    <n v="0"/>
    <n v="2866000000"/>
    <s v="Energy"/>
    <s v="Integrated Oil &amp; Gas"/>
    <n v="0.71131073907717435"/>
    <n v="8710000000"/>
    <n v="0.38530012249897916"/>
    <n v="4718000000"/>
  </r>
  <r>
    <x v="185"/>
    <n v="2"/>
    <n v="2013"/>
    <x v="1"/>
    <n v="11905000000"/>
    <n v="3969000000"/>
    <n v="1045000000"/>
    <n v="0"/>
    <n v="2687000000"/>
    <s v="Energy"/>
    <s v="Integrated Oil &amp; Gas"/>
    <n v="0.66661066778664424"/>
    <n v="7936000000"/>
    <n v="0.35312893742125157"/>
    <n v="4204000000"/>
  </r>
  <r>
    <x v="185"/>
    <n v="3"/>
    <n v="2014"/>
    <x v="2"/>
    <n v="10737000000"/>
    <n v="3753000000"/>
    <n v="863000000"/>
    <n v="0"/>
    <n v="3224000000"/>
    <s v="Energy"/>
    <s v="Integrated Oil &amp; Gas"/>
    <n v="0.6504610226320201"/>
    <n v="6984000000"/>
    <n v="0.26981465958833939"/>
    <n v="2897000000"/>
  </r>
  <r>
    <x v="185"/>
    <n v="4"/>
    <n v="2015"/>
    <x v="3"/>
    <n v="6636000000"/>
    <n v="3323000000"/>
    <n v="703000000"/>
    <n v="0"/>
    <n v="3955000000"/>
    <s v="Energy"/>
    <s v="Integrated Oil &amp; Gas"/>
    <n v="0.49924653405666064"/>
    <n v="3313000000"/>
    <n v="-0.20268233875828812"/>
    <n v="-1345000000"/>
  </r>
  <r>
    <x v="186"/>
    <n v="1"/>
    <n v="2012"/>
    <x v="0"/>
    <n v="7232397000"/>
    <n v="5165169000"/>
    <n v="0"/>
    <n v="0"/>
    <n v="1173955000"/>
    <s v="Financials"/>
    <s v="Property &amp; Casualty Insurance"/>
    <n v="0.28582888909444548"/>
    <n v="2067228000"/>
    <n v="0.12350995112685324"/>
    <n v="893273000"/>
  </r>
  <r>
    <x v="186"/>
    <n v="2"/>
    <n v="2013"/>
    <x v="1"/>
    <n v="7541234000"/>
    <n v="5106489000"/>
    <n v="0"/>
    <n v="0"/>
    <n v="1213178000"/>
    <s v="Financials"/>
    <s v="Property &amp; Casualty Insurance"/>
    <n v="0.32285763841832782"/>
    <n v="2434745000"/>
    <n v="0.16198502791452965"/>
    <n v="1221567000"/>
  </r>
  <r>
    <x v="186"/>
    <n v="3"/>
    <n v="2014"/>
    <x v="2"/>
    <n v="6602267000"/>
    <n v="4239474000"/>
    <n v="0"/>
    <n v="0"/>
    <n v="1341315000"/>
    <s v="Financials"/>
    <s v="Property &amp; Casualty Insurance"/>
    <n v="0.35787601440535499"/>
    <n v="2362793000"/>
    <n v="0.15471625125127475"/>
    <n v="1021478000"/>
  </r>
  <r>
    <x v="186"/>
    <n v="4"/>
    <n v="2015"/>
    <x v="3"/>
    <n v="9308926000"/>
    <n v="6199645000"/>
    <n v="0"/>
    <n v="0"/>
    <n v="1966939000"/>
    <s v="Financials"/>
    <s v="Property &amp; Casualty Insurance"/>
    <n v="0.33401071186944664"/>
    <n v="3109281000"/>
    <n v="0.12271469340286946"/>
    <n v="1142342000"/>
  </r>
  <r>
    <x v="187"/>
    <n v="1"/>
    <n v="2012"/>
    <x v="0"/>
    <n v="5580506000"/>
    <n v="3440623000"/>
    <n v="1111232000"/>
    <n v="0"/>
    <n v="0"/>
    <s v="Consumer Discretionary"/>
    <s v="Motorcycle Manufacturers"/>
    <n v="0.38345680481304023"/>
    <n v="2139883000"/>
    <n v="0.18432934217793154"/>
    <n v="1028651000"/>
  </r>
  <r>
    <x v="187"/>
    <n v="2"/>
    <n v="2013"/>
    <x v="1"/>
    <n v="5899872000"/>
    <n v="3621417000"/>
    <n v="1124753000"/>
    <n v="0"/>
    <n v="0"/>
    <s v="Consumer Discretionary"/>
    <s v="Motorcycle Manufacturers"/>
    <n v="0.38618719185772166"/>
    <n v="2278455000"/>
    <n v="0.19554695423900723"/>
    <n v="1153702000"/>
  </r>
  <r>
    <x v="187"/>
    <n v="3"/>
    <n v="2014"/>
    <x v="2"/>
    <n v="6228508000"/>
    <n v="3788023000"/>
    <n v="1159502000"/>
    <n v="0"/>
    <n v="0"/>
    <s v="Consumer Discretionary"/>
    <s v="Motorcycle Manufacturers"/>
    <n v="0.39182497638278702"/>
    <n v="2440485000"/>
    <n v="0.2056645026385131"/>
    <n v="1280983000"/>
  </r>
  <r>
    <x v="187"/>
    <n v="4"/>
    <n v="2015"/>
    <x v="3"/>
    <n v="5995402000"/>
    <n v="3619612000"/>
    <n v="1220095000"/>
    <n v="0"/>
    <n v="0"/>
    <s v="Consumer Discretionary"/>
    <s v="Motorcycle Manufacturers"/>
    <n v="0.39626867389376064"/>
    <n v="2375790000"/>
    <n v="0.19276355447057594"/>
    <n v="1155695000"/>
  </r>
  <r>
    <x v="188"/>
    <n v="1"/>
    <n v="2012"/>
    <x v="0"/>
    <n v="2458592000"/>
    <n v="80146000"/>
    <n v="1579007000"/>
    <n v="0"/>
    <n v="31237000"/>
    <s v="Financials"/>
    <s v="Regional Banks"/>
    <n v="0.96740166729575305"/>
    <n v="2378446000"/>
    <n v="0.31245607241868517"/>
    <n v="768202000"/>
  </r>
  <r>
    <x v="188"/>
    <n v="2"/>
    <n v="2013"/>
    <x v="1"/>
    <n v="2278812000"/>
    <n v="58913000"/>
    <n v="1700064000"/>
    <n v="0"/>
    <n v="-72761000"/>
    <s v="Financials"/>
    <s v="Regional Banks"/>
    <n v="0.97414749439620296"/>
    <n v="2219899000"/>
    <n v="0.26004602398091636"/>
    <n v="592596000"/>
  </r>
  <r>
    <x v="188"/>
    <n v="3"/>
    <n v="2014"/>
    <x v="2"/>
    <n v="2361631000"/>
    <n v="49736000"/>
    <n v="1654369000"/>
    <n v="0"/>
    <n v="-87159000"/>
    <s v="Financials"/>
    <s v="Regional Banks"/>
    <n v="0.97893997834547397"/>
    <n v="2311895000"/>
    <n v="0.31532656879927473"/>
    <n v="744685000"/>
  </r>
  <r>
    <x v="188"/>
    <n v="4"/>
    <n v="2015"/>
    <x v="3"/>
    <n v="2210591000"/>
    <n v="49344000"/>
    <n v="1591239000"/>
    <n v="0"/>
    <n v="49282000"/>
    <s v="Financials"/>
    <s v="Regional Banks"/>
    <n v="0.97767836745919978"/>
    <n v="2161247000"/>
    <n v="0.23555963088603907"/>
    <n v="520726000"/>
  </r>
  <r>
    <x v="189"/>
    <n v="1"/>
    <n v="2013"/>
    <x v="1"/>
    <n v="39055000000"/>
    <n v="28364000000"/>
    <n v="5190000000"/>
    <n v="0"/>
    <n v="0"/>
    <s v="Industrials"/>
    <s v="Industrial Conglomerates"/>
    <n v="0.27374215849443095"/>
    <n v="10691000000"/>
    <n v="0.14085264370759185"/>
    <n v="5501000000"/>
  </r>
  <r>
    <x v="189"/>
    <n v="2"/>
    <n v="2014"/>
    <x v="2"/>
    <n v="40306000000"/>
    <n v="28957000000"/>
    <n v="5518000000"/>
    <n v="0"/>
    <n v="0"/>
    <s v="Industrials"/>
    <s v="Industrial Conglomerates"/>
    <n v="0.2815709819877934"/>
    <n v="11349000000"/>
    <n v="0.14466828759986106"/>
    <n v="5831000000"/>
  </r>
  <r>
    <x v="189"/>
    <n v="3"/>
    <n v="2015"/>
    <x v="3"/>
    <n v="38581000000"/>
    <n v="26747000000"/>
    <n v="5006000000"/>
    <n v="0"/>
    <n v="0"/>
    <s v="Industrials"/>
    <s v="Industrial Conglomerates"/>
    <n v="0.30673129260516829"/>
    <n v="11834000000"/>
    <n v="0.17697830538347892"/>
    <n v="6828000000"/>
  </r>
  <r>
    <x v="189"/>
    <n v="4"/>
    <n v="2016"/>
    <x v="12"/>
    <n v="39302000000"/>
    <n v="27150000000"/>
    <n v="5469000000"/>
    <n v="0"/>
    <n v="0"/>
    <s v="Industrials"/>
    <s v="Industrial Conglomerates"/>
    <n v="0.3091954607907994"/>
    <n v="12152000000"/>
    <n v="0.17004223703628313"/>
    <n v="6683000000"/>
  </r>
  <r>
    <x v="190"/>
    <n v="1"/>
    <n v="2013"/>
    <x v="29"/>
    <n v="3387614000"/>
    <n v="1852768000"/>
    <n v="126250000"/>
    <n v="15235000"/>
    <n v="455623000"/>
    <s v="Energy"/>
    <s v="Oil &amp; Gas Drilling"/>
    <n v="0.45307582268818114"/>
    <n v="1534846000"/>
    <n v="0.27681371018067585"/>
    <n v="937738000"/>
  </r>
  <r>
    <x v="190"/>
    <n v="2"/>
    <n v="2014"/>
    <x v="30"/>
    <n v="3715968000"/>
    <n v="2006715000"/>
    <n v="116190000"/>
    <n v="15905000"/>
    <n v="523984000"/>
    <s v="Energy"/>
    <s v="Oil &amp; Gas Drilling"/>
    <n v="0.45997516663222071"/>
    <n v="1709253000"/>
    <n v="0.28341847938410664"/>
    <n v="1053174000"/>
  </r>
  <r>
    <x v="190"/>
    <n v="3"/>
    <n v="2015"/>
    <x v="31"/>
    <n v="3161702000"/>
    <n v="1703476000"/>
    <n v="122878000"/>
    <n v="16104000"/>
    <n v="608039000"/>
    <s v="Energy"/>
    <s v="Oil &amp; Gas Drilling"/>
    <n v="0.46121550987411208"/>
    <n v="1458226000"/>
    <n v="0.22494371702329949"/>
    <n v="711205000"/>
  </r>
  <r>
    <x v="190"/>
    <n v="4"/>
    <n v="2016"/>
    <x v="32"/>
    <n v="1624232000"/>
    <n v="898805000"/>
    <n v="136287000"/>
    <n v="10269000"/>
    <n v="598587000"/>
    <s v="Energy"/>
    <s v="Oil &amp; Gas Drilling"/>
    <n v="0.44662769850612472"/>
    <n v="725427000"/>
    <n v="-1.2138659994385039E-2"/>
    <n v="-19716000"/>
  </r>
  <r>
    <x v="191"/>
    <n v="1"/>
    <n v="2014"/>
    <x v="89"/>
    <n v="55123000000"/>
    <n v="39486000000"/>
    <n v="8717000000"/>
    <n v="2197000000"/>
    <n v="906000000"/>
    <s v="Information Technology"/>
    <s v="Technology Hardware, Storage &amp; Peripherals"/>
    <n v="0.28367469114525701"/>
    <n v="15637000000"/>
    <n v="6.9245142680913599E-2"/>
    <n v="3817000000"/>
  </r>
  <r>
    <x v="191"/>
    <n v="2"/>
    <n v="2015"/>
    <x v="19"/>
    <n v="52107000000"/>
    <n v="37168000000"/>
    <n v="9047000000"/>
    <n v="2338000000"/>
    <n v="852000000"/>
    <s v="Information Technology"/>
    <s v="Technology Hardware, Storage &amp; Peripherals"/>
    <n v="0.28669852419060782"/>
    <n v="14939000000"/>
    <n v="5.1854837161993593E-2"/>
    <n v="2702000000"/>
  </r>
  <r>
    <x v="191"/>
    <n v="3"/>
    <n v="2016"/>
    <x v="90"/>
    <n v="50123000000"/>
    <n v="35507000000"/>
    <n v="8419000000"/>
    <n v="2298000000"/>
    <n v="755000000"/>
    <s v="Information Technology"/>
    <s v="Technology Hardware, Storage &amp; Peripherals"/>
    <n v="0.29160265746264191"/>
    <n v="14616000000"/>
    <n v="6.2725694790814593E-2"/>
    <n v="3144000000"/>
  </r>
  <r>
    <x v="192"/>
    <n v="1"/>
    <n v="2013"/>
    <x v="88"/>
    <n v="112298000000"/>
    <n v="86380000000"/>
    <n v="13267000000"/>
    <n v="3135000000"/>
    <n v="1373000000"/>
    <s v="Information Technology"/>
    <s v="Computer Hardware"/>
    <n v="0.2307966303941299"/>
    <n v="25918000000"/>
    <n v="7.2512422304938651E-2"/>
    <n v="8143000000"/>
  </r>
  <r>
    <x v="192"/>
    <n v="2"/>
    <n v="2014"/>
    <x v="89"/>
    <n v="56651000000"/>
    <n v="45431000000"/>
    <n v="5361000000"/>
    <n v="1298000000"/>
    <n v="129000000"/>
    <s v="Information Technology"/>
    <s v="Computer Hardware"/>
    <n v="0.19805475631498115"/>
    <n v="11220000000"/>
    <n v="7.8233393938324125E-2"/>
    <n v="4432000000"/>
  </r>
  <r>
    <x v="192"/>
    <n v="3"/>
    <n v="2015"/>
    <x v="19"/>
    <n v="51463000000"/>
    <n v="41524000000"/>
    <n v="4663000000"/>
    <n v="1191000000"/>
    <n v="102000000"/>
    <s v="Information Technology"/>
    <s v="Computer Hardware"/>
    <n v="0.19312904416765442"/>
    <n v="9939000000"/>
    <n v="7.7395410294774883E-2"/>
    <n v="3983000000"/>
  </r>
  <r>
    <x v="192"/>
    <n v="4"/>
    <n v="2016"/>
    <x v="90"/>
    <n v="48238000000"/>
    <n v="39240000000"/>
    <n v="4019000000"/>
    <n v="1209000000"/>
    <n v="16000000"/>
    <s v="Information Technology"/>
    <s v="Computer Hardware"/>
    <n v="0.18653343836809155"/>
    <n v="8998000000"/>
    <n v="7.7822463617894605E-2"/>
    <n v="3754000000"/>
  </r>
  <r>
    <x v="193"/>
    <n v="1"/>
    <n v="2012"/>
    <x v="0"/>
    <n v="18380000000"/>
    <n v="4508000000"/>
    <n v="4989000000"/>
    <n v="2778000000"/>
    <n v="0"/>
    <s v="Health Care"/>
    <s v="Pharmaceuticals"/>
    <n v="0.75473340587595206"/>
    <n v="13872000000"/>
    <n v="0.33215451577801958"/>
    <n v="6105000000"/>
  </r>
  <r>
    <x v="193"/>
    <n v="2"/>
    <n v="2013"/>
    <x v="1"/>
    <n v="18790000000"/>
    <n v="4581000000"/>
    <n v="5352000000"/>
    <n v="2855000000"/>
    <n v="0"/>
    <s v="Health Care"/>
    <s v="Pharmaceuticals"/>
    <n v="0.75620010643959557"/>
    <n v="14209000000"/>
    <n v="0.31942522618414049"/>
    <n v="6002000000"/>
  </r>
  <r>
    <x v="193"/>
    <n v="3"/>
    <n v="2014"/>
    <x v="2"/>
    <n v="19960000000"/>
    <n v="4426000000"/>
    <n v="8474000000"/>
    <n v="3297000000"/>
    <n v="0"/>
    <s v="Health Care"/>
    <s v="Pharmaceuticals"/>
    <n v="0.77825651302605214"/>
    <n v="15534000000"/>
    <n v="0.18852705410821644"/>
    <n v="3763000000"/>
  </r>
  <r>
    <x v="193"/>
    <n v="4"/>
    <n v="2015"/>
    <x v="3"/>
    <n v="22859000000"/>
    <n v="4500000000"/>
    <n v="6387000000"/>
    <n v="4285000000"/>
    <n v="0"/>
    <s v="Health Care"/>
    <s v="Pharmaceuticals"/>
    <n v="0.803140994794173"/>
    <n v="18359000000"/>
    <n v="0.33627892733715387"/>
    <n v="7687000000"/>
  </r>
  <r>
    <x v="194"/>
    <n v="1"/>
    <n v="2013"/>
    <x v="25"/>
    <n v="8751654000"/>
    <n v="7338838000"/>
    <n v="627340000"/>
    <n v="0"/>
    <n v="0"/>
    <s v="Consumer Staples"/>
    <s v="Packaged Foods &amp; Meats"/>
    <n v="0.16143417004374261"/>
    <n v="1412816000"/>
    <n v="8.9751720074856711E-2"/>
    <n v="785476000"/>
  </r>
  <r>
    <x v="194"/>
    <n v="2"/>
    <n v="2014"/>
    <x v="26"/>
    <n v="9316256000"/>
    <n v="7751273000"/>
    <n v="650948000"/>
    <n v="0"/>
    <n v="0"/>
    <s v="Consumer Staples"/>
    <s v="Packaged Foods &amp; Meats"/>
    <n v="0.1679841129312033"/>
    <n v="1564983000"/>
    <n v="9.8111838060267992E-2"/>
    <n v="914035000"/>
  </r>
  <r>
    <x v="194"/>
    <n v="3"/>
    <n v="2015"/>
    <x v="19"/>
    <n v="9263863000"/>
    <n v="7455282000"/>
    <n v="743611000"/>
    <n v="0"/>
    <n v="0"/>
    <s v="Consumer Staples"/>
    <s v="Packaged Foods &amp; Meats"/>
    <n v="0.19522967902267119"/>
    <n v="1808581000"/>
    <n v="0.11495960162623303"/>
    <n v="1064970000"/>
  </r>
  <r>
    <x v="194"/>
    <n v="4"/>
    <n v="2016"/>
    <x v="28"/>
    <n v="9523224000"/>
    <n v="7365049000"/>
    <n v="871974000"/>
    <n v="0"/>
    <n v="0"/>
    <s v="Consumer Staples"/>
    <s v="Packaged Foods &amp; Meats"/>
    <n v="0.22662230773947978"/>
    <n v="2158175000"/>
    <n v="0.13505940845243167"/>
    <n v="1286201000"/>
  </r>
  <r>
    <x v="195"/>
    <n v="1"/>
    <n v="2013"/>
    <x v="112"/>
    <n v="5112000000"/>
    <n v="3385000000"/>
    <n v="914000000"/>
    <n v="0"/>
    <n v="0"/>
    <s v="Information Technology"/>
    <s v="Telecommunications Equipment"/>
    <n v="0.33783255086071984"/>
    <n v="1727000000"/>
    <n v="0.159037558685446"/>
    <n v="813000000"/>
  </r>
  <r>
    <x v="195"/>
    <n v="2"/>
    <n v="2014"/>
    <x v="113"/>
    <n v="5012000000"/>
    <n v="3310000000"/>
    <n v="820000000"/>
    <n v="0"/>
    <n v="0"/>
    <s v="Information Technology"/>
    <s v="Telecommunications Equipment"/>
    <n v="0.33958499600957703"/>
    <n v="1702000000"/>
    <n v="0.17597765363128492"/>
    <n v="882000000"/>
  </r>
  <r>
    <x v="195"/>
    <n v="3"/>
    <n v="2015"/>
    <x v="114"/>
    <n v="5083000000"/>
    <n v="3348000000"/>
    <n v="976000000"/>
    <n v="0"/>
    <n v="0"/>
    <s v="Information Technology"/>
    <s v="Telecommunications Equipment"/>
    <n v="0.34133385795789883"/>
    <n v="1735000000"/>
    <n v="0.14932126696832579"/>
    <n v="759000000"/>
  </r>
  <r>
    <x v="195"/>
    <n v="4"/>
    <n v="2016"/>
    <x v="115"/>
    <n v="7467000000"/>
    <n v="5132000000"/>
    <n v="1186000000"/>
    <n v="0"/>
    <n v="0"/>
    <s v="Information Technology"/>
    <s v="Telecommunications Equipment"/>
    <n v="0.31270925405115846"/>
    <n v="2335000000"/>
    <n v="0.1538770590598634"/>
    <n v="1149000000"/>
  </r>
  <r>
    <x v="196"/>
    <n v="1"/>
    <n v="2013"/>
    <x v="29"/>
    <n v="87959167000"/>
    <n v="85451348000"/>
    <n v="1447234000"/>
    <n v="0"/>
    <n v="162186000"/>
    <s v="Health Care"/>
    <s v="Health Care Distributors"/>
    <n v="2.8511172689936859E-2"/>
    <n v="2507819000"/>
    <n v="1.0213818873477963E-2"/>
    <n v="898399000"/>
  </r>
  <r>
    <x v="196"/>
    <n v="2"/>
    <n v="2014"/>
    <x v="30"/>
    <n v="119569127000"/>
    <n v="116586761000"/>
    <n v="2011595000"/>
    <n v="0"/>
    <n v="188680000"/>
    <s v="Health Care"/>
    <s v="Health Care Distributors"/>
    <n v="2.4942609140234051E-2"/>
    <n v="2982366000"/>
    <n v="6.5409108490020167E-3"/>
    <n v="782091000"/>
  </r>
  <r>
    <x v="196"/>
    <n v="3"/>
    <n v="2015"/>
    <x v="31"/>
    <n v="135961803000"/>
    <n v="132432490000"/>
    <n v="2858458000"/>
    <n v="0"/>
    <n v="248635000"/>
    <s v="Health Care"/>
    <s v="Health Care Distributors"/>
    <n v="2.5958121487988817E-2"/>
    <n v="3529313000"/>
    <n v="3.1054310157978709E-3"/>
    <n v="422220000"/>
  </r>
  <r>
    <x v="196"/>
    <n v="4"/>
    <n v="2016"/>
    <x v="32"/>
    <n v="146849686000"/>
    <n v="142577080000"/>
    <n v="2382097000"/>
    <n v="0"/>
    <n v="364735000"/>
    <s v="Health Care"/>
    <s v="Health Care Distributors"/>
    <n v="2.9095097962960614E-2"/>
    <n v="4272606000"/>
    <n v="1.0390039240533343E-2"/>
    <n v="1525774000"/>
  </r>
  <r>
    <x v="197"/>
    <n v="1"/>
    <n v="2012"/>
    <x v="0"/>
    <n v="5059000000"/>
    <n v="1885000000"/>
    <n v="2101000000"/>
    <n v="0"/>
    <n v="722000000"/>
    <s v="Real Estate"/>
    <s v="REITs"/>
    <n v="0.62739671871911451"/>
    <n v="3174000000"/>
    <n v="6.938130065230283E-2"/>
    <n v="351000000"/>
  </r>
  <r>
    <x v="197"/>
    <n v="2"/>
    <n v="2013"/>
    <x v="1"/>
    <n v="5166000000"/>
    <n v="1989000000"/>
    <n v="1968000000"/>
    <n v="0"/>
    <n v="697000000"/>
    <s v="Real Estate"/>
    <s v="REITs"/>
    <n v="0.61498257839721249"/>
    <n v="3177000000"/>
    <n v="9.910956252419667E-2"/>
    <n v="512000000"/>
  </r>
  <r>
    <x v="197"/>
    <n v="3"/>
    <n v="2014"/>
    <x v="2"/>
    <n v="5354000000"/>
    <n v="2033000000"/>
    <n v="1920000000"/>
    <n v="0"/>
    <n v="701000000"/>
    <s v="Real Estate"/>
    <s v="REITs"/>
    <n v="0.62028389988793431"/>
    <n v="3321000000"/>
    <n v="0.13074336944340681"/>
    <n v="700000000"/>
  </r>
  <r>
    <x v="197"/>
    <n v="4"/>
    <n v="2015"/>
    <x v="3"/>
    <n v="5387000000"/>
    <n v="2012000000"/>
    <n v="2011000000"/>
    <n v="0"/>
    <n v="716000000"/>
    <s v="Real Estate"/>
    <s v="REITs"/>
    <n v="0.62650826062743636"/>
    <n v="3375000000"/>
    <n v="0.1202895860404678"/>
    <n v="648000000"/>
  </r>
  <r>
    <x v="198"/>
    <n v="1"/>
    <n v="2012"/>
    <x v="0"/>
    <n v="6644252000"/>
    <n v="3784370000"/>
    <n v="1703796000"/>
    <n v="0"/>
    <n v="0"/>
    <s v="Consumer Staples"/>
    <s v="Packaged Foods &amp; Meats"/>
    <n v="0.43042949003138353"/>
    <n v="2859882000"/>
    <n v="0.17399791579247748"/>
    <n v="1156086000"/>
  </r>
  <r>
    <x v="198"/>
    <n v="2"/>
    <n v="2013"/>
    <x v="1"/>
    <n v="7146079000"/>
    <n v="3865231000"/>
    <n v="1924132000"/>
    <n v="0"/>
    <n v="0"/>
    <s v="Consumer Staples"/>
    <s v="Packaged Foods &amp; Meats"/>
    <n v="0.45911163310677083"/>
    <n v="3280848000"/>
    <n v="0.18985460418223757"/>
    <n v="1356716000"/>
  </r>
  <r>
    <x v="198"/>
    <n v="3"/>
    <n v="2014"/>
    <x v="2"/>
    <n v="7421768000"/>
    <n v="4085602000"/>
    <n v="1898284000"/>
    <n v="0"/>
    <n v="0"/>
    <s v="Consumer Staples"/>
    <s v="Packaged Foods &amp; Meats"/>
    <n v="0.44951095210736847"/>
    <n v="3336166000"/>
    <n v="0.19373847309697637"/>
    <n v="1437882000"/>
  </r>
  <r>
    <x v="198"/>
    <n v="4"/>
    <n v="2015"/>
    <x v="3"/>
    <n v="7386626000"/>
    <n v="4003951000"/>
    <n v="1969308000"/>
    <n v="0"/>
    <n v="0"/>
    <s v="Consumer Staples"/>
    <s v="Packaged Foods &amp; Meats"/>
    <n v="0.45794588760822597"/>
    <n v="3382675000"/>
    <n v="0.19134135124751139"/>
    <n v="1413367000"/>
  </r>
  <r>
    <x v="199"/>
    <n v="1"/>
    <n v="2012"/>
    <x v="0"/>
    <n v="19050000000"/>
    <n v="8899000000"/>
    <n v="6735000000"/>
    <n v="1461000000"/>
    <n v="595000000"/>
    <s v="Health Care"/>
    <s v="Health Care Equipment"/>
    <n v="0.53286089238845147"/>
    <n v="10151000000"/>
    <n v="7.1391076115485563E-2"/>
    <n v="1360000000"/>
  </r>
  <r>
    <x v="199"/>
    <n v="2"/>
    <n v="2013"/>
    <x v="1"/>
    <n v="19657000000"/>
    <n v="9193000000"/>
    <n v="6372000000"/>
    <n v="1371000000"/>
    <n v="588000000"/>
    <s v="Health Care"/>
    <s v="Health Care Equipment"/>
    <n v="0.53232945006867782"/>
    <n v="10464000000"/>
    <n v="0.10851096301571959"/>
    <n v="2133000000"/>
  </r>
  <r>
    <x v="199"/>
    <n v="3"/>
    <n v="2014"/>
    <x v="2"/>
    <n v="20247000000"/>
    <n v="9218000000"/>
    <n v="6530000000"/>
    <n v="1345000000"/>
    <n v="555000000"/>
    <s v="Health Care"/>
    <s v="Health Care Equipment"/>
    <n v="0.54472267496419224"/>
    <n v="11029000000"/>
    <n v="0.12836469600434633"/>
    <n v="2599000000"/>
  </r>
  <r>
    <x v="199"/>
    <n v="4"/>
    <n v="2015"/>
    <x v="3"/>
    <n v="20405000000"/>
    <n v="8747000000"/>
    <n v="6785000000"/>
    <n v="1405000000"/>
    <n v="601000000"/>
    <s v="Health Care"/>
    <s v="Health Care Equipment"/>
    <n v="0.57133055623621654"/>
    <n v="11658000000"/>
    <n v="0.14050477824062729"/>
    <n v="2867000000"/>
  </r>
  <r>
    <x v="200"/>
    <n v="1"/>
    <n v="2012"/>
    <x v="0"/>
    <n v="102874000000"/>
    <n v="52513000000"/>
    <n v="22389000000"/>
    <n v="5816000000"/>
    <n v="0"/>
    <s v="Information Technology"/>
    <s v="IT Consulting &amp; Other Services"/>
    <n v="0.48954060306783054"/>
    <n v="50361000000"/>
    <n v="0.21537025876314714"/>
    <n v="22156000000"/>
  </r>
  <r>
    <x v="200"/>
    <n v="2"/>
    <n v="2013"/>
    <x v="1"/>
    <n v="98367000000"/>
    <n v="49683000000"/>
    <n v="22629000000"/>
    <n v="5743000000"/>
    <n v="0"/>
    <s v="Information Technology"/>
    <s v="IT Consulting &amp; Other Services"/>
    <n v="0.49492207752599959"/>
    <n v="48684000000"/>
    <n v="0.20649201459839173"/>
    <n v="20312000000"/>
  </r>
  <r>
    <x v="200"/>
    <n v="3"/>
    <n v="2014"/>
    <x v="2"/>
    <n v="92793000000"/>
    <n v="46386000000"/>
    <n v="22438000000"/>
    <n v="5437000000"/>
    <n v="0"/>
    <s v="Information Technology"/>
    <s v="IT Consulting &amp; Other Services"/>
    <n v="0.50011315508712939"/>
    <n v="46407000000"/>
    <n v="0.1997133404459388"/>
    <n v="18532000000"/>
  </r>
  <r>
    <x v="200"/>
    <n v="4"/>
    <n v="2015"/>
    <x v="3"/>
    <n v="81741000000"/>
    <n v="41057000000"/>
    <n v="19748000000"/>
    <n v="5247000000"/>
    <n v="0"/>
    <s v="Information Technology"/>
    <s v="IT Consulting &amp; Other Services"/>
    <n v="0.4977184032492874"/>
    <n v="40684000000"/>
    <n v="0.19193550360284312"/>
    <n v="15689000000"/>
  </r>
  <r>
    <x v="201"/>
    <n v="1"/>
    <n v="2013"/>
    <x v="1"/>
    <n v="1551346000"/>
    <n v="177556000"/>
    <n v="493726000"/>
    <n v="317093000"/>
    <n v="417000"/>
    <s v="Health Care"/>
    <s v="Biotechnology"/>
    <n v="0.88554713132982588"/>
    <n v="1373790000"/>
    <n v="0.36262316723670929"/>
    <n v="562554000"/>
  </r>
  <r>
    <x v="201"/>
    <n v="2"/>
    <n v="2014"/>
    <x v="2"/>
    <n v="2234000000"/>
    <n v="174000000"/>
    <n v="650000000"/>
    <n v="514000000"/>
    <n v="0"/>
    <s v="Health Care"/>
    <s v="Biotechnology"/>
    <n v="0.92211280214861235"/>
    <n v="2060000000"/>
    <n v="0.40107430617726053"/>
    <n v="896000000"/>
  </r>
  <r>
    <x v="201"/>
    <n v="3"/>
    <n v="2015"/>
    <x v="3"/>
    <n v="2604000000"/>
    <n v="233000000"/>
    <n v="927000000"/>
    <n v="709000000"/>
    <n v="117000000"/>
    <s v="Health Care"/>
    <s v="Biotechnology"/>
    <n v="0.91052227342549918"/>
    <n v="2371000000"/>
    <n v="0.23732718894009217"/>
    <n v="618000000"/>
  </r>
  <r>
    <x v="201"/>
    <n v="4"/>
    <n v="2016"/>
    <x v="12"/>
    <n v="3084000000"/>
    <n v="258000000"/>
    <n v="990000000"/>
    <n v="757000000"/>
    <n v="322000000"/>
    <s v="Health Care"/>
    <s v="Biotechnology"/>
    <n v="0.91634241245136183"/>
    <n v="2826000000"/>
    <n v="0.2454604409857328"/>
    <n v="757000000"/>
  </r>
  <r>
    <x v="202"/>
    <n v="1"/>
    <n v="2012"/>
    <x v="0"/>
    <n v="2821446000"/>
    <n v="1645912000"/>
    <n v="453535000"/>
    <n v="233713000"/>
    <n v="0"/>
    <s v="Materials"/>
    <s v="Specialty Chemicals"/>
    <n v="0.4166423883356265"/>
    <n v="1175534000"/>
    <n v="0.17306232336185062"/>
    <n v="488286000"/>
  </r>
  <r>
    <x v="202"/>
    <n v="2"/>
    <n v="2013"/>
    <x v="1"/>
    <n v="2952896000"/>
    <n v="1668691000"/>
    <n v="505877000"/>
    <n v="259838000"/>
    <n v="0"/>
    <s v="Materials"/>
    <s v="Specialty Chemicals"/>
    <n v="0.43489679284336458"/>
    <n v="1284205000"/>
    <n v="0.17558694921866533"/>
    <n v="518490000"/>
  </r>
  <r>
    <x v="202"/>
    <n v="3"/>
    <n v="2014"/>
    <x v="2"/>
    <n v="3088533000"/>
    <n v="1726383000"/>
    <n v="514891000"/>
    <n v="253640000"/>
    <n v="0"/>
    <s v="Materials"/>
    <s v="Specialty Chemicals"/>
    <n v="0.44103462711908858"/>
    <n v="1362150000"/>
    <n v="0.19220095754197866"/>
    <n v="593619000"/>
  </r>
  <r>
    <x v="202"/>
    <n v="4"/>
    <n v="2015"/>
    <x v="3"/>
    <n v="3023189000"/>
    <n v="1671590000"/>
    <n v="509557000"/>
    <n v="246101000"/>
    <n v="0"/>
    <s v="Materials"/>
    <s v="Specialty Chemicals"/>
    <n v="0.44707724194550857"/>
    <n v="1351599000"/>
    <n v="0.19712330257883315"/>
    <n v="595941000"/>
  </r>
  <r>
    <x v="203"/>
    <n v="1"/>
    <n v="2013"/>
    <x v="1"/>
    <n v="18676000000"/>
    <n v="3346000000"/>
    <n v="5380000000"/>
    <n v="4083000000"/>
    <n v="0"/>
    <s v="Health Care"/>
    <s v="Biotechnology"/>
    <n v="0.82083958020989511"/>
    <n v="15330000000"/>
    <n v="0.3141464981794817"/>
    <n v="5867000000"/>
  </r>
  <r>
    <x v="203"/>
    <n v="2"/>
    <n v="2014"/>
    <x v="2"/>
    <n v="20063000000"/>
    <n v="4422000000"/>
    <n v="5153000000"/>
    <n v="4297000000"/>
    <n v="0"/>
    <s v="Health Care"/>
    <s v="Biotechnology"/>
    <n v="0.77959427802422376"/>
    <n v="15641000000"/>
    <n v="0.30857797936500025"/>
    <n v="6191000000"/>
  </r>
  <r>
    <x v="203"/>
    <n v="3"/>
    <n v="2015"/>
    <x v="3"/>
    <n v="21662000000"/>
    <n v="4227000000"/>
    <n v="4895000000"/>
    <n v="4070000000"/>
    <n v="0"/>
    <s v="Health Care"/>
    <s v="Biotechnology"/>
    <n v="0.80486566337364973"/>
    <n v="17435000000"/>
    <n v="0.39100729387868155"/>
    <n v="8470000000"/>
  </r>
  <r>
    <x v="203"/>
    <n v="4"/>
    <n v="2016"/>
    <x v="12"/>
    <n v="22991000000"/>
    <n v="4162000000"/>
    <n v="5195000000"/>
    <n v="3840000000"/>
    <n v="0"/>
    <s v="Health Care"/>
    <s v="Biotechnology"/>
    <n v="0.81897264146840065"/>
    <n v="18829000000"/>
    <n v="0.4259927797833935"/>
    <n v="9794000000"/>
  </r>
  <r>
    <x v="204"/>
    <n v="1"/>
    <n v="2013"/>
    <x v="5"/>
    <n v="52708000000"/>
    <n v="21187000000"/>
    <n v="8088000000"/>
    <n v="10611000000"/>
    <n v="291000000"/>
    <s v="Information Technology"/>
    <s v="Semiconductors"/>
    <n v="0.5980306594824315"/>
    <n v="31521000000"/>
    <n v="0.23774379600819609"/>
    <n v="12531000000"/>
  </r>
  <r>
    <x v="204"/>
    <n v="2"/>
    <n v="2014"/>
    <x v="101"/>
    <n v="55870000000"/>
    <n v="20261000000"/>
    <n v="8136000000"/>
    <n v="11537000000"/>
    <n v="294000000"/>
    <s v="Information Technology"/>
    <s v="Semiconductors"/>
    <n v="0.6373545731161625"/>
    <n v="35609000000"/>
    <n v="0.27997136209056739"/>
    <n v="15642000000"/>
  </r>
  <r>
    <x v="204"/>
    <n v="3"/>
    <n v="2015"/>
    <x v="102"/>
    <n v="55355000000"/>
    <n v="20676000000"/>
    <n v="7930000000"/>
    <n v="12128000000"/>
    <n v="265000000"/>
    <s v="Information Technology"/>
    <s v="Semiconductors"/>
    <n v="0.62648360581699936"/>
    <n v="34679000000"/>
    <n v="0.2593442326799747"/>
    <n v="14356000000"/>
  </r>
  <r>
    <x v="204"/>
    <n v="4"/>
    <n v="2016"/>
    <x v="12"/>
    <n v="59387000000"/>
    <n v="23196000000"/>
    <n v="8397000000"/>
    <n v="12740000000"/>
    <n v="294000000"/>
    <s v="Information Technology"/>
    <s v="Semiconductors"/>
    <n v="0.60940946671830543"/>
    <n v="36191000000"/>
    <n v="0.24853924259518076"/>
    <n v="14760000000"/>
  </r>
  <r>
    <x v="205"/>
    <n v="1"/>
    <n v="2013"/>
    <x v="106"/>
    <n v="3946000000"/>
    <n v="527000000"/>
    <n v="1534000000"/>
    <n v="647000000"/>
    <n v="30000000"/>
    <s v="Information Technology"/>
    <s v="Internet Software &amp; Services"/>
    <n v="0.86644703497212361"/>
    <n v="3419000000"/>
    <n v="0.30613279270146987"/>
    <n v="1208000000"/>
  </r>
  <r>
    <x v="205"/>
    <n v="2"/>
    <n v="2014"/>
    <x v="107"/>
    <n v="4243000000"/>
    <n v="603000000"/>
    <n v="1601000000"/>
    <n v="714000000"/>
    <n v="25000000"/>
    <s v="Information Technology"/>
    <s v="Internet Software &amp; Services"/>
    <n v="0.8578835729436719"/>
    <n v="3640000000"/>
    <n v="0.30638699033702571"/>
    <n v="1300000000"/>
  </r>
  <r>
    <x v="205"/>
    <n v="3"/>
    <n v="2015"/>
    <x v="108"/>
    <n v="4192000000"/>
    <n v="695000000"/>
    <n v="1771000000"/>
    <n v="798000000"/>
    <n v="42000000"/>
    <s v="Information Technology"/>
    <s v="Internet Software &amp; Services"/>
    <n v="0.83420801526717558"/>
    <n v="3497000000"/>
    <n v="0.21135496183206107"/>
    <n v="886000000"/>
  </r>
  <r>
    <x v="205"/>
    <n v="4"/>
    <n v="2016"/>
    <x v="75"/>
    <n v="4694000000"/>
    <n v="730000000"/>
    <n v="1807000000"/>
    <n v="881000000"/>
    <n v="34000000"/>
    <s v="Information Technology"/>
    <s v="Internet Software &amp; Services"/>
    <n v="0.84448231785257777"/>
    <n v="3964000000"/>
    <n v="0.26459309757136773"/>
    <n v="1242000000"/>
  </r>
  <r>
    <x v="206"/>
    <n v="1"/>
    <n v="2012"/>
    <x v="0"/>
    <n v="21852000000"/>
    <n v="15287000000"/>
    <n v="3303000000"/>
    <n v="0"/>
    <n v="1473000000"/>
    <s v="Materials"/>
    <s v="Paper Packaging"/>
    <n v="0.30043016657514188"/>
    <n v="6565000000"/>
    <n v="8.1868936481786558E-2"/>
    <n v="1789000000"/>
  </r>
  <r>
    <x v="206"/>
    <n v="2"/>
    <n v="2013"/>
    <x v="1"/>
    <n v="23483000000"/>
    <n v="16282000000"/>
    <n v="3557000000"/>
    <n v="0"/>
    <n v="1531000000"/>
    <s v="Materials"/>
    <s v="Paper Packaging"/>
    <n v="0.30664736192138997"/>
    <n v="7201000000"/>
    <n v="8.9979985521441042E-2"/>
    <n v="2113000000"/>
  </r>
  <r>
    <x v="206"/>
    <n v="3"/>
    <n v="2014"/>
    <x v="2"/>
    <n v="23617000000"/>
    <n v="16254000000"/>
    <n v="3494000000"/>
    <n v="0"/>
    <n v="1406000000"/>
    <s v="Materials"/>
    <s v="Paper Packaging"/>
    <n v="0.31176694753779055"/>
    <n v="7363000000"/>
    <n v="0.10428928314349832"/>
    <n v="2463000000"/>
  </r>
  <r>
    <x v="206"/>
    <n v="4"/>
    <n v="2015"/>
    <x v="3"/>
    <n v="22365000000"/>
    <n v="15468000000"/>
    <n v="3219000000"/>
    <n v="0"/>
    <n v="1294000000"/>
    <s v="Materials"/>
    <s v="Paper Packaging"/>
    <n v="0.30838363514419853"/>
    <n v="6897000000"/>
    <n v="0.10659512631343618"/>
    <n v="2384000000"/>
  </r>
  <r>
    <x v="207"/>
    <n v="1"/>
    <n v="2012"/>
    <x v="0"/>
    <n v="6956200000"/>
    <n v="0"/>
    <n v="6279100000"/>
    <n v="0"/>
    <n v="0"/>
    <s v="Consumer Discretionary"/>
    <s v="Advertising"/>
    <n v="1"/>
    <n v="6956200000"/>
    <n v="9.7337626865242513E-2"/>
    <n v="677100000"/>
  </r>
  <r>
    <x v="207"/>
    <n v="2"/>
    <n v="2013"/>
    <x v="1"/>
    <n v="7122300000"/>
    <n v="0"/>
    <n v="6463400000"/>
    <n v="0"/>
    <n v="0"/>
    <s v="Consumer Discretionary"/>
    <s v="Advertising"/>
    <n v="1"/>
    <n v="7122300000"/>
    <n v="9.2512250256237452E-2"/>
    <n v="658900000"/>
  </r>
  <r>
    <x v="207"/>
    <n v="3"/>
    <n v="2014"/>
    <x v="2"/>
    <n v="7537100000"/>
    <n v="0"/>
    <n v="6748500000"/>
    <n v="0"/>
    <n v="0"/>
    <s v="Consumer Discretionary"/>
    <s v="Advertising"/>
    <n v="1"/>
    <n v="7537100000"/>
    <n v="0.10462910137851428"/>
    <n v="788600000"/>
  </r>
  <r>
    <x v="207"/>
    <n v="4"/>
    <n v="2015"/>
    <x v="3"/>
    <n v="7613800000"/>
    <n v="0"/>
    <n v="6742700000"/>
    <n v="0"/>
    <n v="0"/>
    <s v="Consumer Discretionary"/>
    <s v="Advertising"/>
    <n v="1"/>
    <n v="7613800000"/>
    <n v="0.11441067535264914"/>
    <n v="871100000"/>
  </r>
  <r>
    <x v="208"/>
    <n v="1"/>
    <n v="2012"/>
    <x v="0"/>
    <n v="3003955000"/>
    <n v="1277113000"/>
    <n v="850371000"/>
    <n v="0"/>
    <n v="316344000"/>
    <s v="Real Estate"/>
    <s v="REITs"/>
    <n v="0.57485614797824869"/>
    <n v="1726842000"/>
    <n v="0.18646317937519039"/>
    <n v="560127000"/>
  </r>
  <r>
    <x v="208"/>
    <n v="2"/>
    <n v="2013"/>
    <x v="1"/>
    <n v="3024623000"/>
    <n v="1288878000"/>
    <n v="924031000"/>
    <n v="0"/>
    <n v="322037000"/>
    <s v="Real Estate"/>
    <s v="REITs"/>
    <n v="0.57387152051677182"/>
    <n v="1735745000"/>
    <n v="0.16189687111418513"/>
    <n v="489677000"/>
  </r>
  <r>
    <x v="208"/>
    <n v="3"/>
    <n v="2014"/>
    <x v="2"/>
    <n v="3117693000"/>
    <n v="1344636000"/>
    <n v="869572000"/>
    <n v="0"/>
    <n v="353143000"/>
    <s v="Real Estate"/>
    <s v="REITs"/>
    <n v="0.56870801583093655"/>
    <n v="1773057000"/>
    <n v="0.1765221912484648"/>
    <n v="550342000"/>
  </r>
  <r>
    <x v="208"/>
    <n v="4"/>
    <n v="2015"/>
    <x v="3"/>
    <n v="3007976000"/>
    <n v="1290025000"/>
    <n v="844960000"/>
    <n v="0"/>
    <n v="345464000"/>
    <s v="Real Estate"/>
    <s v="REITs"/>
    <n v="0.57113188403098958"/>
    <n v="1717951000"/>
    <n v="0.17537606683032045"/>
    <n v="527527000"/>
  </r>
  <r>
    <x v="209"/>
    <n v="1"/>
    <n v="2012"/>
    <x v="0"/>
    <n v="61497200000"/>
    <n v="48213600000"/>
    <n v="8680500000"/>
    <n v="0"/>
    <n v="233000000"/>
    <s v="Health Care"/>
    <s v="Managed Health Care"/>
    <n v="0.21600333023292118"/>
    <n v="13283600000"/>
    <n v="7.1061771918071073E-2"/>
    <n v="4370100000"/>
  </r>
  <r>
    <x v="209"/>
    <n v="2"/>
    <n v="2013"/>
    <x v="1"/>
    <n v="71023500000"/>
    <n v="56237100000"/>
    <n v="9952900000"/>
    <n v="0"/>
    <n v="245300000"/>
    <s v="Health Care"/>
    <s v="Managed Health Care"/>
    <n v="0.20819024689011378"/>
    <n v="14786400000"/>
    <n v="6.4601153139453846E-2"/>
    <n v="4588200000"/>
  </r>
  <r>
    <x v="209"/>
    <n v="3"/>
    <n v="2014"/>
    <x v="2"/>
    <n v="73874100000"/>
    <n v="56854900000"/>
    <n v="11748400000"/>
    <n v="0"/>
    <n v="220900000"/>
    <s v="Health Care"/>
    <s v="Managed Health Care"/>
    <n v="0.23038114846746016"/>
    <n v="17019200000"/>
    <n v="6.8358193196262296E-2"/>
    <n v="5049900000"/>
  </r>
  <r>
    <x v="209"/>
    <n v="4"/>
    <n v="2015"/>
    <x v="3"/>
    <n v="79156500000"/>
    <n v="61116900000"/>
    <n v="12534800000"/>
    <n v="0"/>
    <n v="230100000"/>
    <s v="Health Care"/>
    <s v="Managed Health Care"/>
    <n v="0.22789789846696107"/>
    <n v="18039600000"/>
    <n v="6.6636346983507358E-2"/>
    <n v="5274700000"/>
  </r>
  <r>
    <x v="210"/>
    <n v="1"/>
    <n v="2013"/>
    <x v="1"/>
    <n v="14135000000"/>
    <n v="8554000000"/>
    <n v="2815000000"/>
    <n v="0"/>
    <n v="250000000"/>
    <s v="Industrials"/>
    <s v="Industrial Machinery"/>
    <n v="0.39483551467987266"/>
    <n v="5581000000"/>
    <n v="0.17799787760877256"/>
    <n v="2516000000"/>
  </r>
  <r>
    <x v="210"/>
    <n v="2"/>
    <n v="2014"/>
    <x v="2"/>
    <n v="14484000000"/>
    <n v="8673000000"/>
    <n v="2678000000"/>
    <n v="0"/>
    <n v="245000000"/>
    <s v="Industrials"/>
    <s v="Industrial Machinery"/>
    <n v="0.40120132560066279"/>
    <n v="5811000000"/>
    <n v="0.19939243302954984"/>
    <n v="2888000000"/>
  </r>
  <r>
    <x v="210"/>
    <n v="3"/>
    <n v="2015"/>
    <x v="3"/>
    <n v="13405000000"/>
    <n v="7888000000"/>
    <n v="2417000000"/>
    <n v="0"/>
    <n v="233000000"/>
    <s v="Industrials"/>
    <s v="Industrial Machinery"/>
    <n v="0.41156284968295409"/>
    <n v="5517000000"/>
    <n v="0.21387541961954495"/>
    <n v="2867000000"/>
  </r>
  <r>
    <x v="210"/>
    <n v="4"/>
    <n v="2016"/>
    <x v="12"/>
    <n v="13599000000"/>
    <n v="7896000000"/>
    <n v="2415000000"/>
    <n v="0"/>
    <n v="224000000"/>
    <s v="Industrials"/>
    <s v="Industrial Machinery"/>
    <n v="0.41936907125523937"/>
    <n v="5703000000"/>
    <n v="0.22531068460916243"/>
    <n v="3064000000"/>
  </r>
  <r>
    <x v="211"/>
    <n v="1"/>
    <n v="2012"/>
    <x v="0"/>
    <n v="13936000000"/>
    <n v="6802000000"/>
    <n v="3283000000"/>
    <n v="1081000000"/>
    <n v="0"/>
    <s v="Health Care"/>
    <s v="Health Care Equipment"/>
    <n v="0.51191159586681967"/>
    <n v="7134000000"/>
    <n v="0.19876578645235363"/>
    <n v="2770000000"/>
  </r>
  <r>
    <x v="211"/>
    <n v="2"/>
    <n v="2013"/>
    <x v="1"/>
    <n v="9413000000"/>
    <n v="5251000000"/>
    <n v="3084000000"/>
    <n v="582000000"/>
    <n v="0"/>
    <s v="Health Care"/>
    <s v="Health Care Equipment"/>
    <n v="0.44215446722617657"/>
    <n v="4162000000"/>
    <n v="5.2693084032720702E-2"/>
    <n v="496000000"/>
  </r>
  <r>
    <x v="211"/>
    <n v="3"/>
    <n v="2014"/>
    <x v="2"/>
    <n v="10719000000"/>
    <n v="6138000000"/>
    <n v="3315000000"/>
    <n v="610000000"/>
    <n v="0"/>
    <s v="Health Care"/>
    <s v="Health Care Equipment"/>
    <n v="0.42737195633921077"/>
    <n v="4581000000"/>
    <n v="6.1199738781602758E-2"/>
    <n v="656000000"/>
  </r>
  <r>
    <x v="211"/>
    <n v="4"/>
    <n v="2015"/>
    <x v="3"/>
    <n v="9968000000"/>
    <n v="5822000000"/>
    <n v="3094000000"/>
    <n v="603000000"/>
    <n v="0"/>
    <s v="Health Care"/>
    <s v="Health Care Equipment"/>
    <n v="0.4159309791332263"/>
    <n v="4146000000"/>
    <n v="4.5044141252006419E-2"/>
    <n v="449000000"/>
  </r>
  <r>
    <x v="212"/>
    <n v="1"/>
    <n v="2012"/>
    <x v="0"/>
    <n v="5054980000"/>
    <n v="3230857000"/>
    <n v="1064757000"/>
    <n v="0"/>
    <n v="229166000"/>
    <s v="Industrials"/>
    <s v="Trucking"/>
    <n v="0.36085662059988366"/>
    <n v="1824123000"/>
    <n v="0.10488666621826397"/>
    <n v="530200000"/>
  </r>
  <r>
    <x v="212"/>
    <n v="2"/>
    <n v="2013"/>
    <x v="1"/>
    <n v="5584571000"/>
    <n v="3570801000"/>
    <n v="1183682000"/>
    <n v="0"/>
    <n v="253380000"/>
    <s v="Industrials"/>
    <s v="Trucking"/>
    <n v="0.36059529013061165"/>
    <n v="2013770000"/>
    <n v="0.10326809346680345"/>
    <n v="576708000"/>
  </r>
  <r>
    <x v="212"/>
    <n v="3"/>
    <n v="2014"/>
    <x v="2"/>
    <n v="6165441000"/>
    <n v="3898403000"/>
    <n v="1341000000"/>
    <n v="0"/>
    <n v="294496000"/>
    <s v="Industrials"/>
    <s v="Trucking"/>
    <n v="0.36770086681552872"/>
    <n v="2267038000"/>
    <n v="0.10243257538268552"/>
    <n v="631542000"/>
  </r>
  <r>
    <x v="212"/>
    <n v="4"/>
    <n v="2015"/>
    <x v="3"/>
    <n v="6187646000"/>
    <n v="3665578000"/>
    <n v="1466761000"/>
    <n v="0"/>
    <n v="339613000"/>
    <s v="Industrials"/>
    <s v="Trucking"/>
    <n v="0.40759733184477587"/>
    <n v="2522068000"/>
    <n v="0.11566498794533495"/>
    <n v="715694000"/>
  </r>
  <r>
    <x v="213"/>
    <n v="1"/>
    <n v="2013"/>
    <x v="116"/>
    <n v="11818376000"/>
    <n v="9976057000"/>
    <n v="1173340000"/>
    <n v="0"/>
    <n v="0"/>
    <s v="Industrials"/>
    <s v="Industrial Conglomerates"/>
    <n v="0.1558859694428405"/>
    <n v="1842319000"/>
    <n v="5.6604985321164258E-2"/>
    <n v="668979000"/>
  </r>
  <r>
    <x v="213"/>
    <n v="2"/>
    <n v="2014"/>
    <x v="117"/>
    <n v="12695157000"/>
    <n v="10621373000"/>
    <n v="1545716000"/>
    <n v="0"/>
    <n v="0"/>
    <s v="Industrials"/>
    <s v="Industrial Conglomerates"/>
    <n v="0.16335237130190672"/>
    <n v="2073784000"/>
    <n v="4.1596019647492349E-2"/>
    <n v="528068000"/>
  </r>
  <r>
    <x v="213"/>
    <n v="3"/>
    <n v="2015"/>
    <x v="118"/>
    <n v="12114832000"/>
    <n v="10146494000"/>
    <n v="1522811000"/>
    <n v="0"/>
    <n v="0"/>
    <s v="Industrials"/>
    <s v="Industrial Conglomerates"/>
    <n v="0.1624734045011933"/>
    <n v="1968338000"/>
    <n v="3.6775334565101687E-2"/>
    <n v="445527000"/>
  </r>
  <r>
    <x v="213"/>
    <n v="4"/>
    <n v="2016"/>
    <x v="32"/>
    <n v="10964157000"/>
    <n v="9196326000"/>
    <n v="1429233000"/>
    <n v="0"/>
    <n v="0"/>
    <s v="Industrials"/>
    <s v="Industrial Conglomerates"/>
    <n v="0.16123729348275473"/>
    <n v="1767831000"/>
    <n v="3.0882264819812412E-2"/>
    <n v="338598000"/>
  </r>
  <r>
    <x v="214"/>
    <n v="1"/>
    <n v="2012"/>
    <x v="0"/>
    <n v="4365400000"/>
    <n v="1656600000"/>
    <n v="1252300000"/>
    <n v="1101600000"/>
    <n v="0"/>
    <s v="Information Technology"/>
    <s v="Networking Equipment"/>
    <n v="0.62051587483392123"/>
    <n v="2708800000"/>
    <n v="8.1298391899940439E-2"/>
    <n v="354900000"/>
  </r>
  <r>
    <x v="214"/>
    <n v="2"/>
    <n v="2013"/>
    <x v="1"/>
    <n v="4669100000"/>
    <n v="1727700000"/>
    <n v="1293200000"/>
    <n v="1043200000"/>
    <n v="0"/>
    <s v="Information Technology"/>
    <s v="Networking Equipment"/>
    <n v="0.62997151485296954"/>
    <n v="2941400000"/>
    <n v="0.12957529288299671"/>
    <n v="605000000"/>
  </r>
  <r>
    <x v="214"/>
    <n v="3"/>
    <n v="2014"/>
    <x v="2"/>
    <n v="4627100000"/>
    <n v="1768900000"/>
    <n v="1254700000"/>
    <n v="1006200000"/>
    <n v="0"/>
    <s v="Information Technology"/>
    <s v="Networking Equipment"/>
    <n v="0.61770871604244559"/>
    <n v="2858200000"/>
    <n v="0.12908733331892547"/>
    <n v="597300000"/>
  </r>
  <r>
    <x v="214"/>
    <n v="4"/>
    <n v="2015"/>
    <x v="3"/>
    <n v="4857800000"/>
    <n v="1779200000"/>
    <n v="1172700000"/>
    <n v="994500000"/>
    <n v="0"/>
    <s v="Information Technology"/>
    <s v="Networking Equipment"/>
    <n v="0.6337436699740624"/>
    <n v="3078600000"/>
    <n v="0.18761579315739635"/>
    <n v="911400000"/>
  </r>
  <r>
    <x v="215"/>
    <n v="1"/>
    <n v="2013"/>
    <x v="1"/>
    <n v="3049500000"/>
    <n v="1194400000"/>
    <n v="920300000"/>
    <n v="295700000"/>
    <n v="0"/>
    <s v="Health Care"/>
    <s v="Health Care Equipment"/>
    <n v="0.60832923430070496"/>
    <n v="1855100000"/>
    <n v="0.20957534021970814"/>
    <n v="639100000"/>
  </r>
  <r>
    <x v="215"/>
    <n v="2"/>
    <n v="2014"/>
    <x v="2"/>
    <n v="3323600000"/>
    <n v="1258600000"/>
    <n v="981500000"/>
    <n v="302000000"/>
    <n v="0"/>
    <s v="Health Care"/>
    <s v="Health Care Equipment"/>
    <n v="0.62131423757371529"/>
    <n v="2065000000"/>
    <n v="0.23513659886869659"/>
    <n v="781500000"/>
  </r>
  <r>
    <x v="215"/>
    <n v="3"/>
    <n v="2015"/>
    <x v="3"/>
    <n v="3416000000"/>
    <n v="1301200000"/>
    <n v="1012100000"/>
    <n v="259200000"/>
    <n v="0"/>
    <s v="Health Care"/>
    <s v="Health Care Equipment"/>
    <n v="0.61908665105386418"/>
    <n v="2114800000"/>
    <n v="0.24692622950819673"/>
    <n v="843500000"/>
  </r>
  <r>
    <x v="215"/>
    <n v="4"/>
    <n v="2016"/>
    <x v="12"/>
    <n v="3714000000"/>
    <n v="1371700000"/>
    <n v="1101900000"/>
    <n v="292800000"/>
    <n v="0"/>
    <s v="Health Care"/>
    <s v="Health Care Equipment"/>
    <n v="0.63066774367259026"/>
    <n v="2342300000"/>
    <n v="0.25514270328486804"/>
    <n v="947600000"/>
  </r>
  <r>
    <x v="216"/>
    <n v="1"/>
    <n v="2013"/>
    <x v="96"/>
    <n v="12134000000"/>
    <n v="7432000000"/>
    <n v="3357000000"/>
    <n v="0"/>
    <n v="0"/>
    <s v="Consumer Discretionary"/>
    <s v="Department Stores"/>
    <n v="0.38750618097906708"/>
    <n v="4702000000"/>
    <n v="0.11084555793637713"/>
    <n v="1345000000"/>
  </r>
  <r>
    <x v="216"/>
    <n v="2"/>
    <n v="2014"/>
    <x v="47"/>
    <n v="12540000000"/>
    <n v="7737000000"/>
    <n v="3453000000"/>
    <n v="0"/>
    <n v="0"/>
    <s v="Consumer Discretionary"/>
    <s v="Department Stores"/>
    <n v="0.3830143540669857"/>
    <n v="4803000000"/>
    <n v="0.1076555023923445"/>
    <n v="1350000000"/>
  </r>
  <r>
    <x v="216"/>
    <n v="3"/>
    <n v="2015"/>
    <x v="23"/>
    <n v="13506000000"/>
    <n v="8406000000"/>
    <n v="3777000000"/>
    <n v="0"/>
    <n v="0"/>
    <s v="Consumer Discretionary"/>
    <s v="Department Stores"/>
    <n v="0.3776099511328298"/>
    <n v="5100000000"/>
    <n v="9.7956463793869394E-2"/>
    <n v="1323000000"/>
  </r>
  <r>
    <x v="216"/>
    <n v="4"/>
    <n v="2016"/>
    <x v="48"/>
    <n v="14437000000"/>
    <n v="9168000000"/>
    <n v="4168000000"/>
    <n v="0"/>
    <n v="0"/>
    <s v="Consumer Discretionary"/>
    <s v="Department Stores"/>
    <n v="0.36496502043360812"/>
    <n v="5269000000"/>
    <n v="7.6262381381173375E-2"/>
    <n v="1101000000"/>
  </r>
  <r>
    <x v="217"/>
    <n v="1"/>
    <n v="2012"/>
    <x v="4"/>
    <n v="14197000000"/>
    <n v="8763000000"/>
    <n v="3872000000"/>
    <n v="0"/>
    <n v="0"/>
    <s v="Consumer Staples"/>
    <s v="Packaged Foods &amp; Meats"/>
    <n v="0.38275692047615695"/>
    <n v="5434000000"/>
    <n v="0.11002324434739734"/>
    <n v="1562000000"/>
  </r>
  <r>
    <x v="217"/>
    <n v="2"/>
    <n v="2013"/>
    <x v="5"/>
    <n v="14792000000"/>
    <n v="8689000000"/>
    <n v="3266000000"/>
    <n v="0"/>
    <n v="0"/>
    <s v="Consumer Staples"/>
    <s v="Packaged Foods &amp; Meats"/>
    <n v="0.41258788534342883"/>
    <n v="6103000000"/>
    <n v="0.19179286100594917"/>
    <n v="2837000000"/>
  </r>
  <r>
    <x v="217"/>
    <n v="3"/>
    <n v="2015"/>
    <x v="6"/>
    <n v="14580000000"/>
    <n v="9517000000"/>
    <n v="4039000000"/>
    <n v="0"/>
    <n v="0"/>
    <s v="Consumer Staples"/>
    <s v="Packaged Foods &amp; Meats"/>
    <n v="0.34725651577503425"/>
    <n v="5063000000"/>
    <n v="7.0233196159122088E-2"/>
    <n v="1024000000"/>
  </r>
  <r>
    <x v="217"/>
    <n v="4"/>
    <n v="2016"/>
    <x v="7"/>
    <n v="13525000000"/>
    <n v="8844000000"/>
    <n v="3590000000"/>
    <n v="0"/>
    <n v="0"/>
    <s v="Consumer Staples"/>
    <s v="Packaged Foods &amp; Meats"/>
    <n v="0.34609981515711641"/>
    <n v="4681000000"/>
    <n v="8.0665434380776335E-2"/>
    <n v="1091000000"/>
  </r>
  <r>
    <x v="218"/>
    <n v="1"/>
    <n v="2013"/>
    <x v="29"/>
    <n v="8054000000"/>
    <n v="3883000000"/>
    <n v="2422000000"/>
    <n v="494000000"/>
    <n v="0"/>
    <s v="Health Care"/>
    <s v="Health Care Equipment"/>
    <n v="0.51787931462627268"/>
    <n v="4171000000"/>
    <n v="0.1558231934442513"/>
    <n v="1255000000"/>
  </r>
  <r>
    <x v="218"/>
    <n v="2"/>
    <n v="2014"/>
    <x v="30"/>
    <n v="8446000000"/>
    <n v="4145000000"/>
    <n v="2145000000"/>
    <n v="550000000"/>
    <n v="0"/>
    <s v="Health Care"/>
    <s v="Health Care Equipment"/>
    <n v="0.50923514089509825"/>
    <n v="4301000000"/>
    <n v="0.19014918304522851"/>
    <n v="1606000000"/>
  </r>
  <r>
    <x v="218"/>
    <n v="3"/>
    <n v="2015"/>
    <x v="31"/>
    <n v="10282000000"/>
    <n v="5587000000"/>
    <n v="2563000000"/>
    <n v="632000000"/>
    <n v="0"/>
    <s v="Health Care"/>
    <s v="Health Care Equipment"/>
    <n v="0.45662322505349151"/>
    <n v="4695000000"/>
    <n v="0.14588601439408674"/>
    <n v="1500000000"/>
  </r>
  <r>
    <x v="218"/>
    <n v="4"/>
    <n v="2016"/>
    <x v="32"/>
    <n v="12483000000"/>
    <n v="6492000000"/>
    <n v="3005000000"/>
    <n v="828000000"/>
    <n v="0"/>
    <s v="Health Care"/>
    <s v="Health Care Equipment"/>
    <n v="0.47993270848353764"/>
    <n v="5991000000"/>
    <n v="0.17287511014980372"/>
    <n v="2158000000"/>
  </r>
  <r>
    <x v="219"/>
    <n v="1"/>
    <n v="2012"/>
    <x v="0"/>
    <n v="793373000"/>
    <n v="206974000"/>
    <n v="123524000"/>
    <n v="0"/>
    <n v="214827000"/>
    <s v="Real Estate"/>
    <s v="REITs"/>
    <n v="0.7391214472889801"/>
    <n v="586399000"/>
    <n v="0.31264991372280126"/>
    <n v="248048000"/>
  </r>
  <r>
    <x v="219"/>
    <n v="2"/>
    <n v="2013"/>
    <x v="1"/>
    <n v="861527000"/>
    <n v="221498000"/>
    <n v="127470000"/>
    <n v="0"/>
    <n v="224713000"/>
    <s v="Real Estate"/>
    <s v="REITs"/>
    <n v="0.74290068680377974"/>
    <n v="640029000"/>
    <n v="0.33411140916071114"/>
    <n v="287846000"/>
  </r>
  <r>
    <x v="219"/>
    <n v="3"/>
    <n v="2014"/>
    <x v="2"/>
    <n v="993897000"/>
    <n v="258617000"/>
    <n v="122201000"/>
    <n v="0"/>
    <n v="258074000"/>
    <s v="Real Estate"/>
    <s v="REITs"/>
    <n v="0.73979496869393913"/>
    <n v="735280000"/>
    <n v="0.35718489944129017"/>
    <n v="355005000"/>
  </r>
  <r>
    <x v="219"/>
    <n v="4"/>
    <n v="2015"/>
    <x v="3"/>
    <n v="1166769000"/>
    <n v="304477000"/>
    <n v="122735000"/>
    <n v="0"/>
    <n v="344527000"/>
    <s v="Real Estate"/>
    <s v="REITs"/>
    <n v="0.73904260397730825"/>
    <n v="862292000"/>
    <n v="0.33856744565548108"/>
    <n v="395030000"/>
  </r>
  <r>
    <x v="220"/>
    <n v="1"/>
    <n v="2013"/>
    <x v="61"/>
    <n v="2842781000"/>
    <n v="1237452000"/>
    <n v="387812000"/>
    <n v="487832000"/>
    <n v="0"/>
    <s v="Information Technology"/>
    <s v="Semiconductor Equipment"/>
    <n v="0.56470371794380214"/>
    <n v="1605329000"/>
    <n v="0.25667999047411671"/>
    <n v="729685000"/>
  </r>
  <r>
    <x v="220"/>
    <n v="2"/>
    <n v="2014"/>
    <x v="62"/>
    <n v="2929408000"/>
    <n v="1232962000"/>
    <n v="384907000"/>
    <n v="539469000"/>
    <n v="0"/>
    <s v="Information Technology"/>
    <s v="Semiconductor Equipment"/>
    <n v="0.5791088165253867"/>
    <n v="1696446000"/>
    <n v="0.26355837083806694"/>
    <n v="772070000"/>
  </r>
  <r>
    <x v="220"/>
    <n v="3"/>
    <n v="2015"/>
    <x v="63"/>
    <n v="2814049000"/>
    <n v="1215229000"/>
    <n v="406864000"/>
    <n v="530616000"/>
    <n v="0"/>
    <s v="Information Technology"/>
    <s v="Semiconductor Equipment"/>
    <n v="0.56815641802967898"/>
    <n v="1598820000"/>
    <n v="0.2350136760234097"/>
    <n v="661340000"/>
  </r>
  <r>
    <x v="220"/>
    <n v="4"/>
    <n v="2016"/>
    <x v="64"/>
    <n v="2984493000"/>
    <n v="1163391000"/>
    <n v="379399000"/>
    <n v="481258000"/>
    <n v="0"/>
    <s v="Information Technology"/>
    <s v="Semiconductor Equipment"/>
    <n v="0.61018806209295851"/>
    <n v="1821102000"/>
    <n v="0.32181177841596548"/>
    <n v="960445000"/>
  </r>
  <r>
    <x v="221"/>
    <n v="1"/>
    <n v="2013"/>
    <x v="1"/>
    <n v="19561000000"/>
    <n v="12952000000"/>
    <n v="3706000000"/>
    <n v="0"/>
    <n v="0"/>
    <s v="Consumer Staples"/>
    <s v="Household Products"/>
    <n v="0.33786616226164301"/>
    <n v="6609000000"/>
    <n v="0.14840754562650171"/>
    <n v="2903000000"/>
  </r>
  <r>
    <x v="221"/>
    <n v="2"/>
    <n v="2014"/>
    <x v="2"/>
    <n v="19724000000"/>
    <n v="13041000000"/>
    <n v="4162000000"/>
    <n v="0"/>
    <n v="0"/>
    <s v="Consumer Staples"/>
    <s v="Household Products"/>
    <n v="0.33882579598458729"/>
    <n v="6683000000"/>
    <n v="0.12781383086595011"/>
    <n v="2521000000"/>
  </r>
  <r>
    <x v="221"/>
    <n v="3"/>
    <n v="2015"/>
    <x v="3"/>
    <n v="18591000000"/>
    <n v="11967000000"/>
    <n v="5011000000"/>
    <n v="0"/>
    <n v="0"/>
    <s v="Consumer Staples"/>
    <s v="Household Products"/>
    <n v="0.35630143617879617"/>
    <n v="6624000000"/>
    <n v="8.676241191974611E-2"/>
    <n v="1613000000"/>
  </r>
  <r>
    <x v="221"/>
    <n v="4"/>
    <n v="2016"/>
    <x v="12"/>
    <n v="18202000000"/>
    <n v="11551000000"/>
    <n v="3334000000"/>
    <n v="0"/>
    <n v="0"/>
    <s v="Consumer Staples"/>
    <s v="Household Products"/>
    <n v="0.36539940665860893"/>
    <n v="6651000000"/>
    <n v="0.18223272167893639"/>
    <n v="3317000000"/>
  </r>
  <r>
    <x v="222"/>
    <n v="1"/>
    <n v="2013"/>
    <x v="1"/>
    <n v="14070000000"/>
    <n v="7365000000"/>
    <n v="1007000000"/>
    <n v="0"/>
    <n v="1806000000"/>
    <s v="Energy"/>
    <s v="Oil &amp; Gas Refining &amp; Marketing &amp; Transportation"/>
    <n v="0.47654584221748397"/>
    <n v="6705000000"/>
    <n v="0.27661691542288558"/>
    <n v="3892000000"/>
  </r>
  <r>
    <x v="222"/>
    <n v="2"/>
    <n v="2014"/>
    <x v="2"/>
    <n v="16226000000"/>
    <n v="8435000000"/>
    <n v="1029000000"/>
    <n v="0"/>
    <n v="2040000000"/>
    <s v="Energy"/>
    <s v="Oil &amp; Gas Refining &amp; Marketing &amp; Transportation"/>
    <n v="0.4801553062985332"/>
    <n v="7791000000"/>
    <n v="0.29101442129914951"/>
    <n v="4722000000"/>
  </r>
  <r>
    <x v="222"/>
    <n v="3"/>
    <n v="2015"/>
    <x v="3"/>
    <n v="14403000000"/>
    <n v="6452000000"/>
    <n v="1126000000"/>
    <n v="0"/>
    <n v="2309000000"/>
    <s v="Energy"/>
    <s v="Oil &amp; Gas Refining &amp; Marketing &amp; Transportation"/>
    <n v="0.55203776990904674"/>
    <n v="7951000000"/>
    <n v="0.31354578907172115"/>
    <n v="4516000000"/>
  </r>
  <r>
    <x v="222"/>
    <n v="4"/>
    <n v="2016"/>
    <x v="12"/>
    <n v="13058000000"/>
    <n v="5801000000"/>
    <n v="1089000000"/>
    <n v="0"/>
    <n v="2209000000"/>
    <s v="Energy"/>
    <s v="Oil &amp; Gas Refining &amp; Marketing &amp; Transportation"/>
    <n v="0.5557512635931996"/>
    <n v="7257000000"/>
    <n v="0.30318578649104"/>
    <n v="3959000000"/>
  </r>
  <r>
    <x v="223"/>
    <n v="1"/>
    <n v="2013"/>
    <x v="119"/>
    <n v="10962818000"/>
    <n v="9498456000"/>
    <n v="731767000"/>
    <n v="0"/>
    <n v="0"/>
    <s v="Consumer Discretionary"/>
    <s v="Specialty Stores"/>
    <n v="0.13357532707375053"/>
    <n v="1464362000"/>
    <n v="6.6825427549741315E-2"/>
    <n v="732595000"/>
  </r>
  <r>
    <x v="223"/>
    <n v="2"/>
    <n v="2014"/>
    <x v="120"/>
    <n v="12574299000"/>
    <n v="10925598000"/>
    <n v="819048000"/>
    <n v="0"/>
    <n v="0"/>
    <s v="Consumer Discretionary"/>
    <s v="Specialty Stores"/>
    <n v="0.13111673263058243"/>
    <n v="1648701000"/>
    <n v="6.5980059802936128E-2"/>
    <n v="829653000"/>
  </r>
  <r>
    <x v="223"/>
    <n v="3"/>
    <n v="2015"/>
    <x v="44"/>
    <n v="14268716000"/>
    <n v="12381189000"/>
    <n v="890431000"/>
    <n v="0"/>
    <n v="0"/>
    <s v="Consumer Discretionary"/>
    <s v="Specialty Stores"/>
    <n v="0.13228429243388118"/>
    <n v="1887527000"/>
    <n v="6.9879868658118918E-2"/>
    <n v="997096000"/>
  </r>
  <r>
    <x v="223"/>
    <n v="4"/>
    <n v="2016"/>
    <x v="121"/>
    <n v="15149675000"/>
    <n v="13130915000"/>
    <n v="959899000"/>
    <n v="0"/>
    <n v="0"/>
    <s v="Consumer Discretionary"/>
    <s v="Specialty Stores"/>
    <n v="0.13325434374004719"/>
    <n v="2018760000"/>
    <n v="6.9893314543051255E-2"/>
    <n v="1058861000"/>
  </r>
  <r>
    <x v="224"/>
    <n v="1"/>
    <n v="2012"/>
    <x v="0"/>
    <n v="48017000000"/>
    <n v="19053000000"/>
    <n v="18185000000"/>
    <n v="0"/>
    <n v="0"/>
    <s v="Consumer Staples"/>
    <s v="Soft Drinks"/>
    <n v="0.60320303225940819"/>
    <n v="28964000000"/>
    <n v="0.22448299560572296"/>
    <n v="10779000000"/>
  </r>
  <r>
    <x v="224"/>
    <n v="2"/>
    <n v="2013"/>
    <x v="1"/>
    <n v="46854000000"/>
    <n v="18421000000"/>
    <n v="18205000000"/>
    <n v="0"/>
    <n v="0"/>
    <s v="Consumer Staples"/>
    <s v="Soft Drinks"/>
    <n v="0.60684253212105688"/>
    <n v="28433000000"/>
    <n v="0.21829512955137234"/>
    <n v="10228000000"/>
  </r>
  <r>
    <x v="224"/>
    <n v="3"/>
    <n v="2014"/>
    <x v="2"/>
    <n v="45998000000"/>
    <n v="17889000000"/>
    <n v="18401000000"/>
    <n v="0"/>
    <n v="0"/>
    <s v="Consumer Staples"/>
    <s v="Soft Drinks"/>
    <n v="0.61109178659941743"/>
    <n v="28109000000"/>
    <n v="0.21105265446323754"/>
    <n v="9708000000"/>
  </r>
  <r>
    <x v="224"/>
    <n v="4"/>
    <n v="2015"/>
    <x v="3"/>
    <n v="44294000000"/>
    <n v="17482000000"/>
    <n v="18084000000"/>
    <n v="0"/>
    <n v="0"/>
    <s v="Consumer Staples"/>
    <s v="Soft Drinks"/>
    <n v="0.60531900483135415"/>
    <n v="26812000000"/>
    <n v="0.19704700410890866"/>
    <n v="8728000000"/>
  </r>
  <r>
    <x v="225"/>
    <n v="1"/>
    <n v="2013"/>
    <x v="122"/>
    <n v="2181732000"/>
    <n v="875166000"/>
    <n v="621536000"/>
    <n v="0"/>
    <n v="54291000"/>
    <s v="Consumer Discretionary"/>
    <s v="Apparel, Accessories &amp; Luxury Goods"/>
    <n v="0.59886640522300638"/>
    <n v="1306566000"/>
    <n v="0.28910012778838096"/>
    <n v="630739000"/>
  </r>
  <r>
    <x v="225"/>
    <n v="2"/>
    <n v="2014"/>
    <x v="123"/>
    <n v="3310800000"/>
    <n v="1294700000"/>
    <n v="926900000"/>
    <n v="0"/>
    <n v="79700000"/>
    <s v="Consumer Discretionary"/>
    <s v="Apparel, Accessories &amp; Luxury Goods"/>
    <n v="0.60894647819258185"/>
    <n v="2016100000"/>
    <n v="0.30491119971003988"/>
    <n v="1009500000"/>
  </r>
  <r>
    <x v="225"/>
    <n v="3"/>
    <n v="2015"/>
    <x v="124"/>
    <n v="4371500000"/>
    <n v="1723800000"/>
    <n v="1251500000"/>
    <n v="0"/>
    <n v="138400000"/>
    <s v="Consumer Discretionary"/>
    <s v="Apparel, Accessories &amp; Luxury Goods"/>
    <n v="0.60567310991650469"/>
    <n v="2647700000"/>
    <n v="0.28772732471691637"/>
    <n v="1257800000"/>
  </r>
  <r>
    <x v="225"/>
    <n v="4"/>
    <n v="2016"/>
    <x v="125"/>
    <n v="4712100000"/>
    <n v="1914900000"/>
    <n v="1428000000"/>
    <n v="0"/>
    <n v="183200000"/>
    <s v="Consumer Discretionary"/>
    <s v="Apparel, Accessories &amp; Luxury Goods"/>
    <n v="0.59362067867829627"/>
    <n v="2797200000"/>
    <n v="0.25169245134865559"/>
    <n v="1186000000"/>
  </r>
  <r>
    <x v="226"/>
    <n v="1"/>
    <n v="2013"/>
    <x v="96"/>
    <n v="96619000000"/>
    <n v="76726000000"/>
    <n v="15477000000"/>
    <n v="0"/>
    <n v="1652000000"/>
    <s v="Consumer Staples"/>
    <s v="Food Retail"/>
    <n v="0.20589118082364755"/>
    <n v="19893000000"/>
    <n v="2.8607209762055084E-2"/>
    <n v="2764000000"/>
  </r>
  <r>
    <x v="226"/>
    <n v="2"/>
    <n v="2014"/>
    <x v="47"/>
    <n v="98375000000"/>
    <n v="78138000000"/>
    <n v="15809000000"/>
    <n v="0"/>
    <n v="1703000000"/>
    <s v="Consumer Staples"/>
    <s v="Food Retail"/>
    <n v="0.20571283354510805"/>
    <n v="20237000000"/>
    <n v="2.770012706480305E-2"/>
    <n v="2725000000"/>
  </r>
  <r>
    <x v="226"/>
    <n v="3"/>
    <n v="2015"/>
    <x v="23"/>
    <n v="108465000000"/>
    <n v="85512000000"/>
    <n v="17868000000"/>
    <n v="0"/>
    <n v="1948000000"/>
    <s v="Consumer Staples"/>
    <s v="Food Retail"/>
    <n v="0.21161665053242984"/>
    <n v="22953000000"/>
    <n v="2.8921772000184393E-2"/>
    <n v="3137000000"/>
  </r>
  <r>
    <x v="226"/>
    <n v="4"/>
    <n v="2016"/>
    <x v="48"/>
    <n v="109830000000"/>
    <n v="85496000000"/>
    <n v="18669000000"/>
    <n v="0"/>
    <n v="2089000000"/>
    <s v="Consumer Staples"/>
    <s v="Food Retail"/>
    <n v="0.22156059364472369"/>
    <n v="24334000000"/>
    <n v="3.2559409997268508E-2"/>
    <n v="3576000000"/>
  </r>
  <r>
    <x v="227"/>
    <n v="1"/>
    <n v="2013"/>
    <x v="96"/>
    <n v="19279000000"/>
    <n v="12289000000"/>
    <n v="4267000000"/>
    <n v="0"/>
    <n v="833000000"/>
    <s v="Consumer Discretionary"/>
    <s v="General Merchandise Stores"/>
    <n v="0.36257067275273613"/>
    <n v="6990000000"/>
    <n v="9.8034130400954406E-2"/>
    <n v="1890000000"/>
  </r>
  <r>
    <x v="227"/>
    <n v="2"/>
    <n v="2014"/>
    <x v="47"/>
    <n v="19031000000"/>
    <n v="12087000000"/>
    <n v="4313000000"/>
    <n v="0"/>
    <n v="889000000"/>
    <s v="Consumer Discretionary"/>
    <s v="General Merchandise Stores"/>
    <n v="0.36487835636592925"/>
    <n v="6944000000"/>
    <n v="9.1534864168987443E-2"/>
    <n v="1742000000"/>
  </r>
  <r>
    <x v="227"/>
    <n v="3"/>
    <n v="2015"/>
    <x v="23"/>
    <n v="19023000000"/>
    <n v="12098000000"/>
    <n v="4350000000"/>
    <n v="0"/>
    <n v="886000000"/>
    <s v="Consumer Discretionary"/>
    <s v="General Merchandise Stores"/>
    <n v="0.36403301266887456"/>
    <n v="6925000000"/>
    <n v="8.8787257530357988E-2"/>
    <n v="1689000000"/>
  </r>
  <r>
    <x v="227"/>
    <n v="4"/>
    <n v="2016"/>
    <x v="48"/>
    <n v="19204000000"/>
    <n v="12265000000"/>
    <n v="4452000000"/>
    <n v="0"/>
    <n v="934000000"/>
    <s v="Consumer Discretionary"/>
    <s v="General Merchandise Stores"/>
    <n v="0.36133097271401793"/>
    <n v="6939000000"/>
    <n v="8.0868569048114972E-2"/>
    <n v="1553000000"/>
  </r>
  <r>
    <x v="228"/>
    <n v="1"/>
    <n v="2013"/>
    <x v="1"/>
    <n v="2369300000"/>
    <n v="805300000"/>
    <n v="602100000"/>
    <n v="0"/>
    <n v="223300000"/>
    <s v="Industrials"/>
    <s v="Railroads"/>
    <n v="0.66011058118431598"/>
    <n v="1564000000"/>
    <n v="0.31173764402988224"/>
    <n v="738600000"/>
  </r>
  <r>
    <x v="228"/>
    <n v="2"/>
    <n v="2014"/>
    <x v="2"/>
    <n v="2577100000"/>
    <n v="877900000"/>
    <n v="632000000"/>
    <n v="0"/>
    <n v="258100000"/>
    <s v="Industrials"/>
    <s v="Railroads"/>
    <n v="0.65934577626013735"/>
    <n v="1699200000"/>
    <n v="0.31395754918319041"/>
    <n v="809100000"/>
  </r>
  <r>
    <x v="228"/>
    <n v="3"/>
    <n v="2015"/>
    <x v="3"/>
    <n v="2418800000"/>
    <n v="759200000"/>
    <n v="571200000"/>
    <n v="0"/>
    <n v="284600000"/>
    <s v="Industrials"/>
    <s v="Railroads"/>
    <n v="0.68612535141392428"/>
    <n v="1659600000"/>
    <n v="0.3323135439060691"/>
    <n v="803800000"/>
  </r>
  <r>
    <x v="228"/>
    <n v="4"/>
    <n v="2016"/>
    <x v="12"/>
    <n v="2334200000"/>
    <n v="691100000"/>
    <n v="519600000"/>
    <n v="0"/>
    <n v="305000000"/>
    <s v="Industrials"/>
    <s v="Railroads"/>
    <n v="0.70392425670465264"/>
    <n v="1643100000"/>
    <n v="0.35065547082512211"/>
    <n v="818500000"/>
  </r>
  <r>
    <x v="229"/>
    <n v="1"/>
    <n v="2013"/>
    <x v="96"/>
    <n v="10459000000"/>
    <n v="6073000000"/>
    <n v="2720000000"/>
    <n v="0"/>
    <n v="0"/>
    <s v="Consumer Discretionary"/>
    <s v="Apparel Retail"/>
    <n v="0.41935175446983464"/>
    <n v="4386000000"/>
    <n v="0.15928865092265035"/>
    <n v="1666000000"/>
  </r>
  <r>
    <x v="229"/>
    <n v="2"/>
    <n v="2014"/>
    <x v="47"/>
    <n v="10773000000"/>
    <n v="6344000000"/>
    <n v="2686000000"/>
    <n v="0"/>
    <n v="0"/>
    <s v="Consumer Discretionary"/>
    <s v="Apparel Retail"/>
    <n v="0.41112039357653396"/>
    <n v="4429000000"/>
    <n v="0.1617933723196881"/>
    <n v="1743000000"/>
  </r>
  <r>
    <x v="229"/>
    <n v="3"/>
    <n v="2015"/>
    <x v="23"/>
    <n v="11454000000"/>
    <n v="6646000000"/>
    <n v="2855000000"/>
    <n v="0"/>
    <n v="0"/>
    <s v="Consumer Discretionary"/>
    <s v="Apparel Retail"/>
    <n v="0.4197660206041558"/>
    <n v="4808000000"/>
    <n v="0.17050811943425878"/>
    <n v="1953000000"/>
  </r>
  <r>
    <x v="229"/>
    <n v="4"/>
    <n v="2016"/>
    <x v="48"/>
    <n v="12154000000"/>
    <n v="6950000000"/>
    <n v="3012000000"/>
    <n v="0"/>
    <n v="0"/>
    <s v="Consumer Discretionary"/>
    <s v="Apparel Retail"/>
    <n v="0.42817179529373051"/>
    <n v="5204000000"/>
    <n v="0.18035214744117162"/>
    <n v="2192000000"/>
  </r>
  <r>
    <x v="230"/>
    <n v="1"/>
    <n v="2012"/>
    <x v="0"/>
    <n v="3414500000"/>
    <n v="2718900000"/>
    <n v="346100000"/>
    <n v="0"/>
    <n v="25100000"/>
    <s v="Industrials"/>
    <s v="Industrial Conglomerates"/>
    <n v="0.20371943183482211"/>
    <n v="695600000"/>
    <n v="9.5006589544589251E-2"/>
    <n v="324400000"/>
  </r>
  <r>
    <x v="230"/>
    <n v="2"/>
    <n v="2013"/>
    <x v="1"/>
    <n v="3477200000"/>
    <n v="2767300000"/>
    <n v="346900000"/>
    <n v="0"/>
    <n v="25400000"/>
    <s v="Industrials"/>
    <s v="Industrial Conglomerates"/>
    <n v="0.20415851834809617"/>
    <n v="709900000"/>
    <n v="9.7089612331761194E-2"/>
    <n v="337600000"/>
  </r>
  <r>
    <x v="230"/>
    <n v="3"/>
    <n v="2014"/>
    <x v="2"/>
    <n v="3782300000"/>
    <n v="2991900000"/>
    <n v="439200000"/>
    <n v="0"/>
    <n v="19700000"/>
    <s v="Industrials"/>
    <s v="Industrial Conglomerates"/>
    <n v="0.20897337598815535"/>
    <n v="790400000"/>
    <n v="8.7645083679242786E-2"/>
    <n v="331500000"/>
  </r>
  <r>
    <x v="230"/>
    <n v="4"/>
    <n v="2015"/>
    <x v="3"/>
    <n v="3917200000"/>
    <n v="2994000000"/>
    <n v="411800000"/>
    <n v="0"/>
    <n v="20800000"/>
    <s v="Industrials"/>
    <s v="Industrial Conglomerates"/>
    <n v="0.23567854590013271"/>
    <n v="923200000"/>
    <n v="0.12524252016746656"/>
    <n v="490600000"/>
  </r>
  <r>
    <x v="231"/>
    <n v="1"/>
    <n v="2013"/>
    <x v="57"/>
    <n v="5935095000"/>
    <n v="4920664000"/>
    <n v="328595000"/>
    <n v="0"/>
    <n v="0"/>
    <s v="Consumer Discretionary"/>
    <s v="Homebuilding"/>
    <n v="0.17092076874927864"/>
    <n v="1014431000"/>
    <n v="0.11555602732559463"/>
    <n v="685836000"/>
  </r>
  <r>
    <x v="231"/>
    <n v="2"/>
    <n v="2014"/>
    <x v="58"/>
    <n v="7779812000"/>
    <n v="6336272000"/>
    <n v="521502000"/>
    <n v="0"/>
    <n v="0"/>
    <s v="Consumer Discretionary"/>
    <s v="Homebuilding"/>
    <n v="0.18554947086124962"/>
    <n v="1443540000"/>
    <n v="0.11851674564886658"/>
    <n v="922038000"/>
  </r>
  <r>
    <x v="231"/>
    <n v="3"/>
    <n v="2015"/>
    <x v="59"/>
    <n v="9474008000"/>
    <n v="7757571000"/>
    <n v="630421000"/>
    <n v="0"/>
    <n v="0"/>
    <s v="Consumer Discretionary"/>
    <s v="Homebuilding"/>
    <n v="0.18117326901138353"/>
    <n v="1716437000"/>
    <n v="0.1146311043858101"/>
    <n v="1086016000"/>
  </r>
  <r>
    <x v="231"/>
    <n v="4"/>
    <n v="2016"/>
    <x v="60"/>
    <n v="10949999000"/>
    <n v="8923519000"/>
    <n v="764117000"/>
    <n v="0"/>
    <n v="0"/>
    <s v="Consumer Discretionary"/>
    <s v="Homebuilding"/>
    <n v="0.1850666835677337"/>
    <n v="2026480000"/>
    <n v="0.11528430276568975"/>
    <n v="1262363000"/>
  </r>
  <r>
    <x v="232"/>
    <n v="1"/>
    <n v="2013"/>
    <x v="1"/>
    <n v="6932200000"/>
    <n v="857700000"/>
    <n v="1797000000"/>
    <n v="1444100000"/>
    <n v="342900000"/>
    <s v="Health Care"/>
    <s v="Biotechnology"/>
    <n v="0.87627304463229572"/>
    <n v="6074500000"/>
    <n v="0.35926545685352412"/>
    <n v="2490500000"/>
  </r>
  <r>
    <x v="232"/>
    <n v="2"/>
    <n v="2014"/>
    <x v="2"/>
    <n v="9703300000"/>
    <n v="1171000000"/>
    <n v="2193400000"/>
    <n v="1893400000"/>
    <n v="489800000"/>
    <s v="Health Care"/>
    <s v="Biotechnology"/>
    <n v="0.87931940679974852"/>
    <n v="8532300000"/>
    <n v="0.40766543340925254"/>
    <n v="3955700000"/>
  </r>
  <r>
    <x v="232"/>
    <n v="3"/>
    <n v="2015"/>
    <x v="3"/>
    <n v="10763800000"/>
    <n v="1240400000"/>
    <n v="2143600000"/>
    <n v="2012800000"/>
    <n v="382600000"/>
    <s v="Health Care"/>
    <s v="Biotechnology"/>
    <n v="0.88476188706590608"/>
    <n v="9523400000"/>
    <n v="0.46307066277708614"/>
    <n v="4984400000"/>
  </r>
  <r>
    <x v="232"/>
    <n v="4"/>
    <n v="2016"/>
    <x v="12"/>
    <n v="11448800000"/>
    <n v="1478700000"/>
    <n v="1972900000"/>
    <n v="1973300000"/>
    <n v="385600000"/>
    <s v="Health Care"/>
    <s v="Biotechnology"/>
    <n v="0.87084235902452656"/>
    <n v="9970100000"/>
    <n v="0.49247956117671721"/>
    <n v="5638300000"/>
  </r>
  <r>
    <x v="233"/>
    <n v="1"/>
    <n v="2012"/>
    <x v="0"/>
    <n v="4122930000"/>
    <n v="2398790000"/>
    <n v="1219343000"/>
    <n v="0"/>
    <n v="64093000"/>
    <s v="Consumer Discretionary"/>
    <s v="Distributors"/>
    <n v="0.41818318525902698"/>
    <n v="1724140000"/>
    <n v="0.10689097316714084"/>
    <n v="440704000"/>
  </r>
  <r>
    <x v="233"/>
    <n v="2"/>
    <n v="2013"/>
    <x v="1"/>
    <n v="5062528000"/>
    <n v="2987126000"/>
    <n v="1454080000"/>
    <n v="0"/>
    <n v="80969000"/>
    <s v="Consumer Discretionary"/>
    <s v="Distributors"/>
    <n v="0.40995368321913483"/>
    <n v="2075402000"/>
    <n v="0.10673580472048748"/>
    <n v="540353000"/>
  </r>
  <r>
    <x v="233"/>
    <n v="3"/>
    <n v="2014"/>
    <x v="2"/>
    <n v="6740064000"/>
    <n v="4088151000"/>
    <n v="1866520000"/>
    <n v="0"/>
    <n v="120719000"/>
    <s v="Consumer Discretionary"/>
    <s v="Distributors"/>
    <n v="0.39345516600435837"/>
    <n v="2651913000"/>
    <n v="9.8615384067569686E-2"/>
    <n v="664674000"/>
  </r>
  <r>
    <x v="233"/>
    <n v="4"/>
    <n v="2015"/>
    <x v="3"/>
    <n v="7192633000"/>
    <n v="4359104000"/>
    <n v="1987271000"/>
    <n v="0"/>
    <n v="122120000"/>
    <s v="Consumer Discretionary"/>
    <s v="Distributors"/>
    <n v="0.39394878064819938"/>
    <n v="2833529000"/>
    <n v="0.10067773512147776"/>
    <n v="724138000"/>
  </r>
  <r>
    <x v="234"/>
    <n v="1"/>
    <n v="2012"/>
    <x v="0"/>
    <n v="13107000000"/>
    <n v="11799000000"/>
    <n v="0"/>
    <n v="0"/>
    <n v="0"/>
    <s v="Industrials"/>
    <s v="Industrial Conglomerates"/>
    <n v="9.9794003204394577E-2"/>
    <n v="1308000000"/>
    <n v="9.9794003204394605E-2"/>
    <n v="1308000000"/>
  </r>
  <r>
    <x v="234"/>
    <n v="2"/>
    <n v="2013"/>
    <x v="1"/>
    <n v="11420000000"/>
    <n v="10303000000"/>
    <n v="0"/>
    <n v="0"/>
    <n v="0"/>
    <s v="Industrials"/>
    <s v="Industrial Conglomerates"/>
    <n v="9.7810858143607682E-2"/>
    <n v="1117000000"/>
    <n v="9.781085814360771E-2"/>
    <n v="1117000000"/>
  </r>
  <r>
    <x v="234"/>
    <n v="3"/>
    <n v="2014"/>
    <x v="2"/>
    <n v="10986000000"/>
    <n v="9974000000"/>
    <n v="0"/>
    <n v="0"/>
    <n v="0"/>
    <s v="Industrials"/>
    <s v="Industrial Conglomerates"/>
    <n v="9.2117240123793964E-2"/>
    <n v="1012000000"/>
    <n v="9.2117240123793923E-2"/>
    <n v="1012000000"/>
  </r>
  <r>
    <x v="234"/>
    <n v="4"/>
    <n v="2015"/>
    <x v="3"/>
    <n v="10466000000"/>
    <n v="9576000000"/>
    <n v="0"/>
    <n v="0"/>
    <n v="0"/>
    <s v="Industrials"/>
    <s v="Industrial Conglomerates"/>
    <n v="8.503726351996943E-2"/>
    <n v="890000000"/>
    <n v="8.503726351996943E-2"/>
    <n v="890000000"/>
  </r>
  <r>
    <x v="235"/>
    <n v="1"/>
    <n v="2013"/>
    <x v="61"/>
    <n v="1282236000"/>
    <n v="322516000"/>
    <n v="151382000"/>
    <n v="235184000"/>
    <n v="0"/>
    <s v="Information Technology"/>
    <s v="Semiconductors"/>
    <n v="0.74847375990067344"/>
    <n v="959720000"/>
    <n v="0.4469957168571152"/>
    <n v="573154000"/>
  </r>
  <r>
    <x v="235"/>
    <n v="2"/>
    <n v="2014"/>
    <x v="126"/>
    <n v="1388386000"/>
    <n v="338580000"/>
    <n v="159642000"/>
    <n v="250434000"/>
    <n v="0"/>
    <s v="Information Technology"/>
    <s v="Semiconductors"/>
    <n v="0.75613410103530287"/>
    <n v="1049806000"/>
    <n v="0.46077243648380206"/>
    <n v="639730000"/>
  </r>
  <r>
    <x v="235"/>
    <n v="3"/>
    <n v="2015"/>
    <x v="127"/>
    <n v="1475139000"/>
    <n v="355727000"/>
    <n v="169952000"/>
    <n v="266761000"/>
    <n v="0"/>
    <s v="Information Technology"/>
    <s v="Semiconductors"/>
    <n v="0.75885187768745865"/>
    <n v="1119412000"/>
    <n v="0.46280316634567997"/>
    <n v="682699000"/>
  </r>
  <r>
    <x v="235"/>
    <n v="4"/>
    <n v="2016"/>
    <x v="128"/>
    <n v="1423936000"/>
    <n v="343801000"/>
    <n v="170120000"/>
    <n v="276462000"/>
    <n v="0"/>
    <s v="Information Technology"/>
    <s v="Semiconductors"/>
    <n v="0.75855586206121628"/>
    <n v="1080135000"/>
    <n v="0.44493081149714592"/>
    <n v="633553000"/>
  </r>
  <r>
    <x v="236"/>
    <n v="1"/>
    <n v="2012"/>
    <x v="0"/>
    <n v="17621000000"/>
    <n v="4610000000"/>
    <n v="5017000000"/>
    <n v="3904000000"/>
    <n v="0"/>
    <s v="Health Care"/>
    <s v="Health Care Distributors"/>
    <n v="0.73838034163781852"/>
    <n v="13011000000"/>
    <n v="0.23210941490267295"/>
    <n v="4090000000"/>
  </r>
  <r>
    <x v="236"/>
    <n v="2"/>
    <n v="2013"/>
    <x v="1"/>
    <n v="16385000000"/>
    <n v="4619000000"/>
    <n v="4939000000"/>
    <n v="3731000000"/>
    <n v="0"/>
    <s v="Health Care"/>
    <s v="Health Care Distributors"/>
    <n v="0.71809581934696376"/>
    <n v="11766000000"/>
    <n v="0.1889533109551419"/>
    <n v="3096000000"/>
  </r>
  <r>
    <x v="236"/>
    <n v="3"/>
    <n v="2014"/>
    <x v="2"/>
    <n v="15879000000"/>
    <n v="3932000000"/>
    <n v="4822000000"/>
    <n v="4534000000"/>
    <n v="0"/>
    <s v="Health Care"/>
    <s v="Health Care Distributors"/>
    <n v="0.75237735373764092"/>
    <n v="11947000000"/>
    <n v="0.16317148435039991"/>
    <n v="2591000000"/>
  </r>
  <r>
    <x v="236"/>
    <n v="4"/>
    <n v="2015"/>
    <x v="3"/>
    <n v="16560000000"/>
    <n v="3909000000"/>
    <n v="4841000000"/>
    <n v="5920000000"/>
    <n v="0"/>
    <s v="Health Care"/>
    <s v="Health Care Distributors"/>
    <n v="0.76394927536231882"/>
    <n v="12651000000"/>
    <n v="0.11413043478260869"/>
    <n v="1890000000"/>
  </r>
  <r>
    <x v="237"/>
    <n v="1"/>
    <n v="2013"/>
    <x v="1"/>
    <n v="45358000000"/>
    <n v="41171000000"/>
    <n v="-318000000"/>
    <n v="0"/>
    <n v="0"/>
    <s v="Industrials"/>
    <s v="Aerospace &amp; Defense"/>
    <n v="9.2310066581418937E-2"/>
    <n v="4187000000"/>
    <n v="9.9320957714184935E-2"/>
    <n v="4505000000"/>
  </r>
  <r>
    <x v="237"/>
    <n v="2"/>
    <n v="2014"/>
    <x v="2"/>
    <n v="39946000000"/>
    <n v="35263000000"/>
    <n v="-329000000"/>
    <n v="0"/>
    <n v="0"/>
    <s v="Industrials"/>
    <s v="Aerospace &amp; Defense"/>
    <n v="0.11723326490762531"/>
    <n v="4683000000"/>
    <n v="0.12546938366795174"/>
    <n v="5012000000"/>
  </r>
  <r>
    <x v="237"/>
    <n v="3"/>
    <n v="2015"/>
    <x v="3"/>
    <n v="40536000000"/>
    <n v="36044000000"/>
    <n v="-220000000"/>
    <n v="0"/>
    <n v="0"/>
    <s v="Industrials"/>
    <s v="Aerospace &amp; Defense"/>
    <n v="0.11081507795539769"/>
    <n v="4492000000"/>
    <n v="0.11624235247681074"/>
    <n v="4712000000"/>
  </r>
  <r>
    <x v="237"/>
    <n v="4"/>
    <n v="2016"/>
    <x v="12"/>
    <n v="47248000000"/>
    <n v="42186000000"/>
    <n v="-487000000"/>
    <n v="0"/>
    <n v="0"/>
    <s v="Industrials"/>
    <s v="Aerospace &amp; Defense"/>
    <n v="0.10713681002370468"/>
    <n v="5062000000"/>
    <n v="0.11744412461903149"/>
    <n v="5549000000"/>
  </r>
  <r>
    <x v="238"/>
    <n v="1"/>
    <n v="2012"/>
    <x v="0"/>
    <n v="3094500000"/>
    <n v="2144200000"/>
    <n v="98200000"/>
    <n v="0"/>
    <n v="332400000"/>
    <s v="Utilities"/>
    <s v="Electric Utilities"/>
    <n v="0.30709322992405885"/>
    <n v="950300000"/>
    <n v="0.16794312489901439"/>
    <n v="519700000"/>
  </r>
  <r>
    <x v="238"/>
    <n v="2"/>
    <n v="2013"/>
    <x v="1"/>
    <n v="3276800000"/>
    <n v="2272400000"/>
    <n v="99600000"/>
    <n v="0"/>
    <n v="370900000"/>
    <s v="Utilities"/>
    <s v="Electric Utilities"/>
    <n v="0.3065185546875"/>
    <n v="1004400000"/>
    <n v="0.162933349609375"/>
    <n v="533900000"/>
  </r>
  <r>
    <x v="238"/>
    <n v="3"/>
    <n v="2014"/>
    <x v="2"/>
    <n v="3350300000"/>
    <n v="2317500000"/>
    <n v="101100000"/>
    <n v="0"/>
    <n v="388100000"/>
    <s v="Utilities"/>
    <s v="Electric Utilities"/>
    <n v="0.30827090111333311"/>
    <n v="1032800000"/>
    <n v="0.16225412649613469"/>
    <n v="543600000"/>
  </r>
  <r>
    <x v="238"/>
    <n v="4"/>
    <n v="2015"/>
    <x v="3"/>
    <n v="3253600000"/>
    <n v="2171600000"/>
    <n v="103700000"/>
    <n v="0"/>
    <n v="401300000"/>
    <s v="Utilities"/>
    <s v="Electric Utilities"/>
    <n v="0.33255470863044012"/>
    <n v="1082000000"/>
    <n v="0.17734202114580772"/>
    <n v="577000000"/>
  </r>
  <r>
    <x v="239"/>
    <n v="1"/>
    <n v="2013"/>
    <x v="91"/>
    <n v="50521000000"/>
    <n v="33194000000"/>
    <n v="12244000000"/>
    <n v="0"/>
    <n v="1523000000"/>
    <s v="Consumer Discretionary"/>
    <s v="Home Improvement Retail"/>
    <n v="0.34296629124522471"/>
    <n v="17327000000"/>
    <n v="7.0465746917123567E-2"/>
    <n v="3560000000"/>
  </r>
  <r>
    <x v="239"/>
    <n v="2"/>
    <n v="2014"/>
    <x v="22"/>
    <n v="53417000000"/>
    <n v="34941000000"/>
    <n v="12865000000"/>
    <n v="0"/>
    <n v="1462000000"/>
    <s v="Consumer Discretionary"/>
    <s v="Home Improvement Retail"/>
    <n v="0.34588239698972234"/>
    <n v="18476000000"/>
    <n v="7.7671902203418394E-2"/>
    <n v="4149000000"/>
  </r>
  <r>
    <x v="239"/>
    <n v="3"/>
    <n v="2015"/>
    <x v="92"/>
    <n v="56223000000"/>
    <n v="36665000000"/>
    <n v="13281000000"/>
    <n v="0"/>
    <n v="1485000000"/>
    <s v="Consumer Discretionary"/>
    <s v="Home Improvement Retail"/>
    <n v="0.34786475285915019"/>
    <n v="19558000000"/>
    <n v="8.5232022481902425E-2"/>
    <n v="4792000000"/>
  </r>
  <r>
    <x v="239"/>
    <n v="4"/>
    <n v="2016"/>
    <x v="93"/>
    <n v="59074000000"/>
    <n v="38504000000"/>
    <n v="14115000000"/>
    <n v="0"/>
    <n v="1484000000"/>
    <s v="Consumer Discretionary"/>
    <s v="Home Improvement Retail"/>
    <n v="0.34820733317533936"/>
    <n v="20570000000"/>
    <n v="8.4148694857297632E-2"/>
    <n v="4971000000"/>
  </r>
  <r>
    <x v="240"/>
    <n v="1"/>
    <n v="2013"/>
    <x v="61"/>
    <n v="3598916000"/>
    <n v="2195857000"/>
    <n v="601300000"/>
    <n v="683688000"/>
    <n v="0"/>
    <s v="Information Technology"/>
    <s v="Semiconductor Equipment"/>
    <n v="0.38985600108477103"/>
    <n v="1403059000"/>
    <n v="3.2807378666242837E-2"/>
    <n v="118071000"/>
  </r>
  <r>
    <x v="240"/>
    <n v="2"/>
    <n v="2014"/>
    <x v="126"/>
    <n v="4607309000"/>
    <n v="2599828000"/>
    <n v="613341000"/>
    <n v="716471000"/>
    <n v="0"/>
    <s v="Information Technology"/>
    <s v="Semiconductor Equipment"/>
    <n v="0.43571659725883372"/>
    <n v="2007481000"/>
    <n v="0.1470856415317488"/>
    <n v="677669000"/>
  </r>
  <r>
    <x v="240"/>
    <n v="3"/>
    <n v="2015"/>
    <x v="127"/>
    <n v="5259312000"/>
    <n v="2974976000"/>
    <n v="591611000"/>
    <n v="825242000"/>
    <n v="0"/>
    <s v="Information Technology"/>
    <s v="Semiconductor Equipment"/>
    <n v="0.43434122181760659"/>
    <n v="2284336000"/>
    <n v="0.16494229663499713"/>
    <n v="867483000"/>
  </r>
  <r>
    <x v="240"/>
    <n v="4"/>
    <n v="2016"/>
    <x v="129"/>
    <n v="5885893000"/>
    <n v="3266971000"/>
    <n v="630954000"/>
    <n v="913712000"/>
    <n v="0"/>
    <s v="Information Technology"/>
    <s v="Semiconductor Equipment"/>
    <n v="0.44494896526321492"/>
    <n v="2618922000"/>
    <n v="0.18251368144137176"/>
    <n v="1074256000"/>
  </r>
  <r>
    <x v="241"/>
    <n v="1"/>
    <n v="2012"/>
    <x v="0"/>
    <n v="7249000000"/>
    <n v="2349000000"/>
    <n v="2529000000"/>
    <n v="886000000"/>
    <n v="395000000"/>
    <s v="Health Care"/>
    <s v="Health Care Equipment"/>
    <n v="0.67595530417988692"/>
    <n v="4900000000"/>
    <n v="0.15036556766450546"/>
    <n v="1090000000"/>
  </r>
  <r>
    <x v="241"/>
    <n v="2"/>
    <n v="2013"/>
    <x v="1"/>
    <n v="7143000000"/>
    <n v="2174000000"/>
    <n v="2678000000"/>
    <n v="861000000"/>
    <n v="410000000"/>
    <s v="Health Care"/>
    <s v="Health Care Equipment"/>
    <n v="0.69564608707825837"/>
    <n v="4969000000"/>
    <n v="0.14279714405711885"/>
    <n v="1020000000"/>
  </r>
  <r>
    <x v="241"/>
    <n v="3"/>
    <n v="2014"/>
    <x v="2"/>
    <n v="7380000000"/>
    <n v="2210000000"/>
    <n v="2817000000"/>
    <n v="817000000"/>
    <n v="438000000"/>
    <s v="Health Care"/>
    <s v="Health Care Equipment"/>
    <n v="0.70054200542005418"/>
    <n v="5170000000"/>
    <n v="0.14878048780487804"/>
    <n v="1098000000"/>
  </r>
  <r>
    <x v="241"/>
    <n v="4"/>
    <n v="2015"/>
    <x v="3"/>
    <n v="7477000000"/>
    <n v="2173000000"/>
    <n v="2996000000"/>
    <n v="876000000"/>
    <n v="495000000"/>
    <s v="Health Care"/>
    <s v="Health Care Equipment"/>
    <n v="0.709375417948375"/>
    <n v="5304000000"/>
    <n v="0.1253176407650127"/>
    <n v="937000000"/>
  </r>
  <r>
    <x v="242"/>
    <n v="1"/>
    <n v="2013"/>
    <x v="1"/>
    <n v="17699000000"/>
    <n v="8307000000"/>
    <n v="7161000000"/>
    <n v="0"/>
    <n v="867000000"/>
    <s v="Industrials"/>
    <s v="Airlines"/>
    <n v="0.53065144923442009"/>
    <n v="9392000000"/>
    <n v="7.706650093225606E-2"/>
    <n v="1364000000"/>
  </r>
  <r>
    <x v="242"/>
    <n v="2"/>
    <n v="2014"/>
    <x v="2"/>
    <n v="18605000000"/>
    <n v="7677000000"/>
    <n v="7639000000"/>
    <n v="0"/>
    <n v="938000000"/>
    <s v="Industrials"/>
    <s v="Airlines"/>
    <n v="0.58736898683149685"/>
    <n v="10928000000"/>
    <n v="0.12636388067723731"/>
    <n v="2351000000"/>
  </r>
  <r>
    <x v="242"/>
    <n v="3"/>
    <n v="2015"/>
    <x v="3"/>
    <n v="19820000000"/>
    <n v="6025000000"/>
    <n v="8625000000"/>
    <n v="0"/>
    <n v="1015000000"/>
    <s v="Industrials"/>
    <s v="Airlines"/>
    <n v="0.69601412714429867"/>
    <n v="13795000000"/>
    <n v="0.20963673057517659"/>
    <n v="4155000000"/>
  </r>
  <r>
    <x v="242"/>
    <n v="4"/>
    <n v="2016"/>
    <x v="12"/>
    <n v="20425000000"/>
    <n v="6132000000"/>
    <n v="9312000000"/>
    <n v="0"/>
    <n v="1221000000"/>
    <s v="Industrials"/>
    <s v="Airlines"/>
    <n v="0.6997796817625459"/>
    <n v="14293000000"/>
    <n v="0.18408812729498164"/>
    <n v="3760000000"/>
  </r>
  <r>
    <x v="243"/>
    <n v="1"/>
    <n v="2012"/>
    <x v="0"/>
    <n v="6376000000"/>
    <n v="3851000000"/>
    <n v="1201000000"/>
    <n v="0"/>
    <n v="749000000"/>
    <s v="Telecommunications Services"/>
    <s v="Alternative Carriers"/>
    <n v="0.39601631116687575"/>
    <n v="2525000000"/>
    <n v="9.0181932245922206E-2"/>
    <n v="575000000"/>
  </r>
  <r>
    <x v="243"/>
    <n v="2"/>
    <n v="2013"/>
    <x v="1"/>
    <n v="6313000000"/>
    <n v="3685000000"/>
    <n v="1162000000"/>
    <n v="0"/>
    <n v="800000000"/>
    <s v="Telecommunications Services"/>
    <s v="Alternative Carriers"/>
    <n v="0.4162838587042611"/>
    <n v="2628000000"/>
    <n v="0.10549659432916204"/>
    <n v="666000000"/>
  </r>
  <r>
    <x v="243"/>
    <n v="3"/>
    <n v="2014"/>
    <x v="2"/>
    <n v="6777000000"/>
    <n v="3775000000"/>
    <n v="1181000000"/>
    <n v="0"/>
    <n v="808000000"/>
    <s v="Telecommunications Services"/>
    <s v="Alternative Carriers"/>
    <n v="0.4429688652796222"/>
    <n v="3002000000"/>
    <n v="0.14947616939648811"/>
    <n v="1013000000"/>
  </r>
  <r>
    <x v="243"/>
    <n v="4"/>
    <n v="2015"/>
    <x v="3"/>
    <n v="8229000000"/>
    <n v="4265000000"/>
    <n v="1467000000"/>
    <n v="0"/>
    <n v="1166000000"/>
    <s v="Telecommunications Services"/>
    <s v="Alternative Carriers"/>
    <n v="0.48171102199538218"/>
    <n v="3964000000"/>
    <n v="0.16174504800097217"/>
    <n v="1331000000"/>
  </r>
  <r>
    <x v="244"/>
    <n v="1"/>
    <n v="2012"/>
    <x v="0"/>
    <n v="45352000000"/>
    <n v="39595000000"/>
    <n v="909000000"/>
    <n v="172000000"/>
    <n v="0"/>
    <s v="Materials"/>
    <s v="Diversified Chemicals"/>
    <n v="0.12694037749162113"/>
    <n v="5757000000"/>
    <n v="0.10310460398659375"/>
    <n v="4676000000"/>
  </r>
  <r>
    <x v="244"/>
    <n v="2"/>
    <n v="2013"/>
    <x v="1"/>
    <n v="44062000000"/>
    <n v="37940000000"/>
    <n v="870000000"/>
    <n v="150000000"/>
    <n v="0"/>
    <s v="Materials"/>
    <s v="Diversified Chemicals"/>
    <n v="0.13894058372293583"/>
    <n v="6122000000"/>
    <n v="0.11579138486677863"/>
    <n v="5102000000"/>
  </r>
  <r>
    <x v="244"/>
    <n v="3"/>
    <n v="2014"/>
    <x v="2"/>
    <n v="45608000000"/>
    <n v="38939000000"/>
    <n v="806000000"/>
    <n v="127000000"/>
    <n v="0"/>
    <s v="Materials"/>
    <s v="Diversified Chemicals"/>
    <n v="0.14622434660585859"/>
    <n v="6669000000"/>
    <n v="0.12576740922645149"/>
    <n v="5736000000"/>
  </r>
  <r>
    <x v="244"/>
    <n v="4"/>
    <n v="2015"/>
    <x v="3"/>
    <n v="32735000000"/>
    <n v="25683000000"/>
    <n v="828000000"/>
    <n v="102000000"/>
    <n v="0"/>
    <s v="Materials"/>
    <s v="Diversified Chemicals"/>
    <n v="0.21542691308996487"/>
    <n v="7052000000"/>
    <n v="0.18701695433022758"/>
    <n v="6122000000"/>
  </r>
  <r>
    <x v="245"/>
    <n v="1"/>
    <n v="2013"/>
    <x v="96"/>
    <n v="27686000000"/>
    <n v="16538000000"/>
    <n v="8482000000"/>
    <n v="0"/>
    <n v="0"/>
    <s v="Consumer Discretionary"/>
    <s v="Department Stores"/>
    <n v="0.40265838329841797"/>
    <n v="11148000000"/>
    <n v="9.6294155891064076E-2"/>
    <n v="2666000000"/>
  </r>
  <r>
    <x v="245"/>
    <n v="2"/>
    <n v="2014"/>
    <x v="47"/>
    <n v="27931000000"/>
    <n v="16725000000"/>
    <n v="8440000000"/>
    <n v="0"/>
    <n v="0"/>
    <s v="Consumer Discretionary"/>
    <s v="Department Stores"/>
    <n v="0.40120296444810422"/>
    <n v="11206000000"/>
    <n v="9.9029751888582582E-2"/>
    <n v="2766000000"/>
  </r>
  <r>
    <x v="245"/>
    <n v="3"/>
    <n v="2015"/>
    <x v="23"/>
    <n v="28105000000"/>
    <n v="16863000000"/>
    <n v="8355000000"/>
    <n v="0"/>
    <n v="0"/>
    <s v="Consumer Discretionary"/>
    <s v="Department Stores"/>
    <n v="0.4"/>
    <n v="11242000000"/>
    <n v="0.10272193559864792"/>
    <n v="2887000000"/>
  </r>
  <r>
    <x v="245"/>
    <n v="4"/>
    <n v="2016"/>
    <x v="48"/>
    <n v="27079000000"/>
    <n v="16496000000"/>
    <n v="8256000000"/>
    <n v="0"/>
    <n v="0"/>
    <s v="Consumer Discretionary"/>
    <s v="Department Stores"/>
    <n v="0.39081945418959341"/>
    <n v="10583000000"/>
    <n v="8.5933749399903989E-2"/>
    <n v="2327000000"/>
  </r>
  <r>
    <x v="246"/>
    <n v="1"/>
    <n v="2013"/>
    <x v="1"/>
    <n v="8312000000"/>
    <n v="0"/>
    <n v="3456000000"/>
    <n v="0"/>
    <n v="258000000"/>
    <s v="Information Technology"/>
    <s v="Internet Software &amp; Services"/>
    <n v="1"/>
    <n v="8312000000"/>
    <n v="0.55317613089509143"/>
    <n v="4598000000"/>
  </r>
  <r>
    <x v="246"/>
    <n v="2"/>
    <n v="2014"/>
    <x v="2"/>
    <n v="9441000000"/>
    <n v="0"/>
    <n v="4014000000"/>
    <n v="0"/>
    <n v="321000000"/>
    <s v="Information Technology"/>
    <s v="Internet Software &amp; Services"/>
    <n v="1"/>
    <n v="9441000000"/>
    <n v="0.54083253892596128"/>
    <n v="5106000000"/>
  </r>
  <r>
    <x v="246"/>
    <n v="3"/>
    <n v="2015"/>
    <x v="3"/>
    <n v="9667000000"/>
    <n v="0"/>
    <n v="4162000000"/>
    <n v="0"/>
    <n v="366000000"/>
    <s v="Information Technology"/>
    <s v="Internet Software &amp; Services"/>
    <n v="1"/>
    <n v="9667000000"/>
    <n v="0.53160235853936066"/>
    <n v="5139000000"/>
  </r>
  <r>
    <x v="246"/>
    <n v="4"/>
    <n v="2016"/>
    <x v="12"/>
    <n v="10776000000"/>
    <n v="0"/>
    <n v="4525000000"/>
    <n v="0"/>
    <n v="373000000"/>
    <s v="Information Technology"/>
    <s v="Internet Software &amp; Services"/>
    <n v="1"/>
    <n v="10776000000"/>
    <n v="0.54547141796585008"/>
    <n v="5878000000"/>
  </r>
  <r>
    <x v="247"/>
    <n v="1"/>
    <n v="2012"/>
    <x v="0"/>
    <n v="475888000"/>
    <n v="117275000"/>
    <n v="47115000"/>
    <n v="0"/>
    <n v="121211000"/>
    <s v="Real Estate"/>
    <s v="Residential REITs"/>
    <n v="0.75356596510103224"/>
    <n v="358613000"/>
    <n v="0.39985668896883303"/>
    <n v="190287000"/>
  </r>
  <r>
    <x v="247"/>
    <n v="2"/>
    <n v="2013"/>
    <x v="1"/>
    <n v="635490000"/>
    <n v="172050000"/>
    <n v="43720000"/>
    <n v="0"/>
    <n v="186979000"/>
    <s v="Real Estate"/>
    <s v="Residential REITs"/>
    <n v="0.72926403247887461"/>
    <n v="463440000"/>
    <n v="0.36623865049017296"/>
    <n v="232741000"/>
  </r>
  <r>
    <x v="247"/>
    <n v="3"/>
    <n v="2014"/>
    <x v="2"/>
    <n v="992332000"/>
    <n v="275379000"/>
    <n v="57664000"/>
    <n v="0"/>
    <n v="301812000"/>
    <s v="Real Estate"/>
    <s v="Residential REITs"/>
    <n v="0.72249307691377485"/>
    <n v="716953000"/>
    <n v="0.36023931506794099"/>
    <n v="357477000"/>
  </r>
  <r>
    <x v="247"/>
    <n v="4"/>
    <n v="2015"/>
    <x v="3"/>
    <n v="1042779000"/>
    <n v="280901000"/>
    <n v="53992000"/>
    <n v="0"/>
    <n v="294520000"/>
    <s v="Real Estate"/>
    <s v="Residential REITs"/>
    <n v="0.73062269186471918"/>
    <n v="761878000"/>
    <n v="0.39640805961761794"/>
    <n v="413366000"/>
  </r>
  <r>
    <x v="248"/>
    <n v="1"/>
    <n v="2012"/>
    <x v="0"/>
    <n v="797517000"/>
    <n v="337533000"/>
    <n v="20412000"/>
    <n v="0"/>
    <n v="277621000"/>
    <s v="Real Estate"/>
    <s v="Retail REITs"/>
    <n v="0.57677015035416179"/>
    <n v="459984000"/>
    <n v="0.20306902548785793"/>
    <n v="161951000"/>
  </r>
  <r>
    <x v="248"/>
    <n v="2"/>
    <n v="2013"/>
    <x v="1"/>
    <n v="1029475000"/>
    <n v="423256000"/>
    <n v="27772000"/>
    <n v="0"/>
    <n v="357165000"/>
    <s v="Real Estate"/>
    <s v="Retail REITs"/>
    <n v="0.58886228417397213"/>
    <n v="606219000"/>
    <n v="0.21494645328929796"/>
    <n v="221282000"/>
  </r>
  <r>
    <x v="248"/>
    <n v="3"/>
    <n v="2014"/>
    <x v="2"/>
    <n v="1105247000"/>
    <n v="441929000"/>
    <n v="29412000"/>
    <n v="0"/>
    <n v="378716000"/>
    <s v="Real Estate"/>
    <s v="Retail REITs"/>
    <n v="0.60015363081736472"/>
    <n v="663318000"/>
    <n v="0.23088956586174855"/>
    <n v="255190000"/>
  </r>
  <r>
    <x v="248"/>
    <n v="4"/>
    <n v="2015"/>
    <x v="3"/>
    <n v="1288149000"/>
    <n v="497359000"/>
    <n v="29870000"/>
    <n v="0"/>
    <n v="464472000"/>
    <s v="Real Estate"/>
    <s v="Retail REITs"/>
    <n v="0.61389637378905704"/>
    <n v="790790000"/>
    <n v="0.23013486793841395"/>
    <n v="296448000"/>
  </r>
  <r>
    <x v="249"/>
    <n v="1"/>
    <n v="2012"/>
    <x v="0"/>
    <n v="11814000000"/>
    <n v="10190000000"/>
    <n v="582000000"/>
    <n v="0"/>
    <n v="102000000"/>
    <s v="Consumer Discretionary"/>
    <s v="Hotels, Resorts &amp; Cruise Lines"/>
    <n v="0.13746402573218219"/>
    <n v="1624000000"/>
    <n v="7.9566615879465036E-2"/>
    <n v="940000000"/>
  </r>
  <r>
    <x v="249"/>
    <n v="2"/>
    <n v="2013"/>
    <x v="1"/>
    <n v="12784000000"/>
    <n v="11020000000"/>
    <n v="649000000"/>
    <n v="0"/>
    <n v="127000000"/>
    <s v="Consumer Discretionary"/>
    <s v="Hotels, Resorts &amp; Cruise Lines"/>
    <n v="0.13798498122653313"/>
    <n v="1764000000"/>
    <n v="7.7284105131414274E-2"/>
    <n v="988000000"/>
  </r>
  <r>
    <x v="249"/>
    <n v="3"/>
    <n v="2014"/>
    <x v="2"/>
    <n v="13796000000"/>
    <n v="11830000000"/>
    <n v="659000000"/>
    <n v="0"/>
    <n v="148000000"/>
    <s v="Consumer Discretionary"/>
    <s v="Hotels, Resorts &amp; Cruise Lines"/>
    <n v="0.14250507393447376"/>
    <n v="1966000000"/>
    <n v="8.400985792983473E-2"/>
    <n v="1159000000"/>
  </r>
  <r>
    <x v="249"/>
    <n v="4"/>
    <n v="2015"/>
    <x v="3"/>
    <n v="14486000000"/>
    <n v="12363000000"/>
    <n v="634000000"/>
    <n v="0"/>
    <n v="139000000"/>
    <s v="Consumer Discretionary"/>
    <s v="Hotels, Resorts &amp; Cruise Lines"/>
    <n v="0.14655529476736162"/>
    <n v="2123000000"/>
    <n v="9.319342813751208E-2"/>
    <n v="1350000000"/>
  </r>
  <r>
    <x v="250"/>
    <n v="1"/>
    <n v="2013"/>
    <x v="1"/>
    <n v="6761000000"/>
    <n v="4802000000"/>
    <n v="1347000000"/>
    <n v="0"/>
    <n v="0"/>
    <s v="Industrials"/>
    <s v="Building Products"/>
    <n v="0.28975003697677859"/>
    <n v="1959000000"/>
    <n v="9.0519153971306027E-2"/>
    <n v="612000000"/>
  </r>
  <r>
    <x v="250"/>
    <n v="2"/>
    <n v="2014"/>
    <x v="2"/>
    <n v="7006000000"/>
    <n v="4946000000"/>
    <n v="1338000000"/>
    <n v="0"/>
    <n v="0"/>
    <s v="Industrials"/>
    <s v="Building Products"/>
    <n v="0.29403368541250352"/>
    <n v="2060000000"/>
    <n v="0.10305452469312018"/>
    <n v="722000000"/>
  </r>
  <r>
    <x v="250"/>
    <n v="3"/>
    <n v="2015"/>
    <x v="3"/>
    <n v="7142000000"/>
    <n v="4889000000"/>
    <n v="1339000000"/>
    <n v="0"/>
    <n v="0"/>
    <s v="Industrials"/>
    <s v="Building Products"/>
    <n v="0.31545785494259315"/>
    <n v="2253000000"/>
    <n v="0.12797535704284513"/>
    <n v="914000000"/>
  </r>
  <r>
    <x v="250"/>
    <n v="4"/>
    <n v="2016"/>
    <x v="12"/>
    <n v="7357000000"/>
    <n v="4901000000"/>
    <n v="1403000000"/>
    <n v="0"/>
    <n v="0"/>
    <s v="Industrials"/>
    <s v="Building Products"/>
    <n v="0.33383172488786195"/>
    <n v="2456000000"/>
    <n v="0.14312899279597663"/>
    <n v="1053000000"/>
  </r>
  <r>
    <x v="251"/>
    <n v="1"/>
    <n v="2012"/>
    <x v="0"/>
    <n v="6420881000"/>
    <n v="3011684000"/>
    <n v="2388182000"/>
    <n v="0"/>
    <n v="0"/>
    <s v="Consumer Discretionary"/>
    <s v="Leisure Products"/>
    <n v="0.53095470855167692"/>
    <n v="3409197000"/>
    <n v="0.15901478317383549"/>
    <n v="1021015000"/>
  </r>
  <r>
    <x v="251"/>
    <n v="2"/>
    <n v="2013"/>
    <x v="1"/>
    <n v="6484892000"/>
    <n v="3006009000"/>
    <n v="2310780000"/>
    <n v="0"/>
    <n v="0"/>
    <s v="Consumer Discretionary"/>
    <s v="Leisure Products"/>
    <n v="0.53645966656036825"/>
    <n v="3478883000"/>
    <n v="0.18012682400878843"/>
    <n v="1168103000"/>
  </r>
  <r>
    <x v="251"/>
    <n v="3"/>
    <n v="2014"/>
    <x v="2"/>
    <n v="6023819000"/>
    <n v="3022797000"/>
    <n v="2347308000"/>
    <n v="0"/>
    <n v="0"/>
    <s v="Consumer Discretionary"/>
    <s v="Leisure Products"/>
    <n v="0.49819259177608088"/>
    <n v="3001022000"/>
    <n v="0.10852152098195514"/>
    <n v="653714000"/>
  </r>
  <r>
    <x v="251"/>
    <n v="4"/>
    <n v="2015"/>
    <x v="3"/>
    <n v="5702613000"/>
    <n v="2896255000"/>
    <n v="2265436000"/>
    <n v="0"/>
    <n v="0"/>
    <s v="Consumer Discretionary"/>
    <s v="Leisure Products"/>
    <n v="0.49211791156089324"/>
    <n v="2806358000"/>
    <n v="9.4855112910520137E-2"/>
    <n v="540922000"/>
  </r>
  <r>
    <x v="252"/>
    <n v="1"/>
    <n v="2012"/>
    <x v="0"/>
    <n v="27567000000"/>
    <n v="16750700000"/>
    <n v="2211700000"/>
    <n v="0"/>
    <n v="0"/>
    <s v="Consumer Discretionary"/>
    <s v="Restaurants"/>
    <n v="0.39236405847571376"/>
    <n v="10816300000"/>
    <n v="0.31213407334856896"/>
    <n v="8604600000"/>
  </r>
  <r>
    <x v="252"/>
    <n v="2"/>
    <n v="2013"/>
    <x v="1"/>
    <n v="28105700000"/>
    <n v="17203000000"/>
    <n v="2138400000"/>
    <n v="0"/>
    <n v="0"/>
    <s v="Consumer Discretionary"/>
    <s v="Restaurants"/>
    <n v="0.38791775333829082"/>
    <n v="10902700000"/>
    <n v="0.31183354266216462"/>
    <n v="8764300000"/>
  </r>
  <r>
    <x v="252"/>
    <n v="3"/>
    <n v="2014"/>
    <x v="2"/>
    <n v="27441300000"/>
    <n v="16985600000"/>
    <n v="2506500000"/>
    <n v="0"/>
    <n v="0"/>
    <s v="Consumer Discretionary"/>
    <s v="Restaurants"/>
    <n v="0.38102057847113657"/>
    <n v="10455700000"/>
    <n v="0.28968015363703614"/>
    <n v="7949200000"/>
  </r>
  <r>
    <x v="252"/>
    <n v="4"/>
    <n v="2015"/>
    <x v="3"/>
    <n v="25413000000"/>
    <n v="15623800000"/>
    <n v="2643700000"/>
    <n v="0"/>
    <n v="0"/>
    <s v="Consumer Discretionary"/>
    <s v="Restaurants"/>
    <n v="0.3852044229331445"/>
    <n v="9789200000"/>
    <n v="0.28117498917876677"/>
    <n v="7145500000"/>
  </r>
  <r>
    <x v="253"/>
    <n v="1"/>
    <n v="2013"/>
    <x v="97"/>
    <n v="1581623000"/>
    <n v="743164000"/>
    <n v="261471000"/>
    <n v="254723000"/>
    <n v="111537000"/>
    <s v="Information Technology"/>
    <s v="Semiconductors"/>
    <n v="0.53012569999298187"/>
    <n v="838459000"/>
    <n v="0.13323529058441866"/>
    <n v="210728000"/>
  </r>
  <r>
    <x v="253"/>
    <n v="2"/>
    <n v="2014"/>
    <x v="98"/>
    <n v="1931217000"/>
    <n v="802474000"/>
    <n v="267278000"/>
    <n v="305043000"/>
    <n v="94534000"/>
    <s v="Information Technology"/>
    <s v="Semiconductors"/>
    <n v="0.58447238192290141"/>
    <n v="1128743000"/>
    <n v="0.23916939422136405"/>
    <n v="461888000"/>
  </r>
  <r>
    <x v="253"/>
    <n v="3"/>
    <n v="2015"/>
    <x v="99"/>
    <n v="2147036000"/>
    <n v="917472000"/>
    <n v="274815000"/>
    <n v="349543000"/>
    <n v="176746000"/>
    <s v="Information Technology"/>
    <s v="Semiconductors"/>
    <n v="0.57267973149961149"/>
    <n v="1229564000"/>
    <n v="0.19955883366650581"/>
    <n v="428460000"/>
  </r>
  <r>
    <x v="253"/>
    <n v="4"/>
    <n v="2016"/>
    <x v="100"/>
    <n v="2173334000"/>
    <n v="967870000"/>
    <n v="301670000"/>
    <n v="372596000"/>
    <n v="174896000"/>
    <s v="Information Technology"/>
    <s v="Semiconductors"/>
    <n v="0.5546611795517854"/>
    <n v="1205464000"/>
    <n v="0.16394258774767248"/>
    <n v="356302000"/>
  </r>
  <r>
    <x v="254"/>
    <n v="1"/>
    <n v="2013"/>
    <x v="61"/>
    <n v="101093000000"/>
    <n v="96172000000"/>
    <n v="2875000000"/>
    <n v="0"/>
    <n v="158000000"/>
    <s v="Health Care"/>
    <s v="Health Care Distributors"/>
    <n v="4.8677950006429715E-2"/>
    <n v="4921000000"/>
    <n v="1.8675872711265865E-2"/>
    <n v="1888000000"/>
  </r>
  <r>
    <x v="254"/>
    <n v="2"/>
    <n v="2014"/>
    <x v="62"/>
    <n v="91084000000"/>
    <n v="85923000000"/>
    <n v="3028000000"/>
    <n v="0"/>
    <n v="223000000"/>
    <s v="Health Care"/>
    <s v="Health Care Distributors"/>
    <n v="5.6661982345966311E-2"/>
    <n v="5161000000"/>
    <n v="2.0969654384963329E-2"/>
    <n v="1910000000"/>
  </r>
  <r>
    <x v="254"/>
    <n v="3"/>
    <n v="2015"/>
    <x v="63"/>
    <n v="102531000000"/>
    <n v="96819000000"/>
    <n v="3240000000"/>
    <n v="0"/>
    <n v="281000000"/>
    <s v="Health Care"/>
    <s v="Health Care Distributors"/>
    <n v="5.570998039617292E-2"/>
    <n v="5712000000"/>
    <n v="2.1369146892159446E-2"/>
    <n v="2191000000"/>
  </r>
  <r>
    <x v="254"/>
    <n v="4"/>
    <n v="2016"/>
    <x v="64"/>
    <n v="121546000000"/>
    <n v="115003000000"/>
    <n v="3648000000"/>
    <n v="0"/>
    <n v="459000000"/>
    <s v="Health Care"/>
    <s v="Health Care Distributors"/>
    <n v="5.3831471212545057E-2"/>
    <n v="6543000000"/>
    <n v="2.004179487601402E-2"/>
    <n v="2436000000"/>
  </r>
  <r>
    <x v="255"/>
    <n v="1"/>
    <n v="2013"/>
    <x v="1"/>
    <n v="6493900000"/>
    <n v="340400000"/>
    <n v="1684500000"/>
    <n v="2226200000"/>
    <n v="262800000"/>
    <s v="Health Care"/>
    <s v="Biotechnology"/>
    <n v="0.94758157655646069"/>
    <n v="6153500000"/>
    <n v="0.30490152296770817"/>
    <n v="1980000000"/>
  </r>
  <r>
    <x v="255"/>
    <n v="2"/>
    <n v="2014"/>
    <x v="2"/>
    <n v="7670400000"/>
    <n v="385900000"/>
    <n v="2027900000"/>
    <n v="2430600000"/>
    <n v="258300000"/>
    <s v="Health Care"/>
    <s v="Biotechnology"/>
    <n v="0.94968971631205679"/>
    <n v="7284500000"/>
    <n v="0.33475438047559447"/>
    <n v="2567700000"/>
  </r>
  <r>
    <x v="255"/>
    <n v="3"/>
    <n v="2015"/>
    <x v="3"/>
    <n v="9256000000"/>
    <n v="420100000"/>
    <n v="2305400000"/>
    <n v="3697300000"/>
    <n v="279000000"/>
    <s v="Health Care"/>
    <s v="Biotechnology"/>
    <n v="0.95461322385479686"/>
    <n v="8835900000"/>
    <n v="0.27595073465859982"/>
    <n v="2554200000"/>
  </r>
  <r>
    <x v="255"/>
    <n v="4"/>
    <n v="2016"/>
    <x v="12"/>
    <n v="11229200000"/>
    <n v="438000000"/>
    <n v="2657700000"/>
    <n v="4470100000"/>
    <n v="459000000"/>
    <s v="Health Care"/>
    <s v="Biotechnology"/>
    <n v="0.96099454992341393"/>
    <n v="10791200000"/>
    <n v="0.28536316033199161"/>
    <n v="3204400000"/>
  </r>
  <r>
    <x v="256"/>
    <n v="1"/>
    <n v="2012"/>
    <x v="0"/>
    <n v="35015000000"/>
    <n v="21939000000"/>
    <n v="9176000000"/>
    <n v="0"/>
    <n v="217000000"/>
    <s v="Consumer Staples"/>
    <s v="Packaged Foods &amp; Meats"/>
    <n v="0.37343995430529775"/>
    <n v="13076000000"/>
    <n v="0.1051834927888048"/>
    <n v="3683000000"/>
  </r>
  <r>
    <x v="256"/>
    <n v="2"/>
    <n v="2013"/>
    <x v="1"/>
    <n v="35299000000"/>
    <n v="22189000000"/>
    <n v="8679000000"/>
    <n v="0"/>
    <n v="217000000"/>
    <s v="Consumer Staples"/>
    <s v="Packaged Foods &amp; Meats"/>
    <n v="0.37139862319045869"/>
    <n v="13110000000"/>
    <n v="0.11938015241224964"/>
    <n v="4214000000"/>
  </r>
  <r>
    <x v="256"/>
    <n v="3"/>
    <n v="2014"/>
    <x v="2"/>
    <n v="34244000000"/>
    <n v="21647000000"/>
    <n v="8457000000"/>
    <n v="0"/>
    <n v="206000000"/>
    <s v="Consumer Staples"/>
    <s v="Packaged Foods &amp; Meats"/>
    <n v="0.36786006307674335"/>
    <n v="12597000000"/>
    <n v="0.11488143908421913"/>
    <n v="3934000000"/>
  </r>
  <r>
    <x v="256"/>
    <n v="4"/>
    <n v="2015"/>
    <x v="3"/>
    <n v="29636000000"/>
    <n v="18124000000"/>
    <n v="7577000000"/>
    <n v="0"/>
    <n v="181000000"/>
    <s v="Consumer Staples"/>
    <s v="Packaged Foods &amp; Meats"/>
    <n v="0.38844648400593873"/>
    <n v="11512000000"/>
    <n v="0.12667026589283303"/>
    <n v="3754000000"/>
  </r>
  <r>
    <x v="257"/>
    <n v="1"/>
    <n v="2013"/>
    <x v="5"/>
    <n v="2910748000"/>
    <n v="514722000"/>
    <n v="1468434000"/>
    <n v="338786000"/>
    <n v="12794000"/>
    <s v="Health Care"/>
    <s v="Health Care Technology"/>
    <n v="0.82316504211288644"/>
    <n v="2396026000"/>
    <n v="0.19789140111064235"/>
    <n v="576012000"/>
  </r>
  <r>
    <x v="257"/>
    <n v="2"/>
    <n v="2015"/>
    <x v="6"/>
    <n v="3402703000"/>
    <n v="604377000"/>
    <n v="1628961000"/>
    <n v="392805000"/>
    <n v="13476000"/>
    <s v="Health Care"/>
    <s v="Health Care Technology"/>
    <n v="0.82238326412854723"/>
    <n v="2798326000"/>
    <n v="0.22425818533089723"/>
    <n v="763084000"/>
  </r>
  <r>
    <x v="257"/>
    <n v="3"/>
    <n v="2016"/>
    <x v="7"/>
    <n v="4425267000"/>
    <n v="750781000"/>
    <n v="2262024000"/>
    <n v="539799000"/>
    <n v="91527000"/>
    <s v="Health Care"/>
    <s v="Health Care Technology"/>
    <n v="0.83034221437938094"/>
    <n v="3674486000"/>
    <n v="0.17651725873263693"/>
    <n v="781136000"/>
  </r>
  <r>
    <x v="257"/>
    <n v="4"/>
    <n v="2016"/>
    <x v="12"/>
    <n v="4796473000"/>
    <n v="779116000"/>
    <n v="2464380000"/>
    <n v="551418000"/>
    <n v="90546000"/>
    <s v="Health Care"/>
    <s v="Health Care Technology"/>
    <n v="0.8375648106431538"/>
    <n v="4017357000"/>
    <n v="0.18993393687403223"/>
    <n v="911013000"/>
  </r>
  <r>
    <x v="258"/>
    <n v="1"/>
    <n v="2012"/>
    <x v="0"/>
    <n v="5787980000"/>
    <n v="4297922000"/>
    <n v="1110550000"/>
    <n v="0"/>
    <n v="0"/>
    <s v="Consumer Discretionary"/>
    <s v="Home Furnishings"/>
    <n v="0.25744007408456837"/>
    <n v="1490058000"/>
    <n v="6.5568298439179121E-2"/>
    <n v="379508000"/>
  </r>
  <r>
    <x v="258"/>
    <n v="2"/>
    <n v="2013"/>
    <x v="1"/>
    <n v="7348754000"/>
    <n v="5427945000"/>
    <n v="1373878000"/>
    <n v="0"/>
    <n v="0"/>
    <s v="Consumer Discretionary"/>
    <s v="Home Furnishings"/>
    <n v="0.26137886776452168"/>
    <n v="1920809000"/>
    <n v="7.4424997761525294E-2"/>
    <n v="546931000"/>
  </r>
  <r>
    <x v="258"/>
    <n v="3"/>
    <n v="2014"/>
    <x v="2"/>
    <n v="7803446000"/>
    <n v="5649254000"/>
    <n v="1381396000"/>
    <n v="0"/>
    <n v="0"/>
    <s v="Consumer Discretionary"/>
    <s v="Home Furnishings"/>
    <n v="0.27605650119190928"/>
    <n v="2154192000"/>
    <n v="9.9032658135905602E-2"/>
    <n v="772796000"/>
  </r>
  <r>
    <x v="258"/>
    <n v="4"/>
    <n v="2015"/>
    <x v="3"/>
    <n v="8071563000"/>
    <n v="5660877000"/>
    <n v="1573120000"/>
    <n v="0"/>
    <n v="0"/>
    <s v="Consumer Discretionary"/>
    <s v="Home Furnishings"/>
    <n v="0.29866408773616704"/>
    <n v="2410686000"/>
    <n v="0.10376751070393678"/>
    <n v="837566000"/>
  </r>
  <r>
    <x v="259"/>
    <n v="1"/>
    <n v="2012"/>
    <x v="0"/>
    <n v="3901300000"/>
    <n v="1503800000"/>
    <n v="1457300000"/>
    <n v="100100000"/>
    <n v="0"/>
    <s v="Consumer Staples"/>
    <s v="Packaged Foods &amp; Meats"/>
    <n v="0.61453874349575788"/>
    <n v="2397500000"/>
    <n v="0.21533847691795044"/>
    <n v="840100000"/>
  </r>
  <r>
    <x v="259"/>
    <n v="2"/>
    <n v="2013"/>
    <x v="1"/>
    <n v="4200700000"/>
    <n v="1528500000"/>
    <n v="1548600000"/>
    <n v="100200000"/>
    <n v="0"/>
    <s v="Consumer Staples"/>
    <s v="Packaged Foods &amp; Meats"/>
    <n v="0.63613207322589094"/>
    <n v="2672200000"/>
    <n v="0.24362606232294617"/>
    <n v="1023400000"/>
  </r>
  <r>
    <x v="259"/>
    <n v="3"/>
    <n v="2014"/>
    <x v="2"/>
    <n v="4409300000"/>
    <n v="1700600000"/>
    <n v="1617600000"/>
    <n v="115100000"/>
    <n v="0"/>
    <s v="Consumer Staples"/>
    <s v="Packaged Foods &amp; Meats"/>
    <n v="0.61431519742362739"/>
    <n v="2708700000"/>
    <n v="0.22135032771641758"/>
    <n v="976000000"/>
  </r>
  <r>
    <x v="259"/>
    <n v="4"/>
    <n v="2015"/>
    <x v="3"/>
    <n v="4071300000"/>
    <n v="1455300000"/>
    <n v="1532400000"/>
    <n v="108400000"/>
    <n v="0"/>
    <s v="Consumer Staples"/>
    <s v="Packaged Foods &amp; Meats"/>
    <n v="0.64254660673494945"/>
    <n v="2616000000"/>
    <n v="0.23953037113452705"/>
    <n v="975200000"/>
  </r>
  <r>
    <x v="260"/>
    <n v="1"/>
    <n v="2013"/>
    <x v="57"/>
    <n v="4123400000"/>
    <n v="2457600000"/>
    <n v="1090300000"/>
    <n v="0"/>
    <n v="0"/>
    <s v="Consumer Staples"/>
    <s v="Packaged Foods &amp; Meats"/>
    <n v="0.40398700101857687"/>
    <n v="1665800000"/>
    <n v="0.13956928748120484"/>
    <n v="575500000"/>
  </r>
  <r>
    <x v="260"/>
    <n v="2"/>
    <n v="2014"/>
    <x v="58"/>
    <n v="4243200000"/>
    <n v="2513000000"/>
    <n v="1122000000"/>
    <n v="0"/>
    <n v="0"/>
    <s v="Consumer Staples"/>
    <s v="Packaged Foods &amp; Meats"/>
    <n v="0.40775829562594268"/>
    <n v="1730200000"/>
    <n v="0.14333521870286575"/>
    <n v="608200000"/>
  </r>
  <r>
    <x v="260"/>
    <n v="3"/>
    <n v="2015"/>
    <x v="59"/>
    <n v="4296300000"/>
    <n v="2559000000"/>
    <n v="1127400000"/>
    <n v="0"/>
    <n v="0"/>
    <s v="Consumer Staples"/>
    <s v="Packaged Foods &amp; Meats"/>
    <n v="0.40437120312827313"/>
    <n v="1737300000"/>
    <n v="0.14195936037986173"/>
    <n v="609900000"/>
  </r>
  <r>
    <x v="260"/>
    <n v="4"/>
    <n v="2016"/>
    <x v="60"/>
    <n v="4411500000"/>
    <n v="2579800000"/>
    <n v="1175000000"/>
    <n v="0"/>
    <n v="0"/>
    <s v="Consumer Staples"/>
    <s v="Packaged Foods &amp; Meats"/>
    <n v="0.4152102459480902"/>
    <n v="1831700000"/>
    <n v="0.14886093165589936"/>
    <n v="656700000"/>
  </r>
  <r>
    <x v="261"/>
    <n v="1"/>
    <n v="2012"/>
    <x v="0"/>
    <n v="2031901000"/>
    <n v="1704767000"/>
    <n v="135824000"/>
    <n v="0"/>
    <n v="0"/>
    <s v="Materials"/>
    <s v="Construction Materials"/>
    <n v="0.16099898567892823"/>
    <n v="327134000"/>
    <n v="9.4153209236079907E-2"/>
    <n v="191310000"/>
  </r>
  <r>
    <x v="261"/>
    <n v="2"/>
    <n v="2013"/>
    <x v="1"/>
    <n v="2155551000"/>
    <n v="1791594000"/>
    <n v="145298000"/>
    <n v="0"/>
    <n v="0"/>
    <s v="Materials"/>
    <s v="Construction Materials"/>
    <n v="0.16884638776813909"/>
    <n v="363957000"/>
    <n v="0.10143995665145478"/>
    <n v="218659000"/>
  </r>
  <r>
    <x v="261"/>
    <n v="3"/>
    <n v="2014"/>
    <x v="2"/>
    <n v="2957951000"/>
    <n v="2435591000"/>
    <n v="164596000"/>
    <n v="0"/>
    <n v="0"/>
    <s v="Materials"/>
    <s v="Construction Materials"/>
    <n v="0.17659521743260786"/>
    <n v="522360000"/>
    <n v="0.12094994136143566"/>
    <n v="357764000"/>
  </r>
  <r>
    <x v="261"/>
    <n v="4"/>
    <n v="2015"/>
    <x v="3"/>
    <n v="3539570000"/>
    <n v="2817803000"/>
    <n v="233887000"/>
    <n v="0"/>
    <n v="0"/>
    <s v="Materials"/>
    <s v="Construction Materials"/>
    <n v="0.20391375223544106"/>
    <n v="721767000"/>
    <n v="0.13783595182465666"/>
    <n v="487880000"/>
  </r>
  <r>
    <x v="262"/>
    <n v="1"/>
    <n v="2012"/>
    <x v="0"/>
    <n v="29119000000"/>
    <n v="17900000000"/>
    <n v="0"/>
    <n v="0"/>
    <n v="8742000000"/>
    <s v="Health Care"/>
    <s v="Managed Health Care"/>
    <n v="0.38528108794944882"/>
    <n v="11219000000"/>
    <n v="8.5064734365877956E-2"/>
    <n v="2477000000"/>
  </r>
  <r>
    <x v="262"/>
    <n v="2"/>
    <n v="2013"/>
    <x v="1"/>
    <n v="32380000000"/>
    <n v="20865000000"/>
    <n v="0"/>
    <n v="0"/>
    <n v="9339000000"/>
    <s v="Health Care"/>
    <s v="Managed Health Care"/>
    <n v="0.35562075355157508"/>
    <n v="11515000000"/>
    <n v="6.7201976528721438E-2"/>
    <n v="2176000000"/>
  </r>
  <r>
    <x v="262"/>
    <n v="3"/>
    <n v="2014"/>
    <x v="2"/>
    <n v="34914000000"/>
    <n v="21334000000"/>
    <n v="0"/>
    <n v="0"/>
    <n v="10276000000"/>
    <s v="Health Care"/>
    <s v="Managed Health Care"/>
    <n v="0.38895571976857424"/>
    <n v="13580000000"/>
    <n v="9.4632525634415987E-2"/>
    <n v="3304000000"/>
  </r>
  <r>
    <x v="262"/>
    <n v="4"/>
    <n v="2015"/>
    <x v="3"/>
    <n v="37876000000"/>
    <n v="23290000000"/>
    <n v="0"/>
    <n v="0"/>
    <n v="11259000000"/>
    <s v="Health Care"/>
    <s v="Managed Health Care"/>
    <n v="0.38509874326750448"/>
    <n v="14586000000"/>
    <n v="8.7839264969901784E-2"/>
    <n v="3327000000"/>
  </r>
  <r>
    <x v="263"/>
    <n v="1"/>
    <n v="2013"/>
    <x v="1"/>
    <n v="30871000000"/>
    <n v="16106000000"/>
    <n v="6384000000"/>
    <n v="1715000000"/>
    <n v="0"/>
    <s v="Industrials"/>
    <s v="Industrial Conglomerates"/>
    <n v="0.47828058695863429"/>
    <n v="14765000000"/>
    <n v="0.21593080884972951"/>
    <n v="6666000000"/>
  </r>
  <r>
    <x v="263"/>
    <n v="2"/>
    <n v="2014"/>
    <x v="2"/>
    <n v="31821000000"/>
    <n v="16447000000"/>
    <n v="6469000000"/>
    <n v="1770000000"/>
    <n v="0"/>
    <s v="Industrials"/>
    <s v="Industrial Conglomerates"/>
    <n v="0.48314006473712323"/>
    <n v="15374000000"/>
    <n v="0.2242229973916596"/>
    <n v="7135000000"/>
  </r>
  <r>
    <x v="263"/>
    <n v="3"/>
    <n v="2015"/>
    <x v="3"/>
    <n v="30274000000"/>
    <n v="15383000000"/>
    <n v="6182000000"/>
    <n v="1763000000"/>
    <n v="0"/>
    <s v="Industrials"/>
    <s v="Industrial Conglomerates"/>
    <n v="0.49187421549844756"/>
    <n v="14891000000"/>
    <n v="0.22943780141375439"/>
    <n v="6946000000"/>
  </r>
  <r>
    <x v="263"/>
    <n v="4"/>
    <n v="2016"/>
    <x v="12"/>
    <n v="30109000000"/>
    <n v="15040000000"/>
    <n v="6111000000"/>
    <n v="1735000000"/>
    <n v="0"/>
    <s v="Industrials"/>
    <s v="Industrial Conglomerates"/>
    <n v="0.50048158357966055"/>
    <n v="15069000000"/>
    <n v="0.23989504799229466"/>
    <n v="7223000000"/>
  </r>
  <r>
    <x v="264"/>
    <n v="1"/>
    <n v="2012"/>
    <x v="0"/>
    <n v="2060702000"/>
    <n v="995046000"/>
    <n v="0"/>
    <n v="0"/>
    <n v="0"/>
    <s v="Consumer Staples"/>
    <s v="Soft Drinks"/>
    <n v="0.51713251115396597"/>
    <n v="1065656000"/>
    <n v="0.51713251115396597"/>
    <n v="1065656000"/>
  </r>
  <r>
    <x v="264"/>
    <n v="2"/>
    <n v="2013"/>
    <x v="1"/>
    <n v="2246428000"/>
    <n v="1073497000"/>
    <n v="0"/>
    <n v="0"/>
    <n v="0"/>
    <s v="Consumer Staples"/>
    <s v="Soft Drinks"/>
    <n v="0.52213157955652267"/>
    <n v="1172931000"/>
    <n v="0.52213157955652267"/>
    <n v="1172931000"/>
  </r>
  <r>
    <x v="264"/>
    <n v="3"/>
    <n v="2014"/>
    <x v="2"/>
    <n v="2464867000"/>
    <n v="1125057000"/>
    <n v="0"/>
    <n v="0"/>
    <n v="0"/>
    <s v="Consumer Staples"/>
    <s v="Soft Drinks"/>
    <n v="0.54356279669450724"/>
    <n v="1339810000"/>
    <n v="0.54356279669450724"/>
    <n v="1339810000"/>
  </r>
  <r>
    <x v="264"/>
    <n v="4"/>
    <n v="2015"/>
    <x v="3"/>
    <n v="2722564000"/>
    <n v="1090263000"/>
    <n v="0"/>
    <n v="0"/>
    <n v="0"/>
    <s v="Consumer Staples"/>
    <s v="Soft Drinks"/>
    <n v="0.59954550196065182"/>
    <n v="1632301000"/>
    <n v="0.59954550196065182"/>
    <n v="1632301000"/>
  </r>
  <r>
    <x v="265"/>
    <n v="1"/>
    <n v="2012"/>
    <x v="0"/>
    <n v="24618000000"/>
    <n v="15055000000"/>
    <n v="2249000000"/>
    <n v="0"/>
    <n v="0"/>
    <s v="Consumer Staples"/>
    <s v="Tobacco"/>
    <n v="0.38845560159233083"/>
    <n v="9563000000"/>
    <n v="0.29709968315866442"/>
    <n v="7314000000"/>
  </r>
  <r>
    <x v="265"/>
    <n v="2"/>
    <n v="2013"/>
    <x v="1"/>
    <n v="24466000000"/>
    <n v="14009000000"/>
    <n v="2362000000"/>
    <n v="0"/>
    <n v="0"/>
    <s v="Consumer Staples"/>
    <s v="Tobacco"/>
    <n v="0.42740946619798903"/>
    <n v="10457000000"/>
    <n v="0.33086732608517944"/>
    <n v="8095000000"/>
  </r>
  <r>
    <x v="265"/>
    <n v="3"/>
    <n v="2014"/>
    <x v="2"/>
    <n v="24522000000"/>
    <n v="14362000000"/>
    <n v="2541000000"/>
    <n v="0"/>
    <n v="0"/>
    <s v="Consumer Staples"/>
    <s v="Tobacco"/>
    <n v="0.41432183345567242"/>
    <n v="10160000000"/>
    <n v="0.31070059538373707"/>
    <n v="7619000000"/>
  </r>
  <r>
    <x v="265"/>
    <n v="4"/>
    <n v="2015"/>
    <x v="3"/>
    <n v="25434000000"/>
    <n v="14320000000"/>
    <n v="2749000000"/>
    <n v="0"/>
    <n v="0"/>
    <s v="Consumer Staples"/>
    <s v="Tobacco"/>
    <n v="0.43697412911850275"/>
    <n v="11114000000"/>
    <n v="0.32889046158685226"/>
    <n v="8365000000"/>
  </r>
  <r>
    <x v="266"/>
    <n v="1"/>
    <n v="2013"/>
    <x v="34"/>
    <n v="14861000000"/>
    <n v="7208000000"/>
    <n v="2550000000"/>
    <n v="1533000000"/>
    <n v="0"/>
    <s v="Materials"/>
    <s v="Fertilizers &amp; Agricultural Chemicals"/>
    <n v="0.51497207455756677"/>
    <n v="7653000000"/>
    <n v="0.24022609514837495"/>
    <n v="3570000000"/>
  </r>
  <r>
    <x v="266"/>
    <n v="2"/>
    <n v="2014"/>
    <x v="35"/>
    <n v="15855000000"/>
    <n v="7281000000"/>
    <n v="2774000000"/>
    <n v="1725000000"/>
    <n v="0"/>
    <s v="Materials"/>
    <s v="Fertilizers &amp; Agricultural Chemicals"/>
    <n v="0.54077578051087982"/>
    <n v="8574000000"/>
    <n v="0.25701671397035636"/>
    <n v="4075000000"/>
  </r>
  <r>
    <x v="266"/>
    <n v="3"/>
    <n v="2015"/>
    <x v="36"/>
    <n v="15001000000"/>
    <n v="6819000000"/>
    <n v="2686000000"/>
    <n v="1580000000"/>
    <n v="0"/>
    <s v="Materials"/>
    <s v="Fertilizers &amp; Agricultural Chemicals"/>
    <n v="0.54543030464635689"/>
    <n v="8182000000"/>
    <n v="0.26104926338244117"/>
    <n v="3916000000"/>
  </r>
  <r>
    <x v="266"/>
    <n v="4"/>
    <n v="2016"/>
    <x v="37"/>
    <n v="13502000000"/>
    <n v="6485000000"/>
    <n v="2833000000"/>
    <n v="1512000000"/>
    <n v="0"/>
    <s v="Materials"/>
    <s v="Fertilizers &amp; Agricultural Chemicals"/>
    <n v="0.51970078506887862"/>
    <n v="7017000000"/>
    <n v="0.19789660790993926"/>
    <n v="2672000000"/>
  </r>
  <r>
    <x v="267"/>
    <n v="1"/>
    <n v="2013"/>
    <x v="85"/>
    <n v="9974100000"/>
    <n v="7213900000"/>
    <n v="550600000"/>
    <n v="0"/>
    <n v="0"/>
    <s v="Materials"/>
    <s v="Fertilizers &amp; Agricultural Chemicals"/>
    <n v="0.27673674817778049"/>
    <n v="2760200000"/>
    <n v="0.22153377247069911"/>
    <n v="2209600000"/>
  </r>
  <r>
    <x v="267"/>
    <n v="2"/>
    <n v="2014"/>
    <x v="2"/>
    <n v="9055800000"/>
    <n v="7129200000"/>
    <n v="505800000"/>
    <n v="0"/>
    <n v="0"/>
    <s v="Materials"/>
    <s v="Fertilizers &amp; Agricultural Chemicals"/>
    <n v="0.21274763135228247"/>
    <n v="1926600000"/>
    <n v="0.15689392433578481"/>
    <n v="1420800000"/>
  </r>
  <r>
    <x v="267"/>
    <n v="3"/>
    <n v="2015"/>
    <x v="3"/>
    <n v="8895300000"/>
    <n v="7177400000"/>
    <n v="439100000"/>
    <n v="0"/>
    <n v="0"/>
    <s v="Materials"/>
    <s v="Fertilizers &amp; Agricultural Chemicals"/>
    <n v="0.1931244589839578"/>
    <n v="1717900000"/>
    <n v="0.14376131215360921"/>
    <n v="1278800000"/>
  </r>
  <r>
    <x v="267"/>
    <n v="4"/>
    <n v="2016"/>
    <x v="12"/>
    <n v="7162800000"/>
    <n v="6352800000"/>
    <n v="491000000"/>
    <n v="0"/>
    <n v="0"/>
    <s v="Materials"/>
    <s v="Fertilizers &amp; Agricultural Chemicals"/>
    <n v="0.11308426872172894"/>
    <n v="810000000"/>
    <n v="4.4535656447199416E-2"/>
    <n v="319000000"/>
  </r>
  <r>
    <x v="268"/>
    <n v="1"/>
    <n v="2012"/>
    <x v="0"/>
    <n v="82243000000"/>
    <n v="68948000000"/>
    <n v="7202000000"/>
    <n v="0"/>
    <n v="995000000"/>
    <s v="Energy"/>
    <s v="Oil &amp; Gas Refining &amp; Marketing &amp; Transportation"/>
    <n v="0.16165509526646649"/>
    <n v="13295000000"/>
    <n v="6.198703841056382E-2"/>
    <n v="5098000000"/>
  </r>
  <r>
    <x v="268"/>
    <n v="2"/>
    <n v="2013"/>
    <x v="1"/>
    <n v="100160000000"/>
    <n v="87758000000"/>
    <n v="7851000000"/>
    <n v="0"/>
    <n v="1220000000"/>
    <s v="Energy"/>
    <s v="Oil &amp; Gas Refining &amp; Marketing &amp; Transportation"/>
    <n v="0.12382188498402558"/>
    <n v="12402000000"/>
    <n v="3.3256789137380192E-2"/>
    <n v="3331000000"/>
  </r>
  <r>
    <x v="268"/>
    <n v="3"/>
    <n v="2014"/>
    <x v="2"/>
    <n v="97817000000"/>
    <n v="84275000000"/>
    <n v="8450000000"/>
    <n v="0"/>
    <n v="1326000000"/>
    <s v="Energy"/>
    <s v="Oil &amp; Gas Refining &amp; Marketing &amp; Transportation"/>
    <n v="0.13844219307482342"/>
    <n v="13542000000"/>
    <n v="3.8500465154318778E-2"/>
    <n v="3766000000"/>
  </r>
  <r>
    <x v="268"/>
    <n v="4"/>
    <n v="2015"/>
    <x v="3"/>
    <n v="72051000000"/>
    <n v="55891000000"/>
    <n v="10029000000"/>
    <n v="0"/>
    <n v="1646000000"/>
    <s v="Energy"/>
    <s v="Oil &amp; Gas Refining &amp; Marketing &amp; Transportation"/>
    <n v="0.22428557549513539"/>
    <n v="16160000000"/>
    <n v="6.2247574634633804E-2"/>
    <n v="4485000000"/>
  </r>
  <r>
    <x v="269"/>
    <n v="1"/>
    <n v="2012"/>
    <x v="0"/>
    <n v="8110000000"/>
    <n v="6781000000"/>
    <n v="1105000000"/>
    <n v="0"/>
    <n v="88000000"/>
    <s v="Health Care"/>
    <s v="Managed Health Care"/>
    <n v="0.16387176325524044"/>
    <n v="1329000000"/>
    <n v="1.6769420468557335E-2"/>
    <n v="136000000"/>
  </r>
  <r>
    <x v="269"/>
    <n v="2"/>
    <n v="2013"/>
    <x v="1"/>
    <n v="10863000000"/>
    <n v="8995000000"/>
    <n v="1264000000"/>
    <n v="0"/>
    <n v="327000000"/>
    <s v="Health Care"/>
    <s v="Managed Health Care"/>
    <n v="0.17195986375770966"/>
    <n v="1868000000"/>
    <n v="2.5499401638589707E-2"/>
    <n v="277000000"/>
  </r>
  <r>
    <x v="269"/>
    <n v="3"/>
    <n v="2014"/>
    <x v="2"/>
    <n v="16560000000"/>
    <n v="12678000000"/>
    <n v="2012000000"/>
    <n v="0"/>
    <n v="1406000000"/>
    <s v="Health Care"/>
    <s v="Managed Health Care"/>
    <n v="0.23442028985507246"/>
    <n v="3882000000"/>
    <n v="2.8019323671497585E-2"/>
    <n v="464000000"/>
  </r>
  <r>
    <x v="269"/>
    <n v="4"/>
    <n v="2015"/>
    <x v="3"/>
    <n v="22760000000"/>
    <n v="17242000000"/>
    <n v="2977000000"/>
    <n v="0"/>
    <n v="1836000000"/>
    <s v="Health Care"/>
    <s v="Managed Health Care"/>
    <n v="0.24244288224956068"/>
    <n v="5518000000"/>
    <n v="3.0975395430579963E-2"/>
    <n v="705000000"/>
  </r>
  <r>
    <x v="270"/>
    <n v="1"/>
    <n v="2012"/>
    <x v="0"/>
    <n v="11966000000"/>
    <n v="2079000000"/>
    <n v="4017000000"/>
    <n v="0"/>
    <n v="2008000000"/>
    <s v="Energy"/>
    <s v="Oil &amp; Gas Exploration &amp; Production"/>
    <n v="0.82625773023566773"/>
    <n v="9887000000"/>
    <n v="0.32274778539194382"/>
    <n v="3862000000"/>
  </r>
  <r>
    <x v="270"/>
    <n v="2"/>
    <n v="2013"/>
    <x v="1"/>
    <n v="11325000000"/>
    <n v="2156000000"/>
    <n v="3469000000"/>
    <n v="0"/>
    <n v="2500000000"/>
    <s v="Energy"/>
    <s v="Oil &amp; Gas Exploration &amp; Production"/>
    <n v="0.80962472406181019"/>
    <n v="9169000000"/>
    <n v="0.282560706401766"/>
    <n v="3200000000"/>
  </r>
  <r>
    <x v="270"/>
    <n v="3"/>
    <n v="2014"/>
    <x v="2"/>
    <n v="10846000000"/>
    <n v="2246000000"/>
    <n v="3627000000"/>
    <n v="0"/>
    <n v="2861000000"/>
    <s v="Energy"/>
    <s v="Oil &amp; Gas Exploration &amp; Production"/>
    <n v="0.79291904849714179"/>
    <n v="8600000000"/>
    <n v="0.1947261663286004"/>
    <n v="2112000000"/>
  </r>
  <r>
    <x v="270"/>
    <n v="4"/>
    <n v="2015"/>
    <x v="3"/>
    <n v="5522000000"/>
    <n v="1694000000"/>
    <n v="1831000000"/>
    <n v="0"/>
    <n v="2957000000"/>
    <s v="Energy"/>
    <s v="Oil &amp; Gas Exploration &amp; Production"/>
    <n v="0.69322709163346619"/>
    <n v="3828000000"/>
    <n v="-0.17385005432814199"/>
    <n v="-960000000"/>
  </r>
  <r>
    <x v="271"/>
    <n v="1"/>
    <n v="2013"/>
    <x v="61"/>
    <n v="77849000000"/>
    <n v="20385000000"/>
    <n v="20289000000"/>
    <n v="10411000000"/>
    <n v="0"/>
    <s v="Information Technology"/>
    <s v="Systems Software"/>
    <n v="0.73814692545825888"/>
    <n v="57464000000"/>
    <n v="0.34379375457616668"/>
    <n v="26764000000"/>
  </r>
  <r>
    <x v="271"/>
    <n v="2"/>
    <n v="2014"/>
    <x v="62"/>
    <n v="86833000000"/>
    <n v="27078000000"/>
    <n v="20488000000"/>
    <n v="11381000000"/>
    <n v="0"/>
    <s v="Information Technology"/>
    <s v="Systems Software"/>
    <n v="0.68816003132449644"/>
    <n v="59755000000"/>
    <n v="0.32114518673776099"/>
    <n v="27886000000"/>
  </r>
  <r>
    <x v="271"/>
    <n v="3"/>
    <n v="2015"/>
    <x v="63"/>
    <n v="93580000000"/>
    <n v="33038000000"/>
    <n v="20324000000"/>
    <n v="12046000000"/>
    <n v="0"/>
    <s v="Information Technology"/>
    <s v="Systems Software"/>
    <n v="0.64695447745244716"/>
    <n v="60542000000"/>
    <n v="0.30104723231459712"/>
    <n v="28172000000"/>
  </r>
  <r>
    <x v="271"/>
    <n v="4"/>
    <n v="2016"/>
    <x v="64"/>
    <n v="85320000000"/>
    <n v="32780000000"/>
    <n v="19260000000"/>
    <n v="11988000000"/>
    <n v="0"/>
    <s v="Information Technology"/>
    <s v="Systems Software"/>
    <n v="0.61579934364744493"/>
    <n v="52540000000"/>
    <n v="0.24955461790904829"/>
    <n v="21292000000"/>
  </r>
  <r>
    <x v="272"/>
    <n v="1"/>
    <n v="2013"/>
    <x v="88"/>
    <n v="1587725000"/>
    <n v="560917000"/>
    <n v="610735000"/>
    <n v="58827000"/>
    <n v="30239000"/>
    <s v="Health Care"/>
    <s v="Health Care Supplies"/>
    <n v="0.64671652836605831"/>
    <n v="1026808000"/>
    <n v="0.20595947031129447"/>
    <n v="327007000"/>
  </r>
  <r>
    <x v="272"/>
    <n v="2"/>
    <n v="2014"/>
    <x v="89"/>
    <n v="1717776000"/>
    <n v="626206000"/>
    <n v="683115000"/>
    <n v="66259000"/>
    <n v="35710000"/>
    <s v="Health Care"/>
    <s v="Health Care Supplies"/>
    <n v="0.63545537951397624"/>
    <n v="1091570000"/>
    <n v="0.17842023639869226"/>
    <n v="306486000"/>
  </r>
  <r>
    <x v="272"/>
    <n v="3"/>
    <n v="2015"/>
    <x v="19"/>
    <n v="1797060000"/>
    <n v="726798000"/>
    <n v="712543000"/>
    <n v="69589000"/>
    <n v="51459000"/>
    <s v="Health Care"/>
    <s v="Health Care Supplies"/>
    <n v="0.59556275249574298"/>
    <n v="1070262000"/>
    <n v="0.13169899725106562"/>
    <n v="236671000"/>
  </r>
  <r>
    <x v="272"/>
    <n v="4"/>
    <n v="2016"/>
    <x v="90"/>
    <n v="1966814000"/>
    <n v="793735000"/>
    <n v="722798000"/>
    <n v="65411000"/>
    <n v="60790000"/>
    <s v="Health Care"/>
    <s v="Health Care Supplies"/>
    <n v="0.59643616529066801"/>
    <n v="1173079000"/>
    <n v="0.16477409658462874"/>
    <n v="324080000"/>
  </r>
  <r>
    <x v="273"/>
    <n v="1"/>
    <n v="2012"/>
    <x v="0"/>
    <n v="7383000000"/>
    <n v="4365000000"/>
    <n v="1742000000"/>
    <n v="0"/>
    <n v="75000000"/>
    <s v="Health Care"/>
    <s v="Health Care Facilities"/>
    <n v="0.40877691995123933"/>
    <n v="3018000000"/>
    <n v="0.16267100094812406"/>
    <n v="1201000000"/>
  </r>
  <r>
    <x v="273"/>
    <n v="2"/>
    <n v="2013"/>
    <x v="1"/>
    <n v="7146000000"/>
    <n v="4326000000"/>
    <n v="1740000000"/>
    <n v="0"/>
    <n v="79000000"/>
    <s v="Health Care"/>
    <s v="Health Care Facilities"/>
    <n v="0.39462636439966414"/>
    <n v="2820000000"/>
    <n v="0.14007836551917158"/>
    <n v="1001000000"/>
  </r>
  <r>
    <x v="273"/>
    <n v="3"/>
    <n v="2014"/>
    <x v="2"/>
    <n v="7435000000"/>
    <n v="4637000000"/>
    <n v="1721000000"/>
    <n v="0"/>
    <n v="94000000"/>
    <s v="Health Care"/>
    <s v="Health Care Facilities"/>
    <n v="0.37632817753866843"/>
    <n v="2798000000"/>
    <n v="0.13221250840618695"/>
    <n v="983000000"/>
  </r>
  <r>
    <x v="273"/>
    <n v="4"/>
    <n v="2015"/>
    <x v="3"/>
    <n v="7493000000"/>
    <n v="4657000000"/>
    <n v="1356000000"/>
    <n v="0"/>
    <n v="81000000"/>
    <s v="Health Care"/>
    <s v="Health Care Facilities"/>
    <n v="0.37848658748164954"/>
    <n v="2836000000"/>
    <n v="0.18670759375417056"/>
    <n v="1399000000"/>
  </r>
  <r>
    <x v="274"/>
    <n v="1"/>
    <n v="2013"/>
    <x v="130"/>
    <n v="9073000000"/>
    <n v="7226000000"/>
    <n v="554000000"/>
    <n v="931000000"/>
    <n v="0"/>
    <s v="Information Technology"/>
    <s v="Semiconductors"/>
    <n v="0.20357103493882944"/>
    <n v="1847000000"/>
    <n v="3.9898600242477683E-2"/>
    <n v="362000000"/>
  </r>
  <r>
    <x v="274"/>
    <n v="2"/>
    <n v="2014"/>
    <x v="131"/>
    <n v="16358000000"/>
    <n v="10921000000"/>
    <n v="939000000"/>
    <n v="1371000000"/>
    <n v="0"/>
    <s v="Information Technology"/>
    <s v="Semiconductors"/>
    <n v="0.33237559603863553"/>
    <n v="5437000000"/>
    <n v="0.19116028854383177"/>
    <n v="3127000000"/>
  </r>
  <r>
    <x v="274"/>
    <n v="3"/>
    <n v="2015"/>
    <x v="132"/>
    <n v="16192000000"/>
    <n v="10977000000"/>
    <n v="674000000"/>
    <n v="1540000000"/>
    <n v="0"/>
    <s v="Information Technology"/>
    <s v="Semiconductors"/>
    <n v="0.32207262845849804"/>
    <n v="5215000000"/>
    <n v="0.18533843873517786"/>
    <n v="3001000000"/>
  </r>
  <r>
    <x v="274"/>
    <n v="4"/>
    <n v="2016"/>
    <x v="133"/>
    <n v="12399000000"/>
    <n v="9894000000"/>
    <n v="653000000"/>
    <n v="1617000000"/>
    <n v="0"/>
    <s v="Information Technology"/>
    <s v="Semiconductors"/>
    <n v="0.20203242196951365"/>
    <n v="2505000000"/>
    <n v="1.8953141382369545E-2"/>
    <n v="235000000"/>
  </r>
  <r>
    <x v="275"/>
    <n v="1"/>
    <n v="2012"/>
    <x v="0"/>
    <n v="4608563000"/>
    <n v="1079136000"/>
    <n v="285144000"/>
    <n v="0"/>
    <n v="1291456000"/>
    <s v="Energy"/>
    <s v="Integrated Oil &amp; Gas"/>
    <n v="0.76584110925683335"/>
    <n v="3529427000"/>
    <n v="0.42373880968970157"/>
    <n v="1952827000"/>
  </r>
  <r>
    <x v="275"/>
    <n v="2"/>
    <n v="2013"/>
    <x v="1"/>
    <n v="5312686000"/>
    <n v="1252812000"/>
    <n v="466498000"/>
    <n v="0"/>
    <n v="1602390000"/>
    <s v="Energy"/>
    <s v="Integrated Oil &amp; Gas"/>
    <n v="0.76418482101144314"/>
    <n v="4059874000"/>
    <n v="0.37476071426016894"/>
    <n v="1990986000"/>
  </r>
  <r>
    <x v="275"/>
    <n v="3"/>
    <n v="2014"/>
    <x v="2"/>
    <n v="5288933000"/>
    <n v="1089888000"/>
    <n v="471219000"/>
    <n v="0"/>
    <n v="1957025000"/>
    <s v="Energy"/>
    <s v="Integrated Oil &amp; Gas"/>
    <n v="0.79393045818504415"/>
    <n v="4199045000"/>
    <n v="0.33481252267706929"/>
    <n v="1770801000"/>
  </r>
  <r>
    <x v="275"/>
    <n v="4"/>
    <n v="2015"/>
    <x v="3"/>
    <n v="2787116000"/>
    <n v="832306000"/>
    <n v="372457000"/>
    <n v="0"/>
    <n v="1668489000"/>
    <s v="Energy"/>
    <s v="Integrated Oil &amp; Gas"/>
    <n v="0.70137374978292977"/>
    <n v="1954810000"/>
    <n v="-3.0905064590063709E-2"/>
    <n v="-86136000"/>
  </r>
  <r>
    <x v="276"/>
    <n v="1"/>
    <n v="2012"/>
    <x v="0"/>
    <n v="8186280000"/>
    <n v="5583549000"/>
    <n v="889879000"/>
    <n v="0"/>
    <n v="341969000"/>
    <s v="Health Care"/>
    <s v="Health Care Facilities"/>
    <n v="0.31793818437678656"/>
    <n v="2602731000"/>
    <n v="0.16746104457702399"/>
    <n v="1370883000"/>
  </r>
  <r>
    <x v="276"/>
    <n v="2"/>
    <n v="2013"/>
    <x v="1"/>
    <n v="11764050000"/>
    <n v="8198377000"/>
    <n v="1516508000"/>
    <n v="0"/>
    <n v="528737000"/>
    <s v="Health Care"/>
    <s v="Health Care Facilities"/>
    <n v="0.30309910277497976"/>
    <n v="3565673000"/>
    <n v="0.12924358532988214"/>
    <n v="1520428000"/>
  </r>
  <r>
    <x v="277"/>
    <n v="1"/>
    <n v="2013"/>
    <x v="1"/>
    <n v="5015000000"/>
    <n v="844000000"/>
    <n v="446000000"/>
    <n v="0"/>
    <n v="1568000000"/>
    <s v="Energy"/>
    <s v="Oil &amp; Gas Exploration &amp; Production"/>
    <n v="0.83170488534396814"/>
    <n v="4171000000"/>
    <n v="0.43010967098703889"/>
    <n v="2157000000"/>
  </r>
  <r>
    <x v="277"/>
    <n v="2"/>
    <n v="2014"/>
    <x v="2"/>
    <n v="5115000000"/>
    <n v="945000000"/>
    <n v="495000000"/>
    <n v="0"/>
    <n v="1759000000"/>
    <s v="Energy"/>
    <s v="Oil &amp; Gas Exploration &amp; Production"/>
    <n v="0.81524926686217003"/>
    <n v="4170000000"/>
    <n v="0.37458455522971651"/>
    <n v="1916000000"/>
  </r>
  <r>
    <x v="277"/>
    <n v="3"/>
    <n v="2015"/>
    <x v="3"/>
    <n v="3183000000"/>
    <n v="979000000"/>
    <n v="745000000"/>
    <n v="0"/>
    <n v="2131000000"/>
    <s v="Energy"/>
    <s v="Oil &amp; Gas Exploration &amp; Production"/>
    <n v="0.69242852654728249"/>
    <n v="2204000000"/>
    <n v="-0.21112158341187559"/>
    <n v="-672000000"/>
  </r>
  <r>
    <x v="277"/>
    <n v="4"/>
    <n v="2016"/>
    <x v="12"/>
    <n v="3491000000"/>
    <n v="1083000000"/>
    <n v="233000000"/>
    <n v="0"/>
    <n v="2454000000"/>
    <s v="Energy"/>
    <s v="Oil &amp; Gas Exploration &amp; Production"/>
    <n v="0.68977370380979663"/>
    <n v="2408000000"/>
    <n v="-7.9919793755370949E-2"/>
    <n v="-279000000"/>
  </r>
  <r>
    <x v="276"/>
    <n v="3"/>
    <n v="2014"/>
    <x v="2"/>
    <n v="12795106000"/>
    <n v="9119305000"/>
    <n v="1278506000"/>
    <n v="0"/>
    <n v="590935000"/>
    <s v="Health Care"/>
    <s v="Health Care Facilities"/>
    <n v="0.28728179352324246"/>
    <n v="3675801000"/>
    <n v="0.14117585270493266"/>
    <n v="1806360000"/>
  </r>
  <r>
    <x v="276"/>
    <n v="4"/>
    <n v="2015"/>
    <x v="3"/>
    <n v="13781837000"/>
    <n v="9824834000"/>
    <n v="1947135000"/>
    <n v="0"/>
    <n v="638024000"/>
    <s v="Health Care"/>
    <s v="Health Care Facilities"/>
    <n v="0.28711723988609061"/>
    <n v="3957003000"/>
    <n v="9.9539996010691467E-2"/>
    <n v="1371844000"/>
  </r>
  <r>
    <x v="278"/>
    <n v="1"/>
    <n v="2012"/>
    <x v="0"/>
    <n v="1899600000"/>
    <n v="491000000"/>
    <n v="697400000"/>
    <n v="291300000"/>
    <n v="0"/>
    <s v="Health Care"/>
    <s v="Health Care Equipment"/>
    <n v="0.74152453148031161"/>
    <n v="1408600000"/>
    <n v="0.22104653611286587"/>
    <n v="419900000"/>
  </r>
  <r>
    <x v="278"/>
    <n v="2"/>
    <n v="2013"/>
    <x v="1"/>
    <n v="2045500000"/>
    <n v="516600000"/>
    <n v="749700000"/>
    <n v="323000000"/>
    <n v="0"/>
    <s v="Health Care"/>
    <s v="Health Care Equipment"/>
    <n v="0.74744561231972617"/>
    <n v="1528900000"/>
    <n v="0.2230261549743339"/>
    <n v="456200000"/>
  </r>
  <r>
    <x v="279"/>
    <n v="1"/>
    <n v="2012"/>
    <x v="0"/>
    <n v="14256000000"/>
    <n v="8276000000"/>
    <n v="1186000000"/>
    <n v="0"/>
    <n v="1518000000"/>
    <s v="Utilities"/>
    <s v="MultiUtilities"/>
    <n v="0.41947250280583614"/>
    <n v="5980000000"/>
    <n v="0.22979797979797981"/>
    <n v="3276000000"/>
  </r>
  <r>
    <x v="279"/>
    <n v="2"/>
    <n v="2013"/>
    <x v="1"/>
    <n v="15136000000"/>
    <n v="8152000000"/>
    <n v="1280000000"/>
    <n v="0"/>
    <n v="2163000000"/>
    <s v="Utilities"/>
    <s v="MultiUtilities"/>
    <n v="0.46141649048625788"/>
    <n v="6984000000"/>
    <n v="0.23394556025369978"/>
    <n v="3541000000"/>
  </r>
  <r>
    <x v="279"/>
    <n v="3"/>
    <n v="2014"/>
    <x v="2"/>
    <n v="17021000000"/>
    <n v="8751000000"/>
    <n v="1324000000"/>
    <n v="0"/>
    <n v="2551000000"/>
    <s v="Utilities"/>
    <s v="MultiUtilities"/>
    <n v="0.48587039539392518"/>
    <n v="8270000000"/>
    <n v="0.25821044591974618"/>
    <n v="4395000000"/>
  </r>
  <r>
    <x v="279"/>
    <n v="4"/>
    <n v="2015"/>
    <x v="3"/>
    <n v="17486000000"/>
    <n v="8596000000"/>
    <n v="1399000000"/>
    <n v="0"/>
    <n v="2831000000"/>
    <s v="Utilities"/>
    <s v="MultiUtilities"/>
    <n v="0.50840672538030418"/>
    <n v="8890000000"/>
    <n v="0.26649891341644744"/>
    <n v="4660000000"/>
  </r>
  <r>
    <x v="280"/>
    <n v="1"/>
    <n v="2012"/>
    <x v="0"/>
    <n v="9964000000"/>
    <n v="4334000000"/>
    <n v="757000000"/>
    <n v="704000000"/>
    <n v="1032000000"/>
    <s v="Materials"/>
    <s v="Gold"/>
    <n v="0.56503412284223198"/>
    <n v="5630000000"/>
    <n v="0.31483340024086715"/>
    <n v="3137000000"/>
  </r>
  <r>
    <x v="280"/>
    <n v="2"/>
    <n v="2013"/>
    <x v="1"/>
    <n v="8414000000"/>
    <n v="5299000000"/>
    <n v="584000000"/>
    <n v="469000000"/>
    <n v="1362000000"/>
    <s v="Materials"/>
    <s v="Gold"/>
    <n v="0.37021630615640599"/>
    <n v="3115000000"/>
    <n v="8.3194675540765387E-2"/>
    <n v="700000000"/>
  </r>
  <r>
    <x v="280"/>
    <n v="3"/>
    <n v="2014"/>
    <x v="2"/>
    <n v="7292000000"/>
    <n v="4457000000"/>
    <n v="545000000"/>
    <n v="325000000"/>
    <n v="1229000000"/>
    <s v="Materials"/>
    <s v="Gold"/>
    <n v="0.38878222709818977"/>
    <n v="2835000000"/>
    <n v="0.10093252879868349"/>
    <n v="736000000"/>
  </r>
  <r>
    <x v="280"/>
    <n v="4"/>
    <n v="2015"/>
    <x v="3"/>
    <n v="7729000000"/>
    <n v="4312000000"/>
    <n v="670000000"/>
    <n v="289000000"/>
    <n v="1239000000"/>
    <s v="Materials"/>
    <s v="Gold"/>
    <n v="0.44210117738387888"/>
    <n v="3417000000"/>
    <n v="0.15771768663475222"/>
    <n v="1219000000"/>
  </r>
  <r>
    <x v="281"/>
    <n v="1"/>
    <n v="2013"/>
    <x v="1"/>
    <n v="4374562000"/>
    <n v="3117203000"/>
    <n v="650243000"/>
    <n v="378769000"/>
    <n v="0"/>
    <s v="Information Technology"/>
    <s v="Internet Software &amp; Services"/>
    <n v="0.28742511821754957"/>
    <n v="1257359000"/>
    <n v="5.2198825848164911E-2"/>
    <n v="228347000"/>
  </r>
  <r>
    <x v="281"/>
    <n v="2"/>
    <n v="2014"/>
    <x v="2"/>
    <n v="5504656000"/>
    <n v="3752760000"/>
    <n v="876927000"/>
    <n v="472321000"/>
    <n v="0"/>
    <s v="Information Technology"/>
    <s v="Internet Software &amp; Services"/>
    <n v="0.31825712633087333"/>
    <n v="1751896000"/>
    <n v="7.3146805177289914E-2"/>
    <n v="402648000"/>
  </r>
  <r>
    <x v="281"/>
    <n v="3"/>
    <n v="2015"/>
    <x v="3"/>
    <n v="6779511000"/>
    <n v="4591476000"/>
    <n v="1231421000"/>
    <n v="650788000"/>
    <n v="0"/>
    <s v="Information Technology"/>
    <s v="Internet Software &amp; Services"/>
    <n v="0.32274230398033132"/>
    <n v="2188035000"/>
    <n v="4.5110333178897413E-2"/>
    <n v="305826000"/>
  </r>
  <r>
    <x v="281"/>
    <n v="4"/>
    <n v="2016"/>
    <x v="12"/>
    <n v="8830669000"/>
    <n v="6029901000"/>
    <n v="1568877000"/>
    <n v="852098000"/>
    <n v="0"/>
    <s v="Information Technology"/>
    <s v="Internet Software &amp; Services"/>
    <n v="0.31716373923651764"/>
    <n v="2800768000"/>
    <n v="4.3008406271370835E-2"/>
    <n v="379793000"/>
  </r>
  <r>
    <x v="282"/>
    <n v="1"/>
    <n v="2012"/>
    <x v="0"/>
    <n v="1562000000"/>
    <n v="413000000"/>
    <n v="311000000"/>
    <n v="0"/>
    <n v="704000000"/>
    <s v="Energy"/>
    <s v="Oil &amp; Gas Exploration &amp; Production"/>
    <n v="0.73559539052496792"/>
    <n v="1149000000"/>
    <n v="8.5787451984635082E-2"/>
    <n v="134000000"/>
  </r>
  <r>
    <x v="282"/>
    <n v="2"/>
    <n v="2013"/>
    <x v="1"/>
    <n v="1857000000"/>
    <n v="411000000"/>
    <n v="311000000"/>
    <n v="0"/>
    <n v="685000000"/>
    <s v="Energy"/>
    <s v="Oil &amp; Gas Exploration &amp; Production"/>
    <n v="0.77867528271405495"/>
    <n v="1446000000"/>
    <n v="0.24232633279483037"/>
    <n v="450000000"/>
  </r>
  <r>
    <x v="282"/>
    <n v="3"/>
    <n v="2014"/>
    <x v="2"/>
    <n v="2288000000"/>
    <n v="485000000"/>
    <n v="358000000"/>
    <n v="0"/>
    <n v="870000000"/>
    <s v="Energy"/>
    <s v="Oil &amp; Gas Exploration &amp; Production"/>
    <n v="0.78802447552447552"/>
    <n v="1803000000"/>
    <n v="0.2513111888111888"/>
    <n v="575000000"/>
  </r>
  <r>
    <x v="282"/>
    <n v="4"/>
    <n v="2015"/>
    <x v="3"/>
    <n v="1557000000"/>
    <n v="497000000"/>
    <n v="5204000000"/>
    <n v="0"/>
    <n v="917000000"/>
    <s v="Energy"/>
    <s v="Oil &amp; Gas Exploration &amp; Production"/>
    <n v="0.680796403339756"/>
    <n v="1060000000"/>
    <n v="-3.2504816955684008"/>
    <n v="-5061000000"/>
  </r>
  <r>
    <x v="283"/>
    <n v="1"/>
    <n v="2013"/>
    <x v="85"/>
    <n v="25313000000"/>
    <n v="14279000000"/>
    <n v="7796000000"/>
    <n v="0"/>
    <n v="0"/>
    <s v="Consumer Discretionary"/>
    <s v="Apparel, Accessories &amp; Luxury Goods"/>
    <n v="0.4359025006913444"/>
    <n v="11034000000"/>
    <n v="0.12791846086990874"/>
    <n v="3238000000"/>
  </r>
  <r>
    <x v="283"/>
    <n v="2"/>
    <n v="2014"/>
    <x v="86"/>
    <n v="27799000000"/>
    <n v="15353000000"/>
    <n v="8766000000"/>
    <n v="0"/>
    <n v="0"/>
    <s v="Consumer Discretionary"/>
    <s v="Apparel, Accessories &amp; Luxury Goods"/>
    <n v="0.44771394654483976"/>
    <n v="12446000000"/>
    <n v="0.13237886254901254"/>
    <n v="3680000000"/>
  </r>
  <r>
    <x v="283"/>
    <n v="3"/>
    <n v="2015"/>
    <x v="55"/>
    <n v="30601000000"/>
    <n v="16534000000"/>
    <n v="9892000000"/>
    <n v="0"/>
    <n v="0"/>
    <s v="Consumer Discretionary"/>
    <s v="Apparel, Accessories &amp; Luxury Goods"/>
    <n v="0.45969085977582436"/>
    <n v="14067000000"/>
    <n v="0.13643344988725858"/>
    <n v="4175000000"/>
  </r>
  <r>
    <x v="283"/>
    <n v="4"/>
    <n v="2016"/>
    <x v="87"/>
    <n v="32376000000"/>
    <n v="17405000000"/>
    <n v="10469000000"/>
    <n v="0"/>
    <n v="0"/>
    <s v="Consumer Discretionary"/>
    <s v="Apparel, Accessories &amp; Luxury Goods"/>
    <n v="0.46241042747714356"/>
    <n v="14971000000"/>
    <n v="0.13905361996540647"/>
    <n v="4502000000"/>
  </r>
  <r>
    <x v="284"/>
    <n v="1"/>
    <n v="2013"/>
    <x v="1"/>
    <n v="5703000000"/>
    <n v="2398000000"/>
    <n v="1815000000"/>
    <n v="0"/>
    <n v="510000000"/>
    <s v="Industrials"/>
    <s v="Research &amp; Consulting Services"/>
    <n v="0.57951955111344899"/>
    <n v="3305000000"/>
    <n v="0.17183938278099245"/>
    <n v="980000000"/>
  </r>
  <r>
    <x v="284"/>
    <n v="2"/>
    <n v="2014"/>
    <x v="2"/>
    <n v="6288000000"/>
    <n v="2620000000"/>
    <n v="1917000000"/>
    <n v="0"/>
    <n v="573000000"/>
    <s v="Industrials"/>
    <s v="Research &amp; Consulting Services"/>
    <n v="0.58333333333333326"/>
    <n v="3668000000"/>
    <n v="0.18734096692111959"/>
    <n v="1178000000"/>
  </r>
  <r>
    <x v="284"/>
    <n v="3"/>
    <n v="2015"/>
    <x v="3"/>
    <n v="6172000000"/>
    <n v="2539000000"/>
    <n v="1915000000"/>
    <n v="0"/>
    <n v="574000000"/>
    <s v="Industrials"/>
    <s v="Research &amp; Consulting Services"/>
    <n v="0.58862605314322747"/>
    <n v="3633000000"/>
    <n v="0.18535320803629293"/>
    <n v="1144000000"/>
  </r>
  <r>
    <x v="284"/>
    <n v="4"/>
    <n v="2016"/>
    <x v="12"/>
    <n v="6309000000"/>
    <n v="2607000000"/>
    <n v="1851000000"/>
    <n v="0"/>
    <n v="603000000"/>
    <s v="Industrials"/>
    <s v="Research &amp; Consulting Services"/>
    <n v="0.58678078934854971"/>
    <n v="3702000000"/>
    <n v="0.19781264859724204"/>
    <n v="1248000000"/>
  </r>
  <r>
    <x v="285"/>
    <n v="1"/>
    <n v="2012"/>
    <x v="0"/>
    <n v="17194000000"/>
    <n v="12151000000"/>
    <n v="1654000000"/>
    <n v="0"/>
    <n v="0"/>
    <s v="Energy"/>
    <s v="Oil &amp; Gas Equipment &amp; Services"/>
    <n v="0.29329998836803539"/>
    <n v="5043000000"/>
    <n v="0.19710364080493195"/>
    <n v="3389000000"/>
  </r>
  <r>
    <x v="285"/>
    <n v="2"/>
    <n v="2013"/>
    <x v="1"/>
    <n v="19221000000"/>
    <n v="14117000000"/>
    <n v="1905000000"/>
    <n v="0"/>
    <n v="0"/>
    <s v="Energy"/>
    <s v="Oil &amp; Gas Equipment &amp; Services"/>
    <n v="0.26554289579106183"/>
    <n v="5104000000"/>
    <n v="0.16643254773424901"/>
    <n v="3199000000"/>
  </r>
  <r>
    <x v="285"/>
    <n v="3"/>
    <n v="2014"/>
    <x v="2"/>
    <n v="21440000000"/>
    <n v="15631000000"/>
    <n v="2092000000"/>
    <n v="0"/>
    <n v="0"/>
    <s v="Energy"/>
    <s v="Oil &amp; Gas Equipment &amp; Services"/>
    <n v="0.27094216417910444"/>
    <n v="5809000000"/>
    <n v="0.17336753731343282"/>
    <n v="3717000000"/>
  </r>
  <r>
    <x v="285"/>
    <n v="4"/>
    <n v="2015"/>
    <x v="3"/>
    <n v="14757000000"/>
    <n v="11694000000"/>
    <n v="1764000000"/>
    <n v="0"/>
    <n v="0"/>
    <s v="Energy"/>
    <s v="Oil &amp; Gas Equipment &amp; Services"/>
    <n v="0.20756251270583448"/>
    <n v="3063000000"/>
    <n v="8.8026021549095348E-2"/>
    <n v="1299000000"/>
  </r>
  <r>
    <x v="286"/>
    <n v="1"/>
    <n v="2013"/>
    <x v="1"/>
    <n v="11245000000"/>
    <n v="4070000000"/>
    <n v="3002000000"/>
    <n v="0"/>
    <n v="916000000"/>
    <s v="Industrials"/>
    <s v="Railroads"/>
    <n v="0.63806136060471319"/>
    <n v="7175000000"/>
    <n v="0.28963983992885728"/>
    <n v="3257000000"/>
  </r>
  <r>
    <x v="286"/>
    <n v="2"/>
    <n v="2014"/>
    <x v="2"/>
    <n v="11624000000"/>
    <n v="4201000000"/>
    <n v="2897000000"/>
    <n v="0"/>
    <n v="951000000"/>
    <s v="Industrials"/>
    <s v="Railroads"/>
    <n v="0.63859256710254653"/>
    <n v="7423000000"/>
    <n v="0.30755333792154166"/>
    <n v="3575000000"/>
  </r>
  <r>
    <x v="286"/>
    <n v="3"/>
    <n v="2015"/>
    <x v="3"/>
    <n v="10511000000"/>
    <n v="3662000000"/>
    <n v="2911000000"/>
    <n v="0"/>
    <n v="1054000000"/>
    <s v="Industrials"/>
    <s v="Railroads"/>
    <n v="0.65160308248501564"/>
    <n v="6849000000"/>
    <n v="0.27437922176767199"/>
    <n v="2884000000"/>
  </r>
  <r>
    <x v="286"/>
    <n v="4"/>
    <n v="2016"/>
    <x v="12"/>
    <n v="9888000000"/>
    <n v="3045000000"/>
    <n v="2743000000"/>
    <n v="0"/>
    <n v="1026000000"/>
    <s v="Industrials"/>
    <s v="Railroads"/>
    <n v="0.69205097087378642"/>
    <n v="6843000000"/>
    <n v="0.31088187702265374"/>
    <n v="3074000000"/>
  </r>
  <r>
    <x v="287"/>
    <n v="1"/>
    <n v="2013"/>
    <x v="134"/>
    <n v="6332400000"/>
    <n v="2571300000"/>
    <n v="2247400000"/>
    <n v="904200000"/>
    <n v="0"/>
    <s v="Information Technology"/>
    <s v="Internet Software &amp; Services"/>
    <n v="0.59394542353610014"/>
    <n v="3761100000"/>
    <n v="9.6251026467058298E-2"/>
    <n v="609500000"/>
  </r>
  <r>
    <x v="287"/>
    <n v="2"/>
    <n v="2014"/>
    <x v="135"/>
    <n v="6325000000"/>
    <n v="2406000000"/>
    <n v="2179000000"/>
    <n v="918000000"/>
    <n v="0"/>
    <s v="Information Technology"/>
    <s v="Internet Software &amp; Services"/>
    <n v="0.61960474308300395"/>
    <n v="3919000000"/>
    <n v="0.12996047430830041"/>
    <n v="822000000"/>
  </r>
  <r>
    <x v="287"/>
    <n v="3"/>
    <n v="2015"/>
    <x v="136"/>
    <n v="6123000000"/>
    <n v="2290000000"/>
    <n v="2197000000"/>
    <n v="920000000"/>
    <n v="0"/>
    <s v="Information Technology"/>
    <s v="Internet Software &amp; Services"/>
    <n v="0.62600032663726934"/>
    <n v="3833000000"/>
    <n v="0.11693614241384942"/>
    <n v="716000000"/>
  </r>
  <r>
    <x v="287"/>
    <n v="4"/>
    <n v="2016"/>
    <x v="137"/>
    <n v="5546000000"/>
    <n v="2173000000"/>
    <n v="2099000000"/>
    <n v="861000000"/>
    <n v="0"/>
    <s v="Information Technology"/>
    <s v="Internet Software &amp; Services"/>
    <n v="0.60818608005769925"/>
    <n v="3373000000"/>
    <n v="7.4468085106382975E-2"/>
    <n v="413000000"/>
  </r>
  <r>
    <x v="288"/>
    <n v="1"/>
    <n v="2012"/>
    <x v="0"/>
    <n v="19429273000"/>
    <n v="17915735000"/>
    <n v="454900000"/>
    <n v="0"/>
    <n v="0"/>
    <s v="Materials"/>
    <s v="Steel"/>
    <n v="7.7899878188957494E-2"/>
    <n v="1513538000"/>
    <n v="5.448675305555694E-2"/>
    <n v="1058638000"/>
  </r>
  <r>
    <x v="288"/>
    <n v="2"/>
    <n v="2013"/>
    <x v="1"/>
    <n v="19052046000"/>
    <n v="17641421000"/>
    <n v="467904000"/>
    <n v="0"/>
    <n v="0"/>
    <s v="Materials"/>
    <s v="Steel"/>
    <n v="7.4040604352939354E-2"/>
    <n v="1410625000"/>
    <n v="4.9481352291507172E-2"/>
    <n v="942721000"/>
  </r>
  <r>
    <x v="288"/>
    <n v="3"/>
    <n v="2014"/>
    <x v="2"/>
    <n v="21105141000"/>
    <n v="19198615000"/>
    <n v="520805000"/>
    <n v="0"/>
    <n v="0"/>
    <s v="Materials"/>
    <s v="Steel"/>
    <n v="9.03346724857228E-2"/>
    <n v="1906526000"/>
    <n v="6.5657983521645272E-2"/>
    <n v="1385721000"/>
  </r>
  <r>
    <x v="288"/>
    <n v="4"/>
    <n v="2015"/>
    <x v="3"/>
    <n v="16439276000"/>
    <n v="14858014000"/>
    <n v="458989000"/>
    <n v="0"/>
    <n v="0"/>
    <s v="Materials"/>
    <s v="Steel"/>
    <n v="9.6188055970348074E-2"/>
    <n v="1581262000"/>
    <n v="6.8267787462172907E-2"/>
    <n v="1122273000"/>
  </r>
  <r>
    <x v="289"/>
    <n v="1"/>
    <n v="2013"/>
    <x v="138"/>
    <n v="4280159000"/>
    <n v="2053816000"/>
    <n v="430822000"/>
    <n v="1147282000"/>
    <n v="0"/>
    <s v="Information Technology"/>
    <s v="Semiconductors"/>
    <n v="0.52015427464260089"/>
    <n v="2226343000"/>
    <n v="0.15145208390622872"/>
    <n v="648239000"/>
  </r>
  <r>
    <x v="289"/>
    <n v="2"/>
    <n v="2014"/>
    <x v="139"/>
    <n v="4130000000"/>
    <n v="1862000000"/>
    <n v="436000000"/>
    <n v="1336000000"/>
    <n v="0"/>
    <s v="Information Technology"/>
    <s v="Semiconductors"/>
    <n v="0.54915254237288136"/>
    <n v="2268000000"/>
    <n v="0.12009685230024213"/>
    <n v="496000000"/>
  </r>
  <r>
    <x v="289"/>
    <n v="3"/>
    <n v="2015"/>
    <x v="140"/>
    <n v="4682000000"/>
    <n v="2083000000"/>
    <n v="480000000"/>
    <n v="1360000000"/>
    <n v="0"/>
    <s v="Information Technology"/>
    <s v="Semiconductors"/>
    <n v="0.55510465612985904"/>
    <n v="2599000000"/>
    <n v="0.16211020931225972"/>
    <n v="759000000"/>
  </r>
  <r>
    <x v="289"/>
    <n v="4"/>
    <n v="2016"/>
    <x v="24"/>
    <n v="5010000000"/>
    <n v="2199000000"/>
    <n v="602000000"/>
    <n v="1331000000"/>
    <n v="0"/>
    <s v="Information Technology"/>
    <s v="Semiconductors"/>
    <n v="0.56107784431137731"/>
    <n v="2811000000"/>
    <n v="0.17524950099800399"/>
    <n v="878000000"/>
  </r>
  <r>
    <x v="290"/>
    <n v="1"/>
    <n v="2012"/>
    <x v="0"/>
    <n v="5508500000"/>
    <n v="3414400000"/>
    <n v="1403500000"/>
    <n v="0"/>
    <n v="0"/>
    <s v="Consumer Discretionary"/>
    <s v="Housewares &amp; Specialties"/>
    <n v="0.3801579377325951"/>
    <n v="2094100000"/>
    <n v="0.12536988290823273"/>
    <n v="690600000"/>
  </r>
  <r>
    <x v="290"/>
    <n v="2"/>
    <n v="2013"/>
    <x v="1"/>
    <n v="5607000000"/>
    <n v="3482100000"/>
    <n v="1399500000"/>
    <n v="0"/>
    <n v="0"/>
    <s v="Consumer Discretionary"/>
    <s v="Housewares &amp; Specialties"/>
    <n v="0.37897271268057786"/>
    <n v="2124900000"/>
    <n v="0.12937399678972714"/>
    <n v="725400000"/>
  </r>
  <r>
    <x v="290"/>
    <n v="3"/>
    <n v="2014"/>
    <x v="2"/>
    <n v="5727000000"/>
    <n v="3523600000"/>
    <n v="1545900000"/>
    <n v="0"/>
    <n v="0"/>
    <s v="Consumer Discretionary"/>
    <s v="Housewares &amp; Specialties"/>
    <n v="0.3847389558232932"/>
    <n v="2203400000"/>
    <n v="0.11480705430417322"/>
    <n v="657500000"/>
  </r>
  <r>
    <x v="290"/>
    <n v="4"/>
    <n v="2015"/>
    <x v="3"/>
    <n v="5915700000"/>
    <n v="3611100000"/>
    <n v="1626000000"/>
    <n v="0"/>
    <n v="0"/>
    <s v="Consumer Discretionary"/>
    <s v="Housewares &amp; Specialties"/>
    <n v="0.38957350778437039"/>
    <n v="2304600000"/>
    <n v="0.11471169937623611"/>
    <n v="678600000"/>
  </r>
  <r>
    <x v="291"/>
    <n v="1"/>
    <n v="2012"/>
    <x v="0"/>
    <n v="484581000"/>
    <n v="21306000"/>
    <n v="38123000"/>
    <n v="0"/>
    <n v="147515000"/>
    <s v="Real Estate"/>
    <s v="Retail REITs"/>
    <n v="0.95603211846935809"/>
    <n v="463275000"/>
    <n v="0.57294239765900845"/>
    <n v="277637000"/>
  </r>
  <r>
    <x v="291"/>
    <n v="2"/>
    <n v="2013"/>
    <x v="1"/>
    <n v="780209000"/>
    <n v="38851000"/>
    <n v="56881000"/>
    <n v="0"/>
    <n v="306769000"/>
    <s v="Real Estate"/>
    <s v="Retail REITs"/>
    <n v="0.95020436831669464"/>
    <n v="741358000"/>
    <n v="0.48411130863653201"/>
    <n v="377708000"/>
  </r>
  <r>
    <x v="291"/>
    <n v="3"/>
    <n v="2014"/>
    <x v="2"/>
    <n v="933505000"/>
    <n v="53871000"/>
    <n v="51085000"/>
    <n v="0"/>
    <n v="374661000"/>
    <s v="Real Estate"/>
    <s v="Retail REITs"/>
    <n v="0.94229168563639187"/>
    <n v="879634000"/>
    <n v="0.48621914183641224"/>
    <n v="453888000"/>
  </r>
  <r>
    <x v="291"/>
    <n v="4"/>
    <n v="2015"/>
    <x v="3"/>
    <n v="1023285000"/>
    <n v="55352000"/>
    <n v="49298000"/>
    <n v="0"/>
    <n v="409215000"/>
    <s v="Real Estate"/>
    <s v="Retail REITs"/>
    <n v="0.94590754286440237"/>
    <n v="967933000"/>
    <n v="0.4978280733129089"/>
    <n v="509420000"/>
  </r>
  <r>
    <x v="292"/>
    <n v="1"/>
    <n v="2012"/>
    <x v="0"/>
    <n v="10184121000"/>
    <n v="8540319000"/>
    <n v="491725000"/>
    <n v="0"/>
    <n v="205334000"/>
    <s v="Energy"/>
    <s v="Oil &amp; Gas Exploration &amp; Production"/>
    <n v="0.16140833362054519"/>
    <n v="1643802000"/>
    <n v="9.2962662167898433E-2"/>
    <n v="946743000"/>
  </r>
  <r>
    <x v="292"/>
    <n v="2"/>
    <n v="2013"/>
    <x v="1"/>
    <n v="11871879000"/>
    <n v="10222213000"/>
    <n v="541586000"/>
    <n v="0"/>
    <n v="239343000"/>
    <s v="Energy"/>
    <s v="Oil &amp; Gas Exploration &amp; Production"/>
    <n v="0.13895576260506026"/>
    <n v="1649666000"/>
    <n v="7.3176032201810681E-2"/>
    <n v="868737000"/>
  </r>
  <r>
    <x v="292"/>
    <n v="3"/>
    <n v="2014"/>
    <x v="2"/>
    <n v="12195091000"/>
    <n v="10088548000"/>
    <n v="674887000"/>
    <n v="0"/>
    <n v="294684000"/>
    <s v="Energy"/>
    <s v="Oil &amp; Gas Exploration &amp; Production"/>
    <n v="0.17273696440641562"/>
    <n v="2106543000"/>
    <n v="9.3231940622665294E-2"/>
    <n v="1136972000"/>
  </r>
  <r>
    <x v="292"/>
    <n v="4"/>
    <n v="2015"/>
    <x v="3"/>
    <n v="7763206000"/>
    <n v="5641052000"/>
    <n v="693331000"/>
    <n v="0"/>
    <n v="354620000"/>
    <s v="Energy"/>
    <s v="Oil &amp; Gas Exploration &amp; Production"/>
    <n v="0.27336051626093649"/>
    <n v="2122154000"/>
    <n v="0.13837105443292372"/>
    <n v="1074203000"/>
  </r>
  <r>
    <x v="293"/>
    <n v="1"/>
    <n v="2014"/>
    <x v="2"/>
    <n v="15317800000"/>
    <n v="12602100000"/>
    <n v="477200000"/>
    <n v="0"/>
    <n v="294400000"/>
    <s v="Consumer Discretionary"/>
    <s v="Advertising"/>
    <n v="0.17729047252216379"/>
    <n v="2715700000"/>
    <n v="0.12691770358667695"/>
    <n v="1944100000"/>
  </r>
  <r>
    <x v="293"/>
    <n v="2"/>
    <n v="2015"/>
    <x v="3"/>
    <n v="15134400000"/>
    <n v="12491400000"/>
    <n v="431800000"/>
    <n v="0"/>
    <n v="291100000"/>
    <s v="Consumer Discretionary"/>
    <s v="Advertising"/>
    <n v="0.17463526799873141"/>
    <n v="2643000000"/>
    <n v="0.12686991225288086"/>
    <n v="1920100000"/>
  </r>
  <r>
    <x v="293"/>
    <n v="3"/>
    <n v="2016"/>
    <x v="12"/>
    <n v="15416900000"/>
    <n v="12671200000"/>
    <n v="443900000"/>
    <n v="0"/>
    <n v="292900000"/>
    <s v="Consumer Discretionary"/>
    <s v="Advertising"/>
    <n v="0.17809676394087004"/>
    <n v="2745700000"/>
    <n v="0.1303050548424132"/>
    <n v="2008900000"/>
  </r>
  <r>
    <x v="294"/>
    <n v="1"/>
    <n v="2012"/>
    <x v="0"/>
    <n v="6182184000"/>
    <n v="3084766000"/>
    <n v="2120025000"/>
    <n v="0"/>
    <n v="0"/>
    <s v="Consumer Discretionary"/>
    <s v="Specialty Stores"/>
    <n v="0.50102326297632027"/>
    <n v="3097418000"/>
    <n v="0.15809833547497129"/>
    <n v="977393000"/>
  </r>
  <r>
    <x v="294"/>
    <n v="2"/>
    <n v="2013"/>
    <x v="1"/>
    <n v="6649237000"/>
    <n v="3280236000"/>
    <n v="2265516000"/>
    <n v="0"/>
    <n v="0"/>
    <s v="Consumer Discretionary"/>
    <s v="Specialty Stores"/>
    <n v="0.50667482599883262"/>
    <n v="3369001000"/>
    <n v="0.16595663532522603"/>
    <n v="1103485000"/>
  </r>
  <r>
    <x v="294"/>
    <n v="3"/>
    <n v="2014"/>
    <x v="2"/>
    <n v="7216081000"/>
    <n v="3507180000"/>
    <n v="2438527000"/>
    <n v="0"/>
    <n v="0"/>
    <s v="Consumer Discretionary"/>
    <s v="Specialty Stores"/>
    <n v="0.51397718512306056"/>
    <n v="3708901000"/>
    <n v="0.17604763582892155"/>
    <n v="1270374000"/>
  </r>
  <r>
    <x v="294"/>
    <n v="4"/>
    <n v="2015"/>
    <x v="3"/>
    <n v="7966674000"/>
    <n v="3804031000"/>
    <n v="2648622000"/>
    <n v="0"/>
    <n v="0"/>
    <s v="Consumer Discretionary"/>
    <s v="Specialty Stores"/>
    <n v="0.52250700857095445"/>
    <n v="4162643000"/>
    <n v="0.19004430205127007"/>
    <n v="1514021000"/>
  </r>
  <r>
    <x v="295"/>
    <n v="1"/>
    <n v="2012"/>
    <x v="0"/>
    <n v="20100000000"/>
    <n v="6530000000"/>
    <n v="1879000000"/>
    <n v="0"/>
    <n v="3585000000"/>
    <s v="Energy"/>
    <s v="Oil &amp; Gas Exploration &amp; Production"/>
    <n v="0.67512437810945269"/>
    <n v="13570000000"/>
    <n v="0.40328358208955223"/>
    <n v="8106000000"/>
  </r>
  <r>
    <x v="295"/>
    <n v="2"/>
    <n v="2013"/>
    <x v="1"/>
    <n v="20170000000"/>
    <n v="6497000000"/>
    <n v="2108000000"/>
    <n v="0"/>
    <n v="4203000000"/>
    <s v="Energy"/>
    <s v="Oil &amp; Gas Exploration &amp; Production"/>
    <n v="0.67788795240456123"/>
    <n v="13673000000"/>
    <n v="0.36499752107089739"/>
    <n v="7362000000"/>
  </r>
  <r>
    <x v="295"/>
    <n v="3"/>
    <n v="2014"/>
    <x v="2"/>
    <n v="19312000000"/>
    <n v="6803000000"/>
    <n v="2053000000"/>
    <n v="0"/>
    <n v="4261000000"/>
    <s v="Energy"/>
    <s v="Oil &amp; Gas Exploration &amp; Production"/>
    <n v="0.64773198011598998"/>
    <n v="12509000000"/>
    <n v="0.32078500414250205"/>
    <n v="6195000000"/>
  </r>
  <r>
    <x v="295"/>
    <n v="4"/>
    <n v="2015"/>
    <x v="3"/>
    <n v="12480000000"/>
    <n v="5804000000"/>
    <n v="1613000000"/>
    <n v="0"/>
    <n v="4544000000"/>
    <s v="Energy"/>
    <s v="Oil &amp; Gas Exploration &amp; Production"/>
    <n v="0.53493589743589742"/>
    <n v="6676000000"/>
    <n v="4.158653846153846E-2"/>
    <n v="519000000"/>
  </r>
  <r>
    <x v="278"/>
    <n v="3"/>
    <n v="2014"/>
    <x v="2"/>
    <n v="2322900000"/>
    <n v="625600000"/>
    <n v="928700000"/>
    <n v="346500000"/>
    <n v="0"/>
    <s v="Health Care"/>
    <s v="Health Care Equipment"/>
    <n v="0.73068147574152997"/>
    <n v="1697300000"/>
    <n v="0.18171251452925222"/>
    <n v="422100000"/>
  </r>
  <r>
    <x v="278"/>
    <n v="4"/>
    <n v="2015"/>
    <x v="3"/>
    <n v="2493700000"/>
    <n v="617200000"/>
    <n v="850700000"/>
    <n v="383100000"/>
    <n v="0"/>
    <s v="Health Care"/>
    <s v="Health Care Equipment"/>
    <n v="0.75249629065244417"/>
    <n v="1876500000"/>
    <n v="0.25772947828527892"/>
    <n v="642700000"/>
  </r>
  <r>
    <x v="296"/>
    <n v="1"/>
    <n v="2012"/>
    <x v="0"/>
    <n v="9702000000"/>
    <n v="2471000000"/>
    <n v="1461000000"/>
    <n v="1760000000"/>
    <n v="0"/>
    <s v="Health Care"/>
    <s v="Biotechnology"/>
    <n v="0.74531024531024537"/>
    <n v="7231000000"/>
    <n v="0.41331684188827045"/>
    <n v="4010000000"/>
  </r>
  <r>
    <x v="296"/>
    <n v="2"/>
    <n v="2013"/>
    <x v="1"/>
    <n v="11202000000"/>
    <n v="2859000000"/>
    <n v="1699000000"/>
    <n v="2120000000"/>
    <n v="0"/>
    <s v="Health Care"/>
    <s v="Biotechnology"/>
    <n v="0.7447777182645956"/>
    <n v="8343000000"/>
    <n v="0.40385645420460631"/>
    <n v="4524000000"/>
  </r>
  <r>
    <x v="297"/>
    <n v="1"/>
    <n v="2012"/>
    <x v="0"/>
    <n v="3823713000"/>
    <n v="1582398000"/>
    <n v="1489735000"/>
    <n v="114250000"/>
    <n v="0"/>
    <s v="Industrials"/>
    <s v="Technology, Hardware, Software and Supplies"/>
    <n v="0.58616193213245871"/>
    <n v="2241315000"/>
    <n v="0.16667830456940674"/>
    <n v="637330000"/>
  </r>
  <r>
    <x v="297"/>
    <n v="2"/>
    <n v="2013"/>
    <x v="1"/>
    <n v="3791335000"/>
    <n v="1650622000"/>
    <n v="1420096000"/>
    <n v="110412000"/>
    <n v="0"/>
    <s v="Industrials"/>
    <s v="Technology, Hardware, Software and Supplies"/>
    <n v="0.56463303823059685"/>
    <n v="2140713000"/>
    <n v="0.16094726527727041"/>
    <n v="610205000"/>
  </r>
  <r>
    <x v="297"/>
    <n v="3"/>
    <n v="2014"/>
    <x v="2"/>
    <n v="3821504000"/>
    <n v="1680791000"/>
    <n v="1378400000"/>
    <n v="109931000"/>
    <n v="0"/>
    <s v="Industrials"/>
    <s v="Technology, Hardware, Software and Supplies"/>
    <n v="0.56017552251678926"/>
    <n v="2140713000"/>
    <n v="0.17071341545108942"/>
    <n v="652382000"/>
  </r>
  <r>
    <x v="297"/>
    <n v="4"/>
    <n v="2015"/>
    <x v="3"/>
    <n v="3578060000"/>
    <n v="1558591000"/>
    <n v="1279961000"/>
    <n v="110156000"/>
    <n v="0"/>
    <s v="Industrials"/>
    <s v="Technology, Hardware, Software and Supplies"/>
    <n v="0.56440333588592706"/>
    <n v="2019469000"/>
    <n v="0.17589196380161318"/>
    <n v="629352000"/>
  </r>
  <r>
    <x v="298"/>
    <n v="1"/>
    <n v="2012"/>
    <x v="0"/>
    <n v="16596800000"/>
    <n v="13908300000"/>
    <n v="571600000"/>
    <n v="279300000"/>
    <n v="517400000"/>
    <s v="Industrials"/>
    <s v="Construction &amp; Farm Machinery &amp; Heavy Trucks"/>
    <n v="0.16198905813168807"/>
    <n v="2688500000"/>
    <n v="7.9545454545454544E-2"/>
    <n v="1320200000"/>
  </r>
  <r>
    <x v="298"/>
    <n v="2"/>
    <n v="2013"/>
    <x v="1"/>
    <n v="16661000000"/>
    <n v="13900700000"/>
    <n v="559500000"/>
    <n v="251400000"/>
    <n v="571700000"/>
    <s v="Industrials"/>
    <s v="Construction &amp; Farm Machinery &amp; Heavy Trucks"/>
    <n v="0.16567432927195247"/>
    <n v="2760300000"/>
    <n v="8.2690114638977255E-2"/>
    <n v="1377700000"/>
  </r>
  <r>
    <x v="298"/>
    <n v="3"/>
    <n v="2014"/>
    <x v="2"/>
    <n v="18534400000"/>
    <n v="15481600000"/>
    <n v="561400000"/>
    <n v="215600000"/>
    <n v="588500000"/>
    <s v="Industrials"/>
    <s v="Construction &amp; Farm Machinery &amp; Heavy Trucks"/>
    <n v="0.16470994475138123"/>
    <n v="3052800000"/>
    <n v="9.1036127417127077E-2"/>
    <n v="1687300000"/>
  </r>
  <r>
    <x v="298"/>
    <n v="4"/>
    <n v="2015"/>
    <x v="3"/>
    <n v="18671300000"/>
    <n v="15292100000"/>
    <n v="541500000"/>
    <n v="239800000"/>
    <n v="583700000"/>
    <s v="Industrials"/>
    <s v="Construction &amp; Farm Machinery &amp; Heavy Trucks"/>
    <n v="0.18098364870148298"/>
    <n v="3379200000"/>
    <n v="0.10787679486698837"/>
    <n v="2014200000"/>
  </r>
  <r>
    <x v="299"/>
    <n v="1"/>
    <n v="2013"/>
    <x v="1"/>
    <n v="15598000000"/>
    <n v="11759000000"/>
    <n v="0"/>
    <n v="0"/>
    <n v="2077000000"/>
    <s v="Utilities"/>
    <s v="MultiUtilities"/>
    <n v="0.24612129760225665"/>
    <n v="3839000000"/>
    <n v="0.11296320041030901"/>
    <n v="1762000000"/>
  </r>
  <r>
    <x v="299"/>
    <n v="2"/>
    <n v="2014"/>
    <x v="2"/>
    <n v="17090000000"/>
    <n v="12207000000"/>
    <n v="0"/>
    <n v="0"/>
    <n v="2433000000"/>
    <s v="Utilities"/>
    <s v="MultiUtilities"/>
    <n v="0.28572264482153309"/>
    <n v="4883000000"/>
    <n v="0.14335868929198362"/>
    <n v="2450000000"/>
  </r>
  <r>
    <x v="299"/>
    <n v="3"/>
    <n v="2015"/>
    <x v="3"/>
    <n v="16833000000"/>
    <n v="12713000000"/>
    <n v="0"/>
    <n v="0"/>
    <n v="2612000000"/>
    <s v="Utilities"/>
    <s v="MultiUtilities"/>
    <n v="0.24475732192716693"/>
    <n v="4120000000"/>
    <n v="8.958593239470089E-2"/>
    <n v="1508000000"/>
  </r>
  <r>
    <x v="299"/>
    <n v="4"/>
    <n v="2016"/>
    <x v="12"/>
    <n v="17666000000"/>
    <n v="12734000000"/>
    <n v="0"/>
    <n v="0"/>
    <n v="2755000000"/>
    <s v="Utilities"/>
    <s v="MultiUtilities"/>
    <n v="0.27918034642816714"/>
    <n v="4932000000"/>
    <n v="0.12323106532321974"/>
    <n v="2177000000"/>
  </r>
  <r>
    <x v="300"/>
    <n v="1"/>
    <n v="2012"/>
    <x v="0"/>
    <n v="5260956000"/>
    <n v="1177275000"/>
    <n v="2188747000"/>
    <n v="0"/>
    <n v="65141000"/>
    <s v="Consumer Discretionary"/>
    <s v="Internet &amp; Direct Marketing Retail"/>
    <n v="0.77622413112749844"/>
    <n v="4083681000"/>
    <n v="0.3478061781927087"/>
    <n v="1829793000"/>
  </r>
  <r>
    <x v="300"/>
    <n v="2"/>
    <n v="2013"/>
    <x v="1"/>
    <n v="6793306000"/>
    <n v="1077420000"/>
    <n v="3185497000"/>
    <n v="0"/>
    <n v="117975000"/>
    <s v="Consumer Discretionary"/>
    <s v="Internet &amp; Direct Marketing Retail"/>
    <n v="0.84139975440529247"/>
    <n v="5715886000"/>
    <n v="0.35511634541414738"/>
    <n v="2412414000"/>
  </r>
  <r>
    <x v="300"/>
    <n v="3"/>
    <n v="2014"/>
    <x v="2"/>
    <n v="8441971000"/>
    <n v="857841000"/>
    <n v="4302998000"/>
    <n v="0"/>
    <n v="207820000"/>
    <s v="Consumer Discretionary"/>
    <s v="Internet &amp; Direct Marketing Retail"/>
    <n v="0.89838380160273001"/>
    <n v="7584130000"/>
    <n v="0.36405147565657359"/>
    <n v="3073312000"/>
  </r>
  <r>
    <x v="300"/>
    <n v="4"/>
    <n v="2015"/>
    <x v="3"/>
    <n v="9223987000"/>
    <n v="632180000"/>
    <n v="5060406000"/>
    <n v="0"/>
    <n v="272494000"/>
    <s v="Consumer Discretionary"/>
    <s v="Internet &amp; Direct Marketing Retail"/>
    <n v="0.93146347669397189"/>
    <n v="8591807000"/>
    <n v="0.3533078483306622"/>
    <n v="3258907000"/>
  </r>
  <r>
    <x v="296"/>
    <n v="3"/>
    <n v="2014"/>
    <x v="2"/>
    <n v="24890000000"/>
    <n v="3788000000"/>
    <n v="2983000000"/>
    <n v="2854000000"/>
    <n v="0"/>
    <s v="Health Care"/>
    <s v="Biotechnology"/>
    <n v="0.84781036560867817"/>
    <n v="21102000000"/>
    <n v="0.6132985134592206"/>
    <n v="15265000000"/>
  </r>
  <r>
    <x v="296"/>
    <n v="4"/>
    <n v="2015"/>
    <x v="3"/>
    <n v="32639000000"/>
    <n v="4006000000"/>
    <n v="3426000000"/>
    <n v="3014000000"/>
    <n v="0"/>
    <s v="Health Care"/>
    <s v="Biotechnology"/>
    <n v="0.87726339655013941"/>
    <n v="28633000000"/>
    <n v="0.67995342994577035"/>
    <n v="22193000000"/>
  </r>
  <r>
    <x v="301"/>
    <n v="1"/>
    <n v="2012"/>
    <x v="0"/>
    <n v="33013000000"/>
    <n v="5717000000"/>
    <n v="20801000000"/>
    <n v="0"/>
    <n v="1679000000"/>
    <s v="Health Care"/>
    <s v="Health Care Facilities"/>
    <n v="0.8268257958985854"/>
    <n v="27296000000"/>
    <n v="0.14588192530215369"/>
    <n v="4816000000"/>
  </r>
  <r>
    <x v="301"/>
    <n v="2"/>
    <n v="2013"/>
    <x v="1"/>
    <n v="34182000000"/>
    <n v="5970000000"/>
    <n v="21667000000"/>
    <n v="0"/>
    <n v="1753000000"/>
    <s v="Health Care"/>
    <s v="Health Care Facilities"/>
    <n v="0.82534667368790593"/>
    <n v="28212000000"/>
    <n v="0.14019074366625708"/>
    <n v="4792000000"/>
  </r>
  <r>
    <x v="302"/>
    <n v="1"/>
    <n v="2012"/>
    <x v="0"/>
    <n v="9781000000"/>
    <n v="6351000000"/>
    <n v="98000000"/>
    <n v="0"/>
    <n v="1054000000"/>
    <s v="Utilities"/>
    <s v="Electric Utilities"/>
    <n v="0.35067988958184237"/>
    <n v="3430000000"/>
    <n v="0.2329005214190778"/>
    <n v="2278000000"/>
  </r>
  <r>
    <x v="302"/>
    <n v="2"/>
    <n v="2013"/>
    <x v="1"/>
    <n v="9968000000"/>
    <n v="6423000000"/>
    <n v="68000000"/>
    <n v="0"/>
    <n v="1178000000"/>
    <s v="Utilities"/>
    <s v="Electric Utilities"/>
    <n v="0.35563804173354741"/>
    <n v="3545000000"/>
    <n v="0.23063804173354735"/>
    <n v="2299000000"/>
  </r>
  <r>
    <x v="302"/>
    <n v="3"/>
    <n v="2014"/>
    <x v="2"/>
    <n v="10886000000"/>
    <n v="7036000000"/>
    <n v="0"/>
    <n v="0"/>
    <n v="1227000000"/>
    <s v="Utilities"/>
    <s v="Electric Utilities"/>
    <n v="0.35366525812970784"/>
    <n v="3850000000"/>
    <n v="0.24095168105823994"/>
    <n v="2623000000"/>
  </r>
  <r>
    <x v="302"/>
    <n v="4"/>
    <n v="2015"/>
    <x v="3"/>
    <n v="10415000000"/>
    <n v="6239000000"/>
    <n v="0"/>
    <n v="0"/>
    <n v="1214000000"/>
    <s v="Utilities"/>
    <s v="Electric Utilities"/>
    <n v="0.40096015362457993"/>
    <n v="4176000000"/>
    <n v="0.28439750360057608"/>
    <n v="2962000000"/>
  </r>
  <r>
    <x v="303"/>
    <n v="1"/>
    <n v="2013"/>
    <x v="5"/>
    <n v="66415000000"/>
    <n v="31243000000"/>
    <n v="25357000000"/>
    <n v="0"/>
    <n v="110000000"/>
    <s v="Consumer Staples"/>
    <s v="Soft Drinks"/>
    <n v="0.52957916133403593"/>
    <n v="35172000000"/>
    <n v="0.14612662802077844"/>
    <n v="9705000000"/>
  </r>
  <r>
    <x v="303"/>
    <n v="2"/>
    <n v="2014"/>
    <x v="101"/>
    <n v="66683000000"/>
    <n v="31238000000"/>
    <n v="25772000000"/>
    <n v="0"/>
    <n v="92000000"/>
    <s v="Consumer Staples"/>
    <s v="Soft Drinks"/>
    <n v="0.5315447715309749"/>
    <n v="35445000000"/>
    <n v="0.14367979844937989"/>
    <n v="9581000000"/>
  </r>
  <r>
    <x v="303"/>
    <n v="3"/>
    <n v="2015"/>
    <x v="102"/>
    <n v="63056000000"/>
    <n v="28731000000"/>
    <n v="24538000000"/>
    <n v="0"/>
    <n v="75000000"/>
    <s v="Consumer Staples"/>
    <s v="Soft Drinks"/>
    <n v="0.54435739659984783"/>
    <n v="34325000000"/>
    <n v="0.15402182187262117"/>
    <n v="9712000000"/>
  </r>
  <r>
    <x v="303"/>
    <n v="4"/>
    <n v="2016"/>
    <x v="12"/>
    <n v="62799000000"/>
    <n v="28209000000"/>
    <n v="24735000000"/>
    <n v="0"/>
    <n v="70000000"/>
    <s v="Consumer Staples"/>
    <s v="Soft Drinks"/>
    <n v="0.55080494912339373"/>
    <n v="34590000000"/>
    <n v="0.1558145830347617"/>
    <n v="9785000000"/>
  </r>
  <r>
    <x v="301"/>
    <n v="3"/>
    <n v="2014"/>
    <x v="2"/>
    <n v="36918000000"/>
    <n v="6262000000"/>
    <n v="23271000000"/>
    <n v="0"/>
    <n v="1820000000"/>
    <s v="Health Care"/>
    <s v="Health Care Facilities"/>
    <n v="0.83038084403272117"/>
    <n v="30656000000"/>
    <n v="0.15073947667804324"/>
    <n v="5565000000"/>
  </r>
  <r>
    <x v="301"/>
    <n v="4"/>
    <n v="2015"/>
    <x v="3"/>
    <n v="39678000000"/>
    <n v="6638000000"/>
    <n v="25171000000"/>
    <n v="0"/>
    <n v="1904000000"/>
    <s v="Health Care"/>
    <s v="Health Care Facilities"/>
    <n v="0.83270326125308736"/>
    <n v="33040000000"/>
    <n v="0.15033519834669087"/>
    <n v="5965000000"/>
  </r>
  <r>
    <x v="304"/>
    <n v="1"/>
    <n v="2013"/>
    <x v="8"/>
    <n v="2492300000"/>
    <n v="1330900000"/>
    <n v="661100000"/>
    <n v="197600000"/>
    <n v="112600000"/>
    <s v="Health Care"/>
    <s v="Health Care Equipment"/>
    <n v="0.46599526541748582"/>
    <n v="1161400000"/>
    <n v="7.627492677446536E-2"/>
    <n v="190100000"/>
  </r>
  <r>
    <x v="304"/>
    <n v="2"/>
    <n v="2014"/>
    <x v="9"/>
    <n v="2530700000"/>
    <n v="1285200000"/>
    <n v="591500000"/>
    <n v="203200000"/>
    <n v="113800000"/>
    <s v="Health Care"/>
    <s v="Health Care Equipment"/>
    <n v="0.49215632038566404"/>
    <n v="1245500000"/>
    <n v="0.13316473702928044"/>
    <n v="337000000"/>
  </r>
  <r>
    <x v="304"/>
    <n v="3"/>
    <n v="2015"/>
    <x v="10"/>
    <n v="2705000000"/>
    <n v="1272300000"/>
    <n v="624000000"/>
    <n v="214900000"/>
    <n v="110200000"/>
    <s v="Health Care"/>
    <s v="Health Care Equipment"/>
    <n v="0.52964879852125701"/>
    <n v="1432700000"/>
    <n v="0.17878003696857672"/>
    <n v="483600000"/>
  </r>
  <r>
    <x v="304"/>
    <n v="4"/>
    <n v="2016"/>
    <x v="11"/>
    <n v="2832700000"/>
    <n v="1269400000"/>
    <n v="682400000"/>
    <n v="232100000"/>
    <n v="89700000"/>
    <s v="Health Care"/>
    <s v="Health Care Equipment"/>
    <n v="0.55187630176157021"/>
    <n v="1563300000"/>
    <n v="0.19737353055388851"/>
    <n v="559100000"/>
  </r>
  <r>
    <x v="305"/>
    <n v="1"/>
    <n v="2012"/>
    <x v="4"/>
    <n v="8939967000"/>
    <n v="6432454000"/>
    <n v="1873360000"/>
    <n v="0"/>
    <n v="0"/>
    <s v="Health Care"/>
    <s v="Health Care Distributors"/>
    <n v="0.28048347382042904"/>
    <n v="2507513000"/>
    <n v="7.0934601883877194E-2"/>
    <n v="634153000"/>
  </r>
  <r>
    <x v="305"/>
    <n v="2"/>
    <n v="2013"/>
    <x v="5"/>
    <n v="9560647000"/>
    <n v="6904633000"/>
    <n v="1978960000"/>
    <n v="0"/>
    <n v="0"/>
    <s v="Health Care"/>
    <s v="Health Care Distributors"/>
    <n v="0.27780693084892683"/>
    <n v="2656014000"/>
    <n v="7.0816755393228098E-2"/>
    <n v="677054000"/>
  </r>
  <r>
    <x v="306"/>
    <n v="1"/>
    <n v="2013"/>
    <x v="1"/>
    <n v="2104745000"/>
    <n v="155355000"/>
    <n v="346393000"/>
    <n v="859947000"/>
    <n v="0"/>
    <s v="Consumer Staples"/>
    <s v="Personal Products"/>
    <n v="0.92618820807271185"/>
    <n v="1949390000"/>
    <n v="0.35303564089711581"/>
    <n v="743050000"/>
  </r>
  <r>
    <x v="306"/>
    <n v="2"/>
    <n v="2014"/>
    <x v="2"/>
    <n v="2819557000"/>
    <n v="205018000"/>
    <n v="519267000"/>
    <n v="1271353000"/>
    <n v="0"/>
    <s v="Consumer Staples"/>
    <s v="Personal Products"/>
    <n v="0.92728715894021652"/>
    <n v="2614539000"/>
    <n v="0.29221576297269392"/>
    <n v="823919000"/>
  </r>
  <r>
    <x v="306"/>
    <n v="3"/>
    <n v="2015"/>
    <x v="3"/>
    <n v="4103728000"/>
    <n v="392709000"/>
    <n v="838526000"/>
    <n v="1620577000"/>
    <n v="0"/>
    <s v="Consumer Staples"/>
    <s v="Personal Products"/>
    <n v="0.90430433011154732"/>
    <n v="3711019000"/>
    <n v="0.30506797721486412"/>
    <n v="1251916000"/>
  </r>
  <r>
    <x v="306"/>
    <n v="4"/>
    <n v="2016"/>
    <x v="12"/>
    <n v="4860427000"/>
    <n v="299694000"/>
    <n v="1177697000"/>
    <n v="2052295000"/>
    <n v="0"/>
    <s v="Consumer Staples"/>
    <s v="Personal Products"/>
    <n v="0.93833998535519614"/>
    <n v="4560733000"/>
    <n v="0.27379096527938801"/>
    <n v="1330741000"/>
  </r>
  <r>
    <x v="305"/>
    <n v="3"/>
    <n v="2014"/>
    <x v="101"/>
    <n v="10371390000"/>
    <n v="7460075000"/>
    <n v="2196173000"/>
    <n v="0"/>
    <n v="0"/>
    <s v="Health Care"/>
    <s v="Health Care Distributors"/>
    <n v="0.28070634697952734"/>
    <n v="2911315000"/>
    <n v="6.8953341837497198E-2"/>
    <n v="715142000"/>
  </r>
  <r>
    <x v="305"/>
    <n v="4"/>
    <n v="2015"/>
    <x v="102"/>
    <n v="10629719000"/>
    <n v="7617460000"/>
    <n v="2243356000"/>
    <n v="0"/>
    <n v="0"/>
    <s v="Health Care"/>
    <s v="Health Care Distributors"/>
    <n v="0.28338086829952891"/>
    <n v="3012259000"/>
    <n v="7.2335214129366915E-2"/>
    <n v="768903000"/>
  </r>
  <r>
    <x v="307"/>
    <n v="1"/>
    <n v="2013"/>
    <x v="1"/>
    <n v="41313000000"/>
    <n v="32564000000"/>
    <n v="0"/>
    <n v="0"/>
    <n v="6688000000"/>
    <s v="Health Care"/>
    <s v="Managed Health Care"/>
    <n v="0.21177353375450825"/>
    <n v="8749000000"/>
    <n v="4.9887444630019609E-2"/>
    <n v="2061000000"/>
  </r>
  <r>
    <x v="307"/>
    <n v="2"/>
    <n v="2014"/>
    <x v="2"/>
    <n v="48500000000"/>
    <n v="38166000000"/>
    <n v="0"/>
    <n v="0"/>
    <n v="7972000000"/>
    <s v="Health Care"/>
    <s v="Managed Health Care"/>
    <n v="0.2130721649484536"/>
    <n v="10334000000"/>
    <n v="4.8701030927835051E-2"/>
    <n v="2362000000"/>
  </r>
  <r>
    <x v="308"/>
    <n v="1"/>
    <n v="2013"/>
    <x v="61"/>
    <n v="13015704000"/>
    <n v="10086675000"/>
    <n v="1554973000"/>
    <n v="0"/>
    <n v="0"/>
    <s v="Industrials"/>
    <s v="Industrial Conglomerates"/>
    <n v="0.22503807707981072"/>
    <n v="2929029000"/>
    <n v="0.1055690879264003"/>
    <n v="1374056000"/>
  </r>
  <r>
    <x v="308"/>
    <n v="2"/>
    <n v="2014"/>
    <x v="62"/>
    <n v="13215971000"/>
    <n v="10188227000"/>
    <n v="1633992000"/>
    <n v="0"/>
    <n v="0"/>
    <s v="Industrials"/>
    <s v="Industrial Conglomerates"/>
    <n v="0.22909735501084261"/>
    <n v="3027744000"/>
    <n v="0.10545967451048432"/>
    <n v="1393752000"/>
  </r>
  <r>
    <x v="308"/>
    <n v="3"/>
    <n v="2015"/>
    <x v="63"/>
    <n v="12711744000"/>
    <n v="9655245000"/>
    <n v="1544746000"/>
    <n v="0"/>
    <n v="0"/>
    <s v="Industrials"/>
    <s v="Industrial Conglomerates"/>
    <n v="0.24044686551271011"/>
    <n v="3056499000"/>
    <n v="0.11892569579752393"/>
    <n v="1511753000"/>
  </r>
  <r>
    <x v="308"/>
    <n v="4"/>
    <n v="2016"/>
    <x v="64"/>
    <n v="11360753000"/>
    <n v="8823384000"/>
    <n v="1359360000"/>
    <n v="0"/>
    <n v="0"/>
    <s v="Industrials"/>
    <s v="Industrial Conglomerates"/>
    <n v="0.22334514270312888"/>
    <n v="2537369000"/>
    <n v="0.10369110216549907"/>
    <n v="1178009000"/>
  </r>
  <r>
    <x v="309"/>
    <n v="1"/>
    <n v="2013"/>
    <x v="1"/>
    <n v="5679595000"/>
    <n v="4507196000"/>
    <n v="568500000"/>
    <n v="0"/>
    <n v="0"/>
    <s v="Consumer Discretionary"/>
    <s v="Homebuilding"/>
    <n v="0.20642299318877488"/>
    <n v="1172399000"/>
    <n v="0.10632782795252126"/>
    <n v="603899000"/>
  </r>
  <r>
    <x v="309"/>
    <n v="2"/>
    <n v="2014"/>
    <x v="2"/>
    <n v="5822363000"/>
    <n v="4244479000"/>
    <n v="861390000"/>
    <n v="0"/>
    <n v="0"/>
    <s v="Consumer Discretionary"/>
    <s v="Homebuilding"/>
    <n v="0.27100405797439975"/>
    <n v="1577884000"/>
    <n v="0.12305897107411544"/>
    <n v="716494000"/>
  </r>
  <r>
    <x v="309"/>
    <n v="3"/>
    <n v="2015"/>
    <x v="3"/>
    <n v="5981964000"/>
    <n v="4353850000"/>
    <n v="794728000"/>
    <n v="0"/>
    <n v="0"/>
    <s v="Consumer Discretionary"/>
    <s v="Homebuilding"/>
    <n v="0.27217047778956882"/>
    <n v="1628114000"/>
    <n v="0.13931645192114162"/>
    <n v="833386000"/>
  </r>
  <r>
    <x v="309"/>
    <n v="4"/>
    <n v="2016"/>
    <x v="12"/>
    <n v="7668476000"/>
    <n v="5728662000"/>
    <n v="957150000"/>
    <n v="0"/>
    <n v="0"/>
    <s v="Consumer Discretionary"/>
    <s v="Homebuilding"/>
    <n v="0.25295951894483337"/>
    <n v="1939814000"/>
    <n v="0.12814332339307055"/>
    <n v="982664000"/>
  </r>
  <r>
    <x v="307"/>
    <n v="3"/>
    <n v="2015"/>
    <x v="3"/>
    <n v="54289000000"/>
    <n v="44269000000"/>
    <n v="0"/>
    <n v="0"/>
    <n v="7673000000"/>
    <s v="Health Care"/>
    <s v="Managed Health Care"/>
    <n v="0.18456777616091657"/>
    <n v="10020000000"/>
    <n v="4.3231593877212697E-2"/>
    <n v="2347000000"/>
  </r>
  <r>
    <x v="307"/>
    <n v="4"/>
    <n v="2016"/>
    <x v="12"/>
    <n v="54379000000"/>
    <n v="45007000000"/>
    <n v="0"/>
    <n v="0"/>
    <n v="7631000000"/>
    <s v="Health Care"/>
    <s v="Managed Health Care"/>
    <n v="0.17234594236745804"/>
    <n v="9372000000"/>
    <n v="3.2016035601978708E-2"/>
    <n v="1741000000"/>
  </r>
  <r>
    <x v="310"/>
    <n v="1"/>
    <n v="2012"/>
    <x v="0"/>
    <n v="1293338000"/>
    <n v="594190000"/>
    <n v="354571000"/>
    <n v="82014000"/>
    <n v="0"/>
    <s v="Health Care"/>
    <s v="Health Care Equipment"/>
    <n v="0.54057639998206186"/>
    <n v="699148000"/>
    <n v="0.2030118963488276"/>
    <n v="262563000"/>
  </r>
  <r>
    <x v="310"/>
    <n v="2"/>
    <n v="2013"/>
    <x v="1"/>
    <n v="1377058000"/>
    <n v="620940000"/>
    <n v="401353000"/>
    <n v="88003000"/>
    <n v="0"/>
    <s v="Health Care"/>
    <s v="Health Care Equipment"/>
    <n v="0.54908217373560153"/>
    <n v="756118000"/>
    <n v="0.19371878308684165"/>
    <n v="266762000"/>
  </r>
  <r>
    <x v="311"/>
    <n v="1"/>
    <n v="2013"/>
    <x v="1"/>
    <n v="80029000000"/>
    <n v="59222000000"/>
    <n v="6890000000"/>
    <n v="0"/>
    <n v="93000000"/>
    <s v="Consumer Staples"/>
    <s v="Tobacco"/>
    <n v="0.25999325244598837"/>
    <n v="20807000000"/>
    <n v="0.1727373826987717"/>
    <n v="13824000000"/>
  </r>
  <r>
    <x v="311"/>
    <n v="2"/>
    <n v="2014"/>
    <x v="2"/>
    <n v="80106000000"/>
    <n v="60775000000"/>
    <n v="7001000000"/>
    <n v="0"/>
    <n v="93000000"/>
    <s v="Consumer Staples"/>
    <s v="Tobacco"/>
    <n v="0.24131775397598187"/>
    <n v="19331000000"/>
    <n v="0.15276009287693806"/>
    <n v="12237000000"/>
  </r>
  <r>
    <x v="311"/>
    <n v="3"/>
    <n v="2015"/>
    <x v="3"/>
    <n v="73908000000"/>
    <n v="56479000000"/>
    <n v="6656000000"/>
    <n v="0"/>
    <n v="82000000"/>
    <s v="Consumer Staples"/>
    <s v="Tobacco"/>
    <n v="0.23582020890837252"/>
    <n v="17429000000"/>
    <n v="0.14465281160361532"/>
    <n v="10691000000"/>
  </r>
  <r>
    <x v="311"/>
    <n v="4"/>
    <n v="2016"/>
    <x v="12"/>
    <n v="74953000000"/>
    <n v="57659000000"/>
    <n v="6405000000"/>
    <n v="0"/>
    <n v="74000000"/>
    <s v="Consumer Staples"/>
    <s v="Tobacco"/>
    <n v="0.23073125825517327"/>
    <n v="17294000000"/>
    <n v="0.14429042199778527"/>
    <n v="10815000000"/>
  </r>
  <r>
    <x v="310"/>
    <n v="3"/>
    <n v="2014"/>
    <x v="2"/>
    <n v="1485807000"/>
    <n v="669691000"/>
    <n v="457598000"/>
    <n v="98263000"/>
    <n v="0"/>
    <s v="Health Care"/>
    <s v="Health Care Equipment"/>
    <n v="0.5492745693081269"/>
    <n v="816116000"/>
    <n v="0.17516070391376537"/>
    <n v="260255000"/>
  </r>
  <r>
    <x v="310"/>
    <n v="4"/>
    <n v="2015"/>
    <x v="3"/>
    <n v="1601892000"/>
    <n v="711622000"/>
    <n v="482465000"/>
    <n v="99681000"/>
    <n v="0"/>
    <s v="Health Care"/>
    <s v="Health Care Equipment"/>
    <n v="0.55576156195299053"/>
    <n v="890270000"/>
    <n v="0.19235004607052161"/>
    <n v="308124000"/>
  </r>
  <r>
    <x v="312"/>
    <n v="1"/>
    <n v="2013"/>
    <x v="103"/>
    <n v="1421178000"/>
    <n v="509291000"/>
    <n v="397285000"/>
    <n v="276743000"/>
    <n v="0"/>
    <s v="Health Care"/>
    <s v="Life Sciences Tools &amp; Services"/>
    <n v="0.64164165220683123"/>
    <n v="911887000"/>
    <n v="0.16736749372703488"/>
    <n v="237859000"/>
  </r>
  <r>
    <x v="312"/>
    <n v="2"/>
    <n v="2014"/>
    <x v="104"/>
    <n v="1861358000"/>
    <n v="563648000"/>
    <n v="471921000"/>
    <n v="388055000"/>
    <n v="0"/>
    <s v="Health Care"/>
    <s v="Life Sciences Tools &amp; Services"/>
    <n v="0.69718452871505643"/>
    <n v="1297710000"/>
    <n v="0.23516916144019581"/>
    <n v="437734000"/>
  </r>
  <r>
    <x v="313"/>
    <n v="1"/>
    <n v="2012"/>
    <x v="0"/>
    <n v="4306800000"/>
    <n v="3040900000"/>
    <n v="1117700000"/>
    <n v="92300000"/>
    <n v="0"/>
    <s v="Industrials"/>
    <s v="Industrial Machinery"/>
    <n v="0.29393052846661094"/>
    <n v="1265900000"/>
    <n v="1.2979474319680506E-2"/>
    <n v="55900000"/>
  </r>
  <r>
    <x v="313"/>
    <n v="2"/>
    <n v="2013"/>
    <x v="1"/>
    <n v="6999700000"/>
    <n v="4629600000"/>
    <n v="1493700000"/>
    <n v="122800000"/>
    <n v="0"/>
    <s v="Industrials"/>
    <s v="Industrial Machinery"/>
    <n v="0.33860022572395965"/>
    <n v="2370100000"/>
    <n v="0.10766175693243996"/>
    <n v="753600000"/>
  </r>
  <r>
    <x v="313"/>
    <n v="3"/>
    <n v="2014"/>
    <x v="2"/>
    <n v="7039000000"/>
    <n v="4576000000"/>
    <n v="1493800000"/>
    <n v="117300000"/>
    <n v="0"/>
    <s v="Industrials"/>
    <s v="Industrial Machinery"/>
    <n v="0.34990765733769003"/>
    <n v="2463000000"/>
    <n v="0.12102571387981248"/>
    <n v="851900000"/>
  </r>
  <r>
    <x v="313"/>
    <n v="4"/>
    <n v="2015"/>
    <x v="3"/>
    <n v="6449000000"/>
    <n v="4263200000"/>
    <n v="1334300000"/>
    <n v="119600000"/>
    <n v="0"/>
    <s v="Industrials"/>
    <s v="Industrial Machinery"/>
    <n v="0.33893626918902153"/>
    <n v="2185800000"/>
    <n v="0.11349046363777329"/>
    <n v="731900000"/>
  </r>
  <r>
    <x v="314"/>
    <n v="1"/>
    <n v="2012"/>
    <x v="0"/>
    <n v="3301804000"/>
    <n v="1879559000"/>
    <n v="166154000"/>
    <n v="0"/>
    <n v="404336000"/>
    <s v="Utilities"/>
    <s v="MultiUtilities"/>
    <n v="0.43074785783771541"/>
    <n v="1422245000"/>
    <n v="0.25796655404136648"/>
    <n v="851755000"/>
  </r>
  <r>
    <x v="314"/>
    <n v="2"/>
    <n v="2013"/>
    <x v="1"/>
    <n v="3454628000"/>
    <n v="2020436000"/>
    <n v="172161000"/>
    <n v="0"/>
    <n v="415708000"/>
    <s v="Utilities"/>
    <s v="MultiUtilities"/>
    <n v="0.4151509221832278"/>
    <n v="1434192000"/>
    <n v="0.24498238305253128"/>
    <n v="846323000"/>
  </r>
  <r>
    <x v="314"/>
    <n v="3"/>
    <n v="2014"/>
    <x v="2"/>
    <n v="3491632000"/>
    <n v="2087854000"/>
    <n v="175178000"/>
    <n v="0"/>
    <n v="417358000"/>
    <s v="Utilities"/>
    <s v="MultiUtilities"/>
    <n v="0.40204065033199377"/>
    <n v="1403778000"/>
    <n v="0.23233891773245291"/>
    <n v="811242000"/>
  </r>
  <r>
    <x v="314"/>
    <n v="4"/>
    <n v="2015"/>
    <x v="3"/>
    <n v="3495443000"/>
    <n v="1969675000"/>
    <n v="176744000"/>
    <n v="0"/>
    <n v="494422000"/>
    <s v="Utilities"/>
    <s v="MultiUtilities"/>
    <n v="0.43650203994171843"/>
    <n v="1525768000"/>
    <n v="0.24449032640497928"/>
    <n v="854602000"/>
  </r>
  <r>
    <x v="315"/>
    <n v="1"/>
    <n v="2013"/>
    <x v="1"/>
    <n v="14265000000"/>
    <n v="8314000000"/>
    <n v="3486000000"/>
    <n v="463000000"/>
    <n v="452000000"/>
    <s v="Materials"/>
    <s v="Diversified Chemicals"/>
    <n v="0.41717490361023479"/>
    <n v="5951000000"/>
    <n v="0.10865755345250613"/>
    <n v="1550000000"/>
  </r>
  <r>
    <x v="315"/>
    <n v="2"/>
    <n v="2014"/>
    <x v="2"/>
    <n v="14791000000"/>
    <n v="8348000000"/>
    <n v="4013000000"/>
    <n v="483000000"/>
    <n v="450000000"/>
    <s v="Materials"/>
    <s v="Diversified Chemicals"/>
    <n v="0.4356027313907106"/>
    <n v="6443000000"/>
    <n v="0.10121019538908796"/>
    <n v="1497000000"/>
  </r>
  <r>
    <x v="315"/>
    <n v="3"/>
    <n v="2015"/>
    <x v="3"/>
    <n v="14766000000"/>
    <n v="8206000000"/>
    <n v="3624000000"/>
    <n v="476000000"/>
    <n v="471000000"/>
    <s v="Materials"/>
    <s v="Diversified Chemicals"/>
    <n v="0.44426384938371932"/>
    <n v="6560000000"/>
    <n v="0.13470134091832589"/>
    <n v="1989000000"/>
  </r>
  <r>
    <x v="315"/>
    <n v="4"/>
    <n v="2016"/>
    <x v="12"/>
    <n v="14751000000"/>
    <n v="8063000000"/>
    <n v="4630000000"/>
    <n v="466000000"/>
    <n v="462000000"/>
    <s v="Materials"/>
    <s v="Diversified Chemicals"/>
    <n v="0.45339299030574198"/>
    <n v="6688000000"/>
    <n v="7.6604975933835001E-2"/>
    <n v="1130000000"/>
  </r>
  <r>
    <x v="316"/>
    <n v="1"/>
    <n v="2012"/>
    <x v="0"/>
    <n v="12132000000"/>
    <n v="4876000000"/>
    <n v="3143000000"/>
    <n v="0"/>
    <n v="1087000000"/>
    <s v="Utilities"/>
    <s v="Electric Utilities"/>
    <n v="0.59808770194526872"/>
    <n v="7256000000"/>
    <n v="0.249423013517969"/>
    <n v="3026000000"/>
  </r>
  <r>
    <x v="316"/>
    <n v="2"/>
    <n v="2013"/>
    <x v="1"/>
    <n v="7263000000"/>
    <n v="1751000000"/>
    <n v="2108000000"/>
    <n v="0"/>
    <n v="843000000"/>
    <s v="Utilities"/>
    <s v="Electric Utilities"/>
    <n v="0.7589150488778742"/>
    <n v="5512000000"/>
    <n v="0.35260911469089906"/>
    <n v="2561000000"/>
  </r>
  <r>
    <x v="316"/>
    <n v="3"/>
    <n v="2014"/>
    <x v="2"/>
    <n v="7852000000"/>
    <n v="1889000000"/>
    <n v="2173000000"/>
    <n v="0"/>
    <n v="923000000"/>
    <s v="Utilities"/>
    <s v="Electric Utilities"/>
    <n v="0.75942435048395307"/>
    <n v="5963000000"/>
    <n v="0.36512990320937339"/>
    <n v="2867000000"/>
  </r>
  <r>
    <x v="316"/>
    <n v="4"/>
    <n v="2015"/>
    <x v="3"/>
    <n v="7669000000"/>
    <n v="1718000000"/>
    <n v="2237000000"/>
    <n v="0"/>
    <n v="883000000"/>
    <s v="Utilities"/>
    <s v="Electric Utilities"/>
    <n v="0.77598122310601125"/>
    <n v="5951000000"/>
    <n v="0.36914852001564741"/>
    <n v="2831000000"/>
  </r>
  <r>
    <x v="312"/>
    <n v="3"/>
    <n v="2016"/>
    <x v="141"/>
    <n v="2219762000"/>
    <n v="670472000"/>
    <n v="522046000"/>
    <n v="401527000"/>
    <n v="0"/>
    <s v="Health Care"/>
    <s v="Life Sciences Tools &amp; Services"/>
    <n v="0.69795320399213967"/>
    <n v="1549290000"/>
    <n v="0.28188472457858094"/>
    <n v="625717000"/>
  </r>
  <r>
    <x v="312"/>
    <n v="4"/>
    <n v="2017"/>
    <x v="142"/>
    <n v="2398373000"/>
    <n v="731925000"/>
    <n v="584491000"/>
    <n v="504415000"/>
    <n v="0"/>
    <s v="Health Care"/>
    <s v="Life Sciences Tools &amp; Services"/>
    <n v="0.69482436635168932"/>
    <n v="1666448000"/>
    <n v="0.24080574622879761"/>
    <n v="577542000"/>
  </r>
  <r>
    <x v="317"/>
    <n v="1"/>
    <n v="2013"/>
    <x v="1"/>
    <n v="2265100000"/>
    <n v="670900000"/>
    <n v="574000000"/>
    <n v="167700000"/>
    <n v="0"/>
    <s v="Health Care"/>
    <s v="Health Care Equipment"/>
    <n v="0.7038099863140701"/>
    <n v="1594200000"/>
    <n v="0.37636307447794798"/>
    <n v="852500000"/>
  </r>
  <r>
    <x v="317"/>
    <n v="2"/>
    <n v="2014"/>
    <x v="2"/>
    <n v="2131700000"/>
    <n v="717900000"/>
    <n v="691000000"/>
    <n v="178000000"/>
    <n v="0"/>
    <s v="Health Care"/>
    <s v="Health Care Equipment"/>
    <n v="0.66322653281418587"/>
    <n v="1413800000"/>
    <n v="0.25557067129521038"/>
    <n v="544800000"/>
  </r>
  <r>
    <x v="318"/>
    <n v="1"/>
    <n v="2012"/>
    <x v="0"/>
    <n v="179290000000"/>
    <n v="158446000000"/>
    <n v="15443000000"/>
    <n v="0"/>
    <n v="931000000"/>
    <s v="Energy"/>
    <s v="Oil &amp; Gas Refining &amp; Marketing &amp; Transportation"/>
    <n v="0.1162585754922193"/>
    <n v="20844000000"/>
    <n v="2.4931674940041275E-2"/>
    <n v="4470000000"/>
  </r>
  <r>
    <x v="318"/>
    <n v="2"/>
    <n v="2013"/>
    <x v="1"/>
    <n v="171596000000"/>
    <n v="152451000000"/>
    <n v="15597000000"/>
    <n v="0"/>
    <n v="971000000"/>
    <s v="Energy"/>
    <s v="Oil &amp; Gas Refining &amp; Marketing &amp; Transportation"/>
    <n v="0.11157019977155647"/>
    <n v="19145000000"/>
    <n v="1.5017832583510105E-2"/>
    <n v="2577000000"/>
  </r>
  <r>
    <x v="318"/>
    <n v="3"/>
    <n v="2014"/>
    <x v="2"/>
    <n v="161212000000"/>
    <n v="140183000000"/>
    <n v="16703000000"/>
    <n v="0"/>
    <n v="1019000000"/>
    <s v="Energy"/>
    <s v="Oil &amp; Gas Refining &amp; Marketing &amp; Transportation"/>
    <n v="0.13044314319033323"/>
    <n v="21029000000"/>
    <n v="2.051336128824157E-2"/>
    <n v="3307000000"/>
  </r>
  <r>
    <x v="318"/>
    <n v="4"/>
    <n v="2015"/>
    <x v="3"/>
    <n v="98975000000"/>
    <n v="77693000000"/>
    <n v="15747000000"/>
    <n v="0"/>
    <n v="1099000000"/>
    <s v="Energy"/>
    <s v="Oil &amp; Gas Refining &amp; Marketing &amp; Transportation"/>
    <n v="0.21502399595857535"/>
    <n v="21282000000"/>
    <n v="4.4819398838090427E-2"/>
    <n v="4436000000"/>
  </r>
  <r>
    <x v="319"/>
    <n v="1"/>
    <n v="2013"/>
    <x v="109"/>
    <n v="6043000000"/>
    <n v="2793800000"/>
    <n v="2594300000"/>
    <n v="0"/>
    <n v="0"/>
    <s v="Consumer Discretionary"/>
    <s v="Apparel, Accessories &amp; Luxury Goods"/>
    <n v="0.53767996028462683"/>
    <n v="3249200000"/>
    <n v="0.10837332450769485"/>
    <n v="654900000"/>
  </r>
  <r>
    <x v="319"/>
    <n v="2"/>
    <n v="2014"/>
    <x v="110"/>
    <n v="8186400000"/>
    <n v="3967100000"/>
    <n v="3673500000"/>
    <n v="0"/>
    <n v="0"/>
    <s v="Consumer Discretionary"/>
    <s v="Apparel, Accessories &amp; Luxury Goods"/>
    <n v="0.51540359620834553"/>
    <n v="4219300000"/>
    <n v="6.6671552819310073E-2"/>
    <n v="545800000"/>
  </r>
  <r>
    <x v="319"/>
    <n v="3"/>
    <n v="2015"/>
    <x v="111"/>
    <n v="8241200000"/>
    <n v="3914500000"/>
    <n v="3713600000"/>
    <n v="0"/>
    <n v="0"/>
    <s v="Consumer Discretionary"/>
    <s v="Apparel, Accessories &amp; Luxury Goods"/>
    <n v="0.52500849390865412"/>
    <n v="4326700000"/>
    <n v="7.439450565451633E-2"/>
    <n v="613100000"/>
  </r>
  <r>
    <x v="319"/>
    <n v="4"/>
    <n v="2016"/>
    <x v="24"/>
    <n v="8020300000"/>
    <n v="3858700000"/>
    <n v="3417700000"/>
    <n v="0"/>
    <n v="0"/>
    <s v="Consumer Discretionary"/>
    <s v="Apparel, Accessories &amp; Luxury Goods"/>
    <n v="0.51888333354113936"/>
    <n v="4161600000"/>
    <n v="9.2752141441093228E-2"/>
    <n v="743900000"/>
  </r>
  <r>
    <x v="320"/>
    <n v="1"/>
    <n v="2012"/>
    <x v="0"/>
    <n v="5920269000"/>
    <n v="4982562000"/>
    <n v="434894000"/>
    <n v="0"/>
    <n v="37691000"/>
    <s v="Industrials"/>
    <s v="Industrial Conglomerates"/>
    <n v="0.15838925562335093"/>
    <n v="937707000"/>
    <n v="7.8564335505700841E-2"/>
    <n v="465122000"/>
  </r>
  <r>
    <x v="320"/>
    <n v="2"/>
    <n v="2013"/>
    <x v="1"/>
    <n v="6411577000"/>
    <n v="5424644000"/>
    <n v="485069000"/>
    <n v="0"/>
    <n v="25865000"/>
    <s v="Industrials"/>
    <s v="Industrial Conglomerates"/>
    <n v="0.15392983660650106"/>
    <n v="986933000"/>
    <n v="7.4240549555904894E-2"/>
    <n v="475999000"/>
  </r>
  <r>
    <x v="320"/>
    <n v="3"/>
    <n v="2014"/>
    <x v="2"/>
    <n v="7747229000"/>
    <n v="6578435000"/>
    <n v="705477000"/>
    <n v="0"/>
    <n v="34257000"/>
    <s v="Industrials"/>
    <s v="Industrial Conglomerates"/>
    <n v="0.15086607095259474"/>
    <n v="1168794000"/>
    <n v="5.538238252670729E-2"/>
    <n v="429060000"/>
  </r>
  <r>
    <x v="320"/>
    <n v="4"/>
    <n v="2015"/>
    <x v="3"/>
    <n v="7572436000"/>
    <n v="6648771000"/>
    <n v="592863000"/>
    <n v="0"/>
    <n v="34848000"/>
    <s v="Industrials"/>
    <s v="Industrial Conglomerates"/>
    <n v="0.12197726068599324"/>
    <n v="923665000"/>
    <n v="3.9083063891196965E-2"/>
    <n v="295954000"/>
  </r>
  <r>
    <x v="321"/>
    <n v="1"/>
    <n v="2012"/>
    <x v="0"/>
    <n v="11224000000"/>
    <n v="6396000000"/>
    <n v="1227000000"/>
    <n v="98000000"/>
    <n v="1001000000"/>
    <s v="Materials"/>
    <s v="Industrial Gases"/>
    <n v="0.43014967925873127"/>
    <n v="4828000000"/>
    <n v="0.22291518175338559"/>
    <n v="2502000000"/>
  </r>
  <r>
    <x v="321"/>
    <n v="2"/>
    <n v="2013"/>
    <x v="1"/>
    <n v="11925000000"/>
    <n v="6744000000"/>
    <n v="1349000000"/>
    <n v="98000000"/>
    <n v="1109000000"/>
    <s v="Materials"/>
    <s v="Industrial Gases"/>
    <n v="0.43446540880503148"/>
    <n v="5181000000"/>
    <n v="0.22012578616352202"/>
    <n v="2625000000"/>
  </r>
  <r>
    <x v="321"/>
    <n v="3"/>
    <n v="2014"/>
    <x v="2"/>
    <n v="12273000000"/>
    <n v="6962000000"/>
    <n v="1437000000"/>
    <n v="96000000"/>
    <n v="1170000000"/>
    <s v="Materials"/>
    <s v="Industrial Gases"/>
    <n v="0.43273853173633181"/>
    <n v="5311000000"/>
    <n v="0.21249898150411473"/>
    <n v="2608000000"/>
  </r>
  <r>
    <x v="321"/>
    <n v="4"/>
    <n v="2015"/>
    <x v="3"/>
    <n v="10776000000"/>
    <n v="5960000000"/>
    <n v="1296000000"/>
    <n v="93000000"/>
    <n v="1106000000"/>
    <s v="Materials"/>
    <s v="Industrial Gases"/>
    <n v="0.44691907943578324"/>
    <n v="4816000000"/>
    <n v="0.21538604305864886"/>
    <n v="2321000000"/>
  </r>
  <r>
    <x v="322"/>
    <n v="1"/>
    <n v="2013"/>
    <x v="143"/>
    <n v="24866000000"/>
    <n v="9820000000"/>
    <n v="2849000000"/>
    <n v="4967000000"/>
    <n v="0"/>
    <s v="Information Technology"/>
    <s v="Semiconductors"/>
    <n v="0.60508324619963005"/>
    <n v="15046000000"/>
    <n v="0.2907584653744068"/>
    <n v="7230000000"/>
  </r>
  <r>
    <x v="322"/>
    <n v="2"/>
    <n v="2014"/>
    <x v="144"/>
    <n v="26487000000"/>
    <n v="10686000000"/>
    <n v="2774000000"/>
    <n v="5477000000"/>
    <n v="0"/>
    <s v="Information Technology"/>
    <s v="Semiconductors"/>
    <n v="0.59655680144976775"/>
    <n v="15801000000"/>
    <n v="0.28504549401593232"/>
    <n v="7550000000"/>
  </r>
  <r>
    <x v="322"/>
    <n v="3"/>
    <n v="2015"/>
    <x v="145"/>
    <n v="25281000000"/>
    <n v="10378000000"/>
    <n v="3637000000"/>
    <n v="5490000000"/>
    <n v="0"/>
    <s v="Information Technology"/>
    <s v="Semiconductors"/>
    <n v="0.58949408646809864"/>
    <n v="14903000000"/>
    <n v="0.2284719750009889"/>
    <n v="5776000000"/>
  </r>
  <r>
    <x v="322"/>
    <n v="4"/>
    <n v="2016"/>
    <x v="146"/>
    <n v="23554000000"/>
    <n v="9749000000"/>
    <n v="2159000000"/>
    <n v="5151000000"/>
    <n v="0"/>
    <s v="Information Technology"/>
    <s v="Semiconductors"/>
    <n v="0.58610002547338036"/>
    <n v="13805000000"/>
    <n v="0.27574934193767514"/>
    <n v="6495000000"/>
  </r>
  <r>
    <x v="323"/>
    <n v="1"/>
    <n v="2014"/>
    <x v="123"/>
    <n v="1148231000"/>
    <n v="743304000"/>
    <n v="180317000"/>
    <n v="197269000"/>
    <n v="0"/>
    <s v="Information Technology"/>
    <s v="Semiconductors"/>
    <n v="0.35265290694990814"/>
    <n v="404927000"/>
    <n v="2.3811410770132491E-2"/>
    <n v="27341000"/>
  </r>
  <r>
    <x v="323"/>
    <n v="2"/>
    <n v="2015"/>
    <x v="124"/>
    <n v="1710966000"/>
    <n v="1021658000"/>
    <n v="309348000"/>
    <n v="257494000"/>
    <n v="0"/>
    <s v="Information Technology"/>
    <s v="Semiconductors"/>
    <n v="0.40287650368271488"/>
    <n v="689308000"/>
    <n v="7.1577109071717382E-2"/>
    <n v="122466000"/>
  </r>
  <r>
    <x v="323"/>
    <n v="3"/>
    <n v="2016"/>
    <x v="125"/>
    <n v="2610726000"/>
    <n v="1561173000"/>
    <n v="588822000"/>
    <n v="448763000"/>
    <n v="0"/>
    <s v="Information Technology"/>
    <s v="Semiconductors"/>
    <n v="0.40201576113311011"/>
    <n v="1049553000"/>
    <n v="4.5841654773423179E-3"/>
    <n v="11968000"/>
  </r>
  <r>
    <x v="324"/>
    <n v="1"/>
    <n v="2013"/>
    <x v="1"/>
    <n v="6419285000"/>
    <n v="5099484000"/>
    <n v="922340000"/>
    <n v="0"/>
    <n v="0"/>
    <s v="Industrials"/>
    <s v="Industrial Conglomerates"/>
    <n v="0.20559937750076529"/>
    <n v="1319801000"/>
    <n v="6.1916708792334352E-2"/>
    <n v="397461000"/>
  </r>
  <r>
    <x v="324"/>
    <n v="2"/>
    <n v="2014"/>
    <x v="2"/>
    <n v="6638774000"/>
    <n v="5253040000"/>
    <n v="1030014000"/>
    <n v="0"/>
    <n v="0"/>
    <s v="Industrials"/>
    <s v="Industrial Conglomerates"/>
    <n v="0.20873341975491255"/>
    <n v="1385734000"/>
    <n v="5.3582182493333859E-2"/>
    <n v="355720000"/>
  </r>
  <r>
    <x v="324"/>
    <n v="3"/>
    <n v="2015"/>
    <x v="3"/>
    <n v="6571893000"/>
    <n v="5086449000"/>
    <n v="961579000"/>
    <n v="0"/>
    <n v="0"/>
    <s v="Industrials"/>
    <s v="Industrial Conglomerates"/>
    <n v="0.22602985167287415"/>
    <n v="1485444000"/>
    <n v="7.9712953330189643E-2"/>
    <n v="523865000"/>
  </r>
  <r>
    <x v="324"/>
    <n v="4"/>
    <n v="2016"/>
    <x v="12"/>
    <n v="6786984000"/>
    <n v="5285568000"/>
    <n v="956158000"/>
    <n v="0"/>
    <n v="0"/>
    <s v="Industrials"/>
    <s v="Industrial Conglomerates"/>
    <n v="0.22121991152476561"/>
    <n v="1501416000"/>
    <n v="8.0338777872468833E-2"/>
    <n v="545258000"/>
  </r>
  <r>
    <x v="325"/>
    <n v="1"/>
    <n v="2012"/>
    <x v="0"/>
    <n v="7688024000"/>
    <n v="5157434000"/>
    <n v="1011543000"/>
    <n v="0"/>
    <n v="730493000"/>
    <s v="Consumer Discretionary"/>
    <s v="Hotels, Resorts &amp; Cruise Lines"/>
    <n v="0.32916000262226031"/>
    <n v="2530590000"/>
    <n v="0.10256913870196034"/>
    <n v="788554000"/>
  </r>
  <r>
    <x v="325"/>
    <n v="2"/>
    <n v="2013"/>
    <x v="1"/>
    <n v="7959894000"/>
    <n v="5305270000"/>
    <n v="1044819000"/>
    <n v="0"/>
    <n v="754711000"/>
    <s v="Consumer Discretionary"/>
    <s v="Hotels, Resorts &amp; Cruise Lines"/>
    <n v="0.33349991846625093"/>
    <n v="2654624000"/>
    <n v="0.1074252998846467"/>
    <n v="855094000"/>
  </r>
  <r>
    <x v="325"/>
    <n v="3"/>
    <n v="2014"/>
    <x v="2"/>
    <n v="8073855000"/>
    <n v="5306281000"/>
    <n v="1048952000"/>
    <n v="0"/>
    <n v="772445000"/>
    <s v="Consumer Discretionary"/>
    <s v="Hotels, Resorts &amp; Cruise Lines"/>
    <n v="0.34278222732511299"/>
    <n v="2767574000"/>
    <n v="0.11719023935901747"/>
    <n v="946177000"/>
  </r>
  <r>
    <x v="325"/>
    <n v="4"/>
    <n v="2015"/>
    <x v="3"/>
    <n v="8299074000"/>
    <n v="5099393000"/>
    <n v="1086504000"/>
    <n v="0"/>
    <n v="827008000"/>
    <s v="Consumer Discretionary"/>
    <s v="Hotels, Resorts &amp; Cruise Lines"/>
    <n v="0.38554674895054553"/>
    <n v="3199681000"/>
    <n v="0.15497741073281188"/>
    <n v="1286169000"/>
  </r>
  <r>
    <x v="317"/>
    <n v="3"/>
    <n v="2015"/>
    <x v="3"/>
    <n v="2384400000"/>
    <n v="806500000"/>
    <n v="640500000"/>
    <n v="197400000"/>
    <n v="0"/>
    <s v="Health Care"/>
    <s v="Health Care Equipment"/>
    <n v="0.66175977185036072"/>
    <n v="1577900000"/>
    <n v="0.31035061231337024"/>
    <n v="740000000"/>
  </r>
  <r>
    <x v="317"/>
    <n v="4"/>
    <n v="2016"/>
    <x v="12"/>
    <n v="2704400000"/>
    <n v="814300000"/>
    <n v="705300000"/>
    <n v="239600000"/>
    <n v="0"/>
    <s v="Health Care"/>
    <s v="Health Care Equipment"/>
    <n v="0.69889809199822506"/>
    <n v="1890100000"/>
    <n v="0.34950451116698711"/>
    <n v="945200000"/>
  </r>
  <r>
    <x v="326"/>
    <n v="1"/>
    <n v="2012"/>
    <x v="0"/>
    <n v="5671400000"/>
    <n v="3421700000"/>
    <n v="1114600000"/>
    <n v="0"/>
    <n v="86300000"/>
    <s v="Health Care"/>
    <s v="Health Care Facilities"/>
    <n v="0.39667454244101985"/>
    <n v="2249700000"/>
    <n v="0.18492788376767641"/>
    <n v="1048800000"/>
  </r>
  <r>
    <x v="326"/>
    <n v="2"/>
    <n v="2013"/>
    <x v="1"/>
    <n v="5808300000"/>
    <n v="3585100000"/>
    <n v="1128800000"/>
    <n v="0"/>
    <n v="81700000"/>
    <s v="Health Care"/>
    <s v="Health Care Facilities"/>
    <n v="0.3827625983506362"/>
    <n v="2223200000"/>
    <n v="0.17435394177298005"/>
    <n v="1012700000"/>
  </r>
  <r>
    <x v="327"/>
    <n v="1"/>
    <n v="2013"/>
    <x v="1"/>
    <n v="4245895000"/>
    <n v="2522803000"/>
    <n v="1324815000"/>
    <n v="0"/>
    <n v="1700000"/>
    <s v="Industrials"/>
    <s v="Human Resource &amp; Employment Services"/>
    <n v="0.40582539134858497"/>
    <n v="1723092000"/>
    <n v="9.3402451073330825E-2"/>
    <n v="396577000"/>
  </r>
  <r>
    <x v="327"/>
    <n v="2"/>
    <n v="2014"/>
    <x v="2"/>
    <n v="4695014000"/>
    <n v="2772098000"/>
    <n v="1425734000"/>
    <n v="0"/>
    <n v="557000"/>
    <s v="Industrials"/>
    <s v="Human Resource &amp; Employment Services"/>
    <n v="0.40956555188120847"/>
    <n v="1922916000"/>
    <n v="0.10577710737390772"/>
    <n v="496625000"/>
  </r>
  <r>
    <x v="327"/>
    <n v="3"/>
    <n v="2015"/>
    <x v="3"/>
    <n v="5094933000"/>
    <n v="2980462000"/>
    <n v="1533799000"/>
    <n v="0"/>
    <n v="192000"/>
    <s v="Industrials"/>
    <s v="Human Resource &amp; Employment Services"/>
    <n v="0.41501448596085566"/>
    <n v="2114471000"/>
    <n v="0.11393280343431406"/>
    <n v="580480000"/>
  </r>
  <r>
    <x v="327"/>
    <n v="4"/>
    <n v="2016"/>
    <x v="12"/>
    <n v="5250399000"/>
    <n v="3089723000"/>
    <n v="1606217000"/>
    <n v="0"/>
    <n v="1237000"/>
    <s v="Industrials"/>
    <s v="Human Resource &amp; Employment Services"/>
    <n v="0.41152605735297454"/>
    <n v="2160676000"/>
    <n v="0.10536761110917475"/>
    <n v="553222000"/>
  </r>
  <r>
    <x v="328"/>
    <n v="1"/>
    <n v="2013"/>
    <x v="119"/>
    <n v="1328817000"/>
    <n v="200600000"/>
    <n v="660887000"/>
    <n v="263150000"/>
    <n v="0"/>
    <s v="Information Technology"/>
    <s v="Systems Software"/>
    <n v="0.84903865618817342"/>
    <n v="1128217000"/>
    <n v="0.1536554694890267"/>
    <n v="204180000"/>
  </r>
  <r>
    <x v="328"/>
    <n v="2"/>
    <n v="2014"/>
    <x v="120"/>
    <n v="1534615000"/>
    <n v="232600000"/>
    <n v="750292000"/>
    <n v="317263000"/>
    <n v="0"/>
    <s v="Information Technology"/>
    <s v="Systems Software"/>
    <n v="0.84843103970702749"/>
    <n v="1302015000"/>
    <n v="0.15278099067192749"/>
    <n v="234460000"/>
  </r>
  <r>
    <x v="328"/>
    <n v="3"/>
    <n v="2015"/>
    <x v="44"/>
    <n v="1789489000"/>
    <n v="273199000"/>
    <n v="898440000"/>
    <n v="367856000"/>
    <n v="0"/>
    <s v="Information Technology"/>
    <s v="Systems Software"/>
    <n v="0.84733127725289181"/>
    <n v="1516290000"/>
    <n v="0.13970133373270247"/>
    <n v="249994000"/>
  </r>
  <r>
    <x v="328"/>
    <n v="4"/>
    <n v="2016"/>
    <x v="121"/>
    <n v="2052230000"/>
    <n v="309629000"/>
    <n v="1041231000"/>
    <n v="413322000"/>
    <n v="0"/>
    <s v="Information Technology"/>
    <s v="Systems Software"/>
    <n v="0.84912558533887528"/>
    <n v="1742601000"/>
    <n v="0.14035853681117613"/>
    <n v="288048000"/>
  </r>
  <r>
    <x v="329"/>
    <n v="1"/>
    <n v="2013"/>
    <x v="122"/>
    <n v="6945000000"/>
    <n v="2789000000"/>
    <n v="2971000000"/>
    <n v="0"/>
    <n v="27000000"/>
    <s v="Consumer Discretionary"/>
    <s v="Apparel, Accessories &amp; Luxury Goods"/>
    <n v="0.59841612670986322"/>
    <n v="4156000000"/>
    <n v="0.16673866090712744"/>
    <n v="1158000000"/>
  </r>
  <r>
    <x v="329"/>
    <n v="2"/>
    <n v="2014"/>
    <x v="123"/>
    <n v="7450000000"/>
    <n v="3140000000"/>
    <n v="3142000000"/>
    <n v="0"/>
    <n v="35000000"/>
    <s v="Consumer Discretionary"/>
    <s v="Apparel, Accessories &amp; Luxury Goods"/>
    <n v="0.57852348993288594"/>
    <n v="4310000000"/>
    <n v="0.15208053691275167"/>
    <n v="1133000000"/>
  </r>
  <r>
    <x v="329"/>
    <n v="3"/>
    <n v="2015"/>
    <x v="124"/>
    <n v="7620000000"/>
    <n v="3242000000"/>
    <n v="3301000000"/>
    <n v="0"/>
    <n v="25000000"/>
    <s v="Consumer Discretionary"/>
    <s v="Apparel, Accessories &amp; Luxury Goods"/>
    <n v="0.57454068241469813"/>
    <n v="4378000000"/>
    <n v="0.13805774278215224"/>
    <n v="1052000000"/>
  </r>
  <r>
    <x v="329"/>
    <n v="4"/>
    <n v="2016"/>
    <x v="125"/>
    <n v="7405000000"/>
    <n v="3218000000"/>
    <n v="3389000000"/>
    <n v="0"/>
    <n v="24000000"/>
    <s v="Consumer Discretionary"/>
    <s v="Apparel, Accessories &amp; Luxury Goods"/>
    <n v="0.56542876434841327"/>
    <n v="4187000000"/>
    <n v="0.10452397029034437"/>
    <n v="774000000"/>
  </r>
  <r>
    <x v="330"/>
    <n v="1"/>
    <n v="2013"/>
    <x v="29"/>
    <n v="6351900000"/>
    <n v="3778100000"/>
    <n v="1537700000"/>
    <n v="0"/>
    <n v="0"/>
    <s v="Industrials"/>
    <s v="Industrial Conglomerates"/>
    <n v="0.40520159322407467"/>
    <n v="2573800000"/>
    <n v="0.16311654780459389"/>
    <n v="1036100000"/>
  </r>
  <r>
    <x v="330"/>
    <n v="2"/>
    <n v="2014"/>
    <x v="30"/>
    <n v="6623500000"/>
    <n v="3869600000"/>
    <n v="1570100000"/>
    <n v="0"/>
    <n v="0"/>
    <s v="Industrials"/>
    <s v="Industrial Conglomerates"/>
    <n v="0.41577715709217178"/>
    <n v="2753900000"/>
    <n v="0.1787272590020382"/>
    <n v="1183800000"/>
  </r>
  <r>
    <x v="330"/>
    <n v="3"/>
    <n v="2015"/>
    <x v="31"/>
    <n v="6307900000"/>
    <n v="3604800000"/>
    <n v="1506400000"/>
    <n v="0"/>
    <n v="0"/>
    <s v="Industrials"/>
    <s v="Industrial Conglomerates"/>
    <n v="0.42852613389559124"/>
    <n v="2703100000"/>
    <n v="0.18971448501085938"/>
    <n v="1196700000"/>
  </r>
  <r>
    <x v="330"/>
    <n v="4"/>
    <n v="2016"/>
    <x v="32"/>
    <n v="5879500000"/>
    <n v="3404000000"/>
    <n v="1467400000"/>
    <n v="0"/>
    <n v="0"/>
    <s v="Industrials"/>
    <s v="Industrial Conglomerates"/>
    <n v="0.42103920401394679"/>
    <n v="2475500000"/>
    <n v="0.1714601581767157"/>
    <n v="1008100000"/>
  </r>
  <r>
    <x v="331"/>
    <n v="1"/>
    <n v="2012"/>
    <x v="0"/>
    <n v="2993489000"/>
    <n v="1321772000"/>
    <n v="914130000"/>
    <n v="0"/>
    <n v="0"/>
    <s v="Industrials"/>
    <s v="Industrial Conglomerates"/>
    <n v="0.55845102487431886"/>
    <n v="1671717000"/>
    <n v="0.25307826419271962"/>
    <n v="757587000"/>
  </r>
  <r>
    <x v="331"/>
    <n v="2"/>
    <n v="2013"/>
    <x v="1"/>
    <n v="3238128000"/>
    <n v="1355200000"/>
    <n v="1040567000"/>
    <n v="0"/>
    <n v="0"/>
    <s v="Industrials"/>
    <s v="Industrial Conglomerates"/>
    <n v="0.58148658731217551"/>
    <n v="1882928000"/>
    <n v="0.26013826507167104"/>
    <n v="842361000"/>
  </r>
  <r>
    <x v="331"/>
    <n v="3"/>
    <n v="2014"/>
    <x v="2"/>
    <n v="3549494000"/>
    <n v="1447595000"/>
    <n v="1102426000"/>
    <n v="0"/>
    <n v="0"/>
    <s v="Industrials"/>
    <s v="Industrial Conglomerates"/>
    <n v="0.59216863023292898"/>
    <n v="2101899000"/>
    <n v="0.28158182546582694"/>
    <n v="999473000"/>
  </r>
  <r>
    <x v="331"/>
    <n v="4"/>
    <n v="2015"/>
    <x v="3"/>
    <n v="3582395000"/>
    <n v="1417749000"/>
    <n v="1136728000"/>
    <n v="0"/>
    <n v="0"/>
    <s v="Industrials"/>
    <s v="Industrial Conglomerates"/>
    <n v="0.60424548381739029"/>
    <n v="2164646000"/>
    <n v="0.28693597439701651"/>
    <n v="1027918000"/>
  </r>
  <r>
    <x v="332"/>
    <n v="1"/>
    <n v="2013"/>
    <x v="96"/>
    <n v="9721065000"/>
    <n v="7011428000"/>
    <n v="1437886000"/>
    <n v="0"/>
    <n v="0"/>
    <s v="Consumer Discretionary"/>
    <s v="Apparel Retail"/>
    <n v="0.27873869786900918"/>
    <n v="2709637000"/>
    <n v="0.13082424610883683"/>
    <n v="1271751000"/>
  </r>
  <r>
    <x v="332"/>
    <n v="2"/>
    <n v="2014"/>
    <x v="47"/>
    <n v="10230353000"/>
    <n v="7360924000"/>
    <n v="1526366000"/>
    <n v="0"/>
    <n v="0"/>
    <s v="Consumer Discretionary"/>
    <s v="Apparel Retail"/>
    <n v="0.28048191494467489"/>
    <n v="2869429000"/>
    <n v="0.13128217569814063"/>
    <n v="1343063000"/>
  </r>
  <r>
    <x v="332"/>
    <n v="3"/>
    <n v="2015"/>
    <x v="23"/>
    <n v="11041677000"/>
    <n v="7937956000"/>
    <n v="1615371000"/>
    <n v="0"/>
    <n v="0"/>
    <s v="Consumer Discretionary"/>
    <s v="Apparel Retail"/>
    <n v="0.28109145014837877"/>
    <n v="3103721000"/>
    <n v="0.13479383611746656"/>
    <n v="1488350000"/>
  </r>
  <r>
    <x v="332"/>
    <n v="4"/>
    <n v="2016"/>
    <x v="48"/>
    <n v="11939999000"/>
    <n v="8576873000"/>
    <n v="1738755000"/>
    <n v="0"/>
    <n v="0"/>
    <s v="Consumer Discretionary"/>
    <s v="Apparel Retail"/>
    <n v="0.28166886781146294"/>
    <n v="3363126000"/>
    <n v="0.1360444837558194"/>
    <n v="1624371000"/>
  </r>
  <r>
    <x v="333"/>
    <n v="1"/>
    <n v="2012"/>
    <x v="0"/>
    <n v="1367135000"/>
    <n v="328784000"/>
    <n v="248136000"/>
    <n v="0"/>
    <n v="445228000"/>
    <s v="Energy"/>
    <s v="Oil &amp; Gas Exploration &amp; Production"/>
    <n v="0.75950875370757098"/>
    <n v="1038351000"/>
    <n v="0.25234303854410867"/>
    <n v="344987000"/>
  </r>
  <r>
    <x v="333"/>
    <n v="2"/>
    <n v="2013"/>
    <x v="1"/>
    <n v="1832253000"/>
    <n v="516119000"/>
    <n v="391707000"/>
    <n v="0"/>
    <n v="492397000"/>
    <s v="Energy"/>
    <s v="Oil &amp; Gas Exploration &amp; Production"/>
    <n v="0.71831455590467042"/>
    <n v="1316134000"/>
    <n v="0.23579167287487043"/>
    <n v="432030000"/>
  </r>
  <r>
    <x v="333"/>
    <n v="3"/>
    <n v="2014"/>
    <x v="2"/>
    <n v="2042537000"/>
    <n v="605752000"/>
    <n v="191802000"/>
    <n v="0"/>
    <n v="551032000"/>
    <s v="Energy"/>
    <s v="Oil &amp; Gas Exploration &amp; Production"/>
    <n v="0.70343156574397425"/>
    <n v="1436785000"/>
    <n v="0.33974953697289206"/>
    <n v="693951000"/>
  </r>
  <r>
    <x v="333"/>
    <n v="4"/>
    <n v="2015"/>
    <x v="3"/>
    <n v="1181704000"/>
    <n v="648968000"/>
    <n v="165318000"/>
    <n v="0"/>
    <n v="581155000"/>
    <s v="Energy"/>
    <s v="Oil &amp; Gas Exploration &amp; Production"/>
    <n v="0.45082017154888199"/>
    <n v="532736000"/>
    <n v="-0.18087185961966787"/>
    <n v="-213737000"/>
  </r>
  <r>
    <x v="334"/>
    <n v="1"/>
    <n v="2013"/>
    <x v="1"/>
    <n v="8417200000"/>
    <n v="5234700000"/>
    <n v="1088100000"/>
    <n v="0"/>
    <n v="877400000"/>
    <s v="Industrials"/>
    <s v="Industrial Conglomerates"/>
    <n v="0.37809485339542837"/>
    <n v="3182500000"/>
    <n v="0.14458489759064772"/>
    <n v="1217000000"/>
  </r>
  <r>
    <x v="334"/>
    <n v="2"/>
    <n v="2014"/>
    <x v="2"/>
    <n v="8803300000"/>
    <n v="5643100000"/>
    <n v="998400000"/>
    <n v="0"/>
    <n v="906900000"/>
    <s v="Industrials"/>
    <s v="Industrial Conglomerates"/>
    <n v="0.35897901923142461"/>
    <n v="3160200000"/>
    <n v="0.14254881692092738"/>
    <n v="1254900000"/>
  </r>
  <r>
    <x v="334"/>
    <n v="3"/>
    <n v="2015"/>
    <x v="3"/>
    <n v="9115000000"/>
    <n v="5518600000"/>
    <n v="1067000000"/>
    <n v="0"/>
    <n v="970600000"/>
    <s v="Industrials"/>
    <s v="Industrial Conglomerates"/>
    <n v="0.39455842018650578"/>
    <n v="3596400000"/>
    <n v="0.17101481075150851"/>
    <n v="1558800000"/>
  </r>
  <r>
    <x v="334"/>
    <n v="4"/>
    <n v="2016"/>
    <x v="12"/>
    <n v="9387700000"/>
    <n v="5764000000"/>
    <n v="1054500000"/>
    <n v="0"/>
    <n v="991100000"/>
    <s v="Industrials"/>
    <s v="Industrial Conglomerates"/>
    <n v="0.38600509176901687"/>
    <n v="3623700000"/>
    <n v="0.16810294321292754"/>
    <n v="1578100000"/>
  </r>
  <r>
    <x v="335"/>
    <n v="1"/>
    <n v="2013"/>
    <x v="143"/>
    <n v="14866800000"/>
    <n v="6382300000"/>
    <n v="5655800000"/>
    <n v="0"/>
    <n v="621400000"/>
    <s v="Consumer Discretionary"/>
    <s v="Restaurants"/>
    <n v="0.57070115963085533"/>
    <n v="8484500000"/>
    <n v="0.14847176258508893"/>
    <n v="2207300000"/>
  </r>
  <r>
    <x v="335"/>
    <n v="2"/>
    <n v="2014"/>
    <x v="144"/>
    <n v="16447800000"/>
    <n v="6858800000"/>
    <n v="6086800000"/>
    <n v="0"/>
    <n v="709600000"/>
    <s v="Consumer Discretionary"/>
    <s v="Restaurants"/>
    <n v="0.58299590218752662"/>
    <n v="9589000000"/>
    <n v="0.1697856248252046"/>
    <n v="2792600000"/>
  </r>
  <r>
    <x v="335"/>
    <n v="3"/>
    <n v="2015"/>
    <x v="145"/>
    <n v="19162700000"/>
    <n v="7787500000"/>
    <n v="7130200000"/>
    <n v="0"/>
    <n v="893900000"/>
    <s v="Consumer Discretionary"/>
    <s v="Restaurants"/>
    <n v="0.59361154743329492"/>
    <n v="11375200000"/>
    <n v="0.17487619176838337"/>
    <n v="3351100000"/>
  </r>
  <r>
    <x v="335"/>
    <n v="4"/>
    <n v="2016"/>
    <x v="147"/>
    <n v="21315900000"/>
    <n v="8511100000"/>
    <n v="7970300000"/>
    <n v="0"/>
    <n v="980800000"/>
    <s v="Consumer Discretionary"/>
    <s v="Restaurants"/>
    <n v="0.60071589752250665"/>
    <n v="12804800000"/>
    <n v="0.18078992676828096"/>
    <n v="3853700000"/>
  </r>
  <r>
    <x v="336"/>
    <n v="1"/>
    <n v="2012"/>
    <x v="0"/>
    <n v="4176000000"/>
    <n v="2754000000"/>
    <n v="207000000"/>
    <n v="0"/>
    <n v="356000000"/>
    <s v="Utilities"/>
    <s v="MultiUtilities"/>
    <n v="0.34051724137931039"/>
    <n v="1422000000"/>
    <n v="0.20569923371647508"/>
    <n v="859000000"/>
  </r>
  <r>
    <x v="336"/>
    <n v="2"/>
    <n v="2013"/>
    <x v="1"/>
    <n v="4495000000"/>
    <n v="2987000000"/>
    <n v="220000000"/>
    <n v="0"/>
    <n v="378000000"/>
    <s v="Utilities"/>
    <s v="MultiUtilities"/>
    <n v="0.3354838709677419"/>
    <n v="1508000000"/>
    <n v="0.20244716351501668"/>
    <n v="910000000"/>
  </r>
  <r>
    <x v="336"/>
    <n v="3"/>
    <n v="2014"/>
    <x v="2"/>
    <n v="4951000000"/>
    <n v="3331000000"/>
    <n v="229000000"/>
    <n v="0"/>
    <n v="384000000"/>
    <s v="Utilities"/>
    <s v="MultiUtilities"/>
    <n v="0.32720662492425767"/>
    <n v="1620000000"/>
    <n v="0.20339325388810342"/>
    <n v="1007000000"/>
  </r>
  <r>
    <x v="336"/>
    <n v="4"/>
    <n v="2015"/>
    <x v="3"/>
    <n v="4380000000"/>
    <n v="2714000000"/>
    <n v="234000000"/>
    <n v="0"/>
    <n v="358000000"/>
    <s v="Utilities"/>
    <s v="MultiUtilities"/>
    <n v="0.38036529680365294"/>
    <n v="1666000000"/>
    <n v="0.24520547945205479"/>
    <n v="1074000000"/>
  </r>
  <r>
    <x v="337"/>
    <n v="1"/>
    <n v="2012"/>
    <x v="0"/>
    <n v="5075000000"/>
    <n v="2417000000"/>
    <n v="337000000"/>
    <n v="0"/>
    <n v="746000000"/>
    <s v="Energy"/>
    <s v="Oil &amp; Gas Refining &amp; Marketing &amp; Transportation"/>
    <n v="0.52374384236453198"/>
    <n v="2658000000"/>
    <n v="0.31034482758620691"/>
    <n v="1575000000"/>
  </r>
  <r>
    <x v="337"/>
    <n v="2"/>
    <n v="2013"/>
    <x v="1"/>
    <n v="5518000000"/>
    <n v="2707000000"/>
    <n v="373000000"/>
    <n v="0"/>
    <n v="772000000"/>
    <s v="Energy"/>
    <s v="Oil &amp; Gas Refining &amp; Marketing &amp; Transportation"/>
    <n v="0.50942370424066685"/>
    <n v="2811000000"/>
    <n v="0.30192098586444366"/>
    <n v="1666000000"/>
  </r>
  <r>
    <x v="337"/>
    <n v="3"/>
    <n v="2014"/>
    <x v="2"/>
    <n v="5903000000"/>
    <n v="2790000000"/>
    <n v="393000000"/>
    <n v="0"/>
    <n v="796000000"/>
    <s v="Energy"/>
    <s v="Oil &amp; Gas Refining &amp; Marketing &amp; Transportation"/>
    <n v="0.52735897001524656"/>
    <n v="3113000000"/>
    <n v="0.32593596476367948"/>
    <n v="1924000000"/>
  </r>
  <r>
    <x v="337"/>
    <n v="4"/>
    <n v="2015"/>
    <x v="3"/>
    <n v="5234000000"/>
    <n v="2335000000"/>
    <n v="353000000"/>
    <n v="0"/>
    <n v="764000000"/>
    <s v="Energy"/>
    <s v="Oil &amp; Gas Refining &amp; Marketing &amp; Transportation"/>
    <n v="0.55387848681696594"/>
    <n v="2899000000"/>
    <n v="0.34046618265189149"/>
    <n v="1782000000"/>
  </r>
  <r>
    <x v="338"/>
    <n v="1"/>
    <n v="2013"/>
    <x v="1"/>
    <n v="7690800000"/>
    <n v="5100900000"/>
    <n v="1788300000"/>
    <n v="0"/>
    <n v="123200000"/>
    <s v="Materials"/>
    <s v="Paper Packaging"/>
    <n v="0.33675300358870341"/>
    <n v="2589900000"/>
    <n v="8.8209289020648049E-2"/>
    <n v="678400000"/>
  </r>
  <r>
    <x v="338"/>
    <n v="2"/>
    <n v="2014"/>
    <x v="2"/>
    <n v="7750500000"/>
    <n v="5062900000"/>
    <n v="1849400000"/>
    <n v="0"/>
    <n v="118900000"/>
    <s v="Materials"/>
    <s v="Paper Packaging"/>
    <n v="0.34676472485646093"/>
    <n v="2687600000"/>
    <n v="9.2806915682859176E-2"/>
    <n v="719300000"/>
  </r>
  <r>
    <x v="338"/>
    <n v="3"/>
    <n v="2015"/>
    <x v="3"/>
    <n v="7031500000"/>
    <n v="4444900000"/>
    <n v="1656200000"/>
    <n v="0"/>
    <n v="88700000"/>
    <s v="Materials"/>
    <s v="Paper Packaging"/>
    <n v="0.36785892057171299"/>
    <n v="2586600000"/>
    <n v="0.11970418829552727"/>
    <n v="841700000"/>
  </r>
  <r>
    <x v="338"/>
    <n v="4"/>
    <n v="2016"/>
    <x v="12"/>
    <n v="6778300000"/>
    <n v="4246700000"/>
    <n v="1604400000"/>
    <n v="0"/>
    <n v="94900000"/>
    <s v="Materials"/>
    <s v="Paper Packaging"/>
    <n v="0.37348597730994493"/>
    <n v="2531600000"/>
    <n v="0.12278889987164923"/>
    <n v="832300000"/>
  </r>
  <r>
    <x v="339"/>
    <n v="1"/>
    <n v="2012"/>
    <x v="0"/>
    <n v="9534462000"/>
    <n v="5328236000"/>
    <n v="3264896000"/>
    <n v="0"/>
    <n v="0"/>
    <s v="Materials"/>
    <s v="Specialty Chemicals"/>
    <n v="0.44116028780648553"/>
    <n v="4206226000"/>
    <n v="9.8729220379713087E-2"/>
    <n v="941330000"/>
  </r>
  <r>
    <x v="339"/>
    <n v="2"/>
    <n v="2013"/>
    <x v="1"/>
    <n v="10185532000"/>
    <n v="5568966000"/>
    <n v="3470200000"/>
    <n v="0"/>
    <n v="0"/>
    <s v="Materials"/>
    <s v="Specialty Chemicals"/>
    <n v="0.45324741015000491"/>
    <n v="4616566000"/>
    <n v="0.11254846580424076"/>
    <n v="1146366000"/>
  </r>
  <r>
    <x v="339"/>
    <n v="3"/>
    <n v="2014"/>
    <x v="2"/>
    <n v="11129533000"/>
    <n v="5965049000"/>
    <n v="3860448000"/>
    <n v="0"/>
    <n v="0"/>
    <s v="Materials"/>
    <s v="Specialty Chemicals"/>
    <n v="0.46403420520879002"/>
    <n v="5164484000"/>
    <n v="0.11716897735062198"/>
    <n v="1304036000"/>
  </r>
  <r>
    <x v="339"/>
    <n v="4"/>
    <n v="2015"/>
    <x v="3"/>
    <n v="11339304000"/>
    <n v="5780078000"/>
    <n v="3943786000"/>
    <n v="0"/>
    <n v="0"/>
    <s v="Materials"/>
    <s v="Specialty Chemicals"/>
    <n v="0.49026165979852021"/>
    <n v="5559226000"/>
    <n v="0.14246377026314844"/>
    <n v="1615440000"/>
  </r>
  <r>
    <x v="340"/>
    <n v="1"/>
    <n v="2013"/>
    <x v="96"/>
    <n v="3983400000"/>
    <n v="2446000000"/>
    <n v="976900000"/>
    <n v="0"/>
    <n v="0"/>
    <s v="Consumer Discretionary"/>
    <s v="Specialty Stores"/>
    <n v="0.38595169955314557"/>
    <n v="1537400000"/>
    <n v="0.14070894210975549"/>
    <n v="560500000"/>
  </r>
  <r>
    <x v="340"/>
    <n v="2"/>
    <n v="2014"/>
    <x v="47"/>
    <n v="4209200000"/>
    <n v="2628700000"/>
    <n v="1010000000"/>
    <n v="0"/>
    <n v="0"/>
    <s v="Consumer Discretionary"/>
    <s v="Specialty Stores"/>
    <n v="0.37548702841395043"/>
    <n v="1580500000"/>
    <n v="0.13553644397985365"/>
    <n v="570500000"/>
  </r>
  <r>
    <x v="340"/>
    <n v="3"/>
    <n v="2015"/>
    <x v="148"/>
    <n v="5736300000"/>
    <n v="3662100000"/>
    <n v="1497600000"/>
    <n v="0"/>
    <n v="0"/>
    <s v="Consumer Discretionary"/>
    <s v="Specialty Stores"/>
    <n v="0.36159196694733542"/>
    <n v="2074200000"/>
    <n v="0.10051775534752366"/>
    <n v="576600000"/>
  </r>
  <r>
    <x v="340"/>
    <n v="4"/>
    <n v="2016"/>
    <x v="48"/>
    <n v="6550200000"/>
    <n v="4109800000"/>
    <n v="1736700000"/>
    <n v="0"/>
    <n v="0"/>
    <s v="Consumer Discretionary"/>
    <s v="Specialty Stores"/>
    <n v="0.37256877652590759"/>
    <n v="2440400000"/>
    <n v="0.10743183414246893"/>
    <n v="703700000"/>
  </r>
  <r>
    <x v="341"/>
    <n v="1"/>
    <n v="2013"/>
    <x v="49"/>
    <n v="5897700000"/>
    <n v="3870100000"/>
    <n v="1020400000"/>
    <n v="0"/>
    <n v="96800000"/>
    <s v="Consumer Staples"/>
    <s v="Packaged Foods &amp; Meats"/>
    <n v="0.34379503874391715"/>
    <n v="2027600000"/>
    <n v="0.15436526103396239"/>
    <n v="910400000"/>
  </r>
  <r>
    <x v="341"/>
    <n v="2"/>
    <n v="2014"/>
    <x v="50"/>
    <n v="5610600000"/>
    <n v="3579600000"/>
    <n v="1013100000"/>
    <n v="0"/>
    <n v="98900000"/>
    <s v="Consumer Staples"/>
    <s v="Packaged Foods &amp; Meats"/>
    <n v="0.36199336969308094"/>
    <n v="2031000000"/>
    <n v="0.16379709834955264"/>
    <n v="919000000"/>
  </r>
  <r>
    <x v="341"/>
    <n v="3"/>
    <n v="2015"/>
    <x v="51"/>
    <n v="5692700000"/>
    <n v="3724000000"/>
    <n v="1085800000"/>
    <n v="0"/>
    <n v="110900000"/>
    <s v="Consumer Staples"/>
    <s v="Packaged Foods &amp; Meats"/>
    <n v="0.34582886855095119"/>
    <n v="1968700000"/>
    <n v="0.13561227537021098"/>
    <n v="772000000"/>
  </r>
  <r>
    <x v="341"/>
    <n v="4"/>
    <n v="2016"/>
    <x v="52"/>
    <n v="7811200000"/>
    <n v="4843400000"/>
    <n v="1614100000"/>
    <n v="0"/>
    <n v="208400000"/>
    <s v="Consumer Staples"/>
    <s v="Packaged Foods &amp; Meats"/>
    <n v="0.37994162228594841"/>
    <n v="2967800000"/>
    <n v="0.14662279803359279"/>
    <n v="1145300000"/>
  </r>
  <r>
    <x v="342"/>
    <n v="1"/>
    <n v="2012"/>
    <x v="0"/>
    <n v="1290052000"/>
    <n v="470243000"/>
    <n v="120310000"/>
    <n v="0"/>
    <n v="330418000"/>
    <s v="Real Estate"/>
    <s v="Office REITs"/>
    <n v="0.63548523625404241"/>
    <n v="819809000"/>
    <n v="0.28609776970230655"/>
    <n v="369081000"/>
  </r>
  <r>
    <x v="342"/>
    <n v="2"/>
    <n v="2013"/>
    <x v="1"/>
    <n v="1371065000"/>
    <n v="479665000"/>
    <n v="122128000"/>
    <n v="0"/>
    <n v="340316000"/>
    <s v="Real Estate"/>
    <s v="Office REITs"/>
    <n v="0.6501515245447882"/>
    <n v="891400000"/>
    <n v="0.31286335804648213"/>
    <n v="428956000"/>
  </r>
  <r>
    <x v="342"/>
    <n v="3"/>
    <n v="2014"/>
    <x v="2"/>
    <n v="1519978000"/>
    <n v="500126000"/>
    <n v="133502000"/>
    <n v="0"/>
    <n v="393987000"/>
    <s v="Real Estate"/>
    <s v="Office REITs"/>
    <n v="0.67096497449305192"/>
    <n v="1019852000"/>
    <n v="0.32392771474323973"/>
    <n v="492363000"/>
  </r>
  <r>
    <x v="342"/>
    <n v="4"/>
    <n v="2015"/>
    <x v="3"/>
    <n v="1662829000"/>
    <n v="534326000"/>
    <n v="139137000"/>
    <n v="0"/>
    <n v="588235000"/>
    <s v="Real Estate"/>
    <s v="Office REITs"/>
    <n v="0.6786644928612624"/>
    <n v="1128503000"/>
    <n v="0.24123406555935697"/>
    <n v="401131000"/>
  </r>
  <r>
    <x v="343"/>
    <n v="1"/>
    <n v="2013"/>
    <x v="1"/>
    <n v="3237500000"/>
    <n v="1638900000"/>
    <n v="1012400000"/>
    <n v="0"/>
    <n v="0"/>
    <s v="Consumer Discretionary"/>
    <s v="Household Appliances"/>
    <n v="0.49377606177606181"/>
    <n v="1598600000"/>
    <n v="0.18106563706563705"/>
    <n v="586200000"/>
  </r>
  <r>
    <x v="343"/>
    <n v="2"/>
    <n v="2015"/>
    <x v="6"/>
    <n v="3492600000"/>
    <n v="1759200000"/>
    <n v="1048700000"/>
    <n v="0"/>
    <n v="0"/>
    <s v="Consumer Discretionary"/>
    <s v="Household Appliances"/>
    <n v="0.49630647655042093"/>
    <n v="1733400000"/>
    <n v="0.19604306247494704"/>
    <n v="684700000"/>
  </r>
  <r>
    <x v="343"/>
    <n v="3"/>
    <n v="2016"/>
    <x v="7"/>
    <n v="3593100000"/>
    <n v="1774600000"/>
    <n v="1053700000"/>
    <n v="0"/>
    <n v="0"/>
    <s v="Consumer Discretionary"/>
    <s v="Household Appliances"/>
    <n v="0.50610893100665166"/>
    <n v="1818500000"/>
    <n v="0.21285241156661378"/>
    <n v="764800000"/>
  </r>
  <r>
    <x v="343"/>
    <n v="4"/>
    <n v="2016"/>
    <x v="12"/>
    <n v="3711800000"/>
    <n v="1803500000"/>
    <n v="1054100000"/>
    <n v="0"/>
    <n v="0"/>
    <s v="Consumer Discretionary"/>
    <s v="Household Appliances"/>
    <n v="0.51411713993210839"/>
    <n v="1908300000"/>
    <n v="0.23013093377875962"/>
    <n v="854200000"/>
  </r>
  <r>
    <x v="344"/>
    <n v="1"/>
    <n v="2012"/>
    <x v="0"/>
    <n v="2307182000"/>
    <n v="610836000"/>
    <n v="655473000"/>
    <n v="0"/>
    <n v="107591000"/>
    <s v="Consumer Discretionary"/>
    <s v="Broadcasting &amp; Cable TV"/>
    <n v="0.73524585403318854"/>
    <n v="1696346000"/>
    <n v="0.40451165100975994"/>
    <n v="933282000"/>
  </r>
  <r>
    <x v="344"/>
    <n v="2"/>
    <n v="2013"/>
    <x v="1"/>
    <n v="2530809000"/>
    <n v="699294000"/>
    <n v="729055000"/>
    <n v="0"/>
    <n v="117580000"/>
    <s v="Consumer Discretionary"/>
    <s v="Broadcasting &amp; Cable TV"/>
    <n v="0.72368756393706524"/>
    <n v="1831515000"/>
    <n v="0.38915619471876384"/>
    <n v="984880000"/>
  </r>
  <r>
    <x v="344"/>
    <n v="3"/>
    <n v="2014"/>
    <x v="2"/>
    <n v="2665456000"/>
    <n v="778896000"/>
    <n v="764799000"/>
    <n v="0"/>
    <n v="128582000"/>
    <s v="Consumer Discretionary"/>
    <s v="Broadcasting &amp; Cable TV"/>
    <n v="0.70778133272505717"/>
    <n v="1886560000"/>
    <n v="0.37261129052589875"/>
    <n v="993179000"/>
  </r>
  <r>
    <x v="344"/>
    <n v="4"/>
    <n v="2015"/>
    <x v="3"/>
    <n v="3018227000"/>
    <n v="987357000"/>
    <n v="785179000"/>
    <n v="0"/>
    <n v="137596000"/>
    <s v="Consumer Discretionary"/>
    <s v="Broadcasting &amp; Cable TV"/>
    <n v="0.67286854169683064"/>
    <n v="2030870000"/>
    <n v="0.3671344136806145"/>
    <n v="1108095000"/>
  </r>
  <r>
    <x v="345"/>
    <n v="1"/>
    <n v="2012"/>
    <x v="0"/>
    <n v="16537000000"/>
    <n v="9373000000"/>
    <n v="914000000"/>
    <n v="0"/>
    <n v="1787000000"/>
    <s v="Utilities"/>
    <s v="Electric Utilities"/>
    <n v="0.43321037673096696"/>
    <n v="7164000000"/>
    <n v="0.26987966378424139"/>
    <n v="4463000000"/>
  </r>
  <r>
    <x v="345"/>
    <n v="2"/>
    <n v="2013"/>
    <x v="1"/>
    <n v="17087000000"/>
    <n v="9817000000"/>
    <n v="934000000"/>
    <n v="0"/>
    <n v="1901000000"/>
    <s v="Utilities"/>
    <s v="Electric Utilities"/>
    <n v="0.42546965529349801"/>
    <n v="7270000000"/>
    <n v="0.25955404693626732"/>
    <n v="4435000000"/>
  </r>
  <r>
    <x v="345"/>
    <n v="3"/>
    <n v="2014"/>
    <x v="2"/>
    <n v="18467000000"/>
    <n v="11031000000"/>
    <n v="981000000"/>
    <n v="0"/>
    <n v="1945000000"/>
    <s v="Utilities"/>
    <s v="Electric Utilities"/>
    <n v="0.40266421183733148"/>
    <n v="7436000000"/>
    <n v="0.24421941842205014"/>
    <n v="4510000000"/>
  </r>
  <r>
    <x v="345"/>
    <n v="4"/>
    <n v="2015"/>
    <x v="3"/>
    <n v="17489000000"/>
    <n v="9811000000"/>
    <n v="997000000"/>
    <n v="0"/>
    <n v="2034000000"/>
    <s v="Utilities"/>
    <s v="Electric Utilities"/>
    <n v="0.43901881182457547"/>
    <n v="7678000000"/>
    <n v="0.26570987477843216"/>
    <n v="4647000000"/>
  </r>
  <r>
    <x v="346"/>
    <n v="1"/>
    <n v="2012"/>
    <x v="0"/>
    <n v="4256157000"/>
    <n v="800380000"/>
    <n v="376687000"/>
    <n v="0"/>
    <n v="1068382000"/>
    <s v="Real Estate"/>
    <s v="REITs"/>
    <n v="0.81194772655238046"/>
    <n v="3455777000"/>
    <n v="0.47242336220209924"/>
    <n v="2010708000"/>
  </r>
  <r>
    <x v="346"/>
    <n v="2"/>
    <n v="2013"/>
    <x v="1"/>
    <n v="4543849000"/>
    <n v="837946000"/>
    <n v="402369000"/>
    <n v="0"/>
    <n v="1107700000"/>
    <s v="Real Estate"/>
    <s v="REITs"/>
    <n v="0.81558674154884991"/>
    <n v="3705903000"/>
    <n v="0.48325417503970752"/>
    <n v="2195834000"/>
  </r>
  <r>
    <x v="346"/>
    <n v="3"/>
    <n v="2014"/>
    <x v="2"/>
    <n v="4870818000"/>
    <n v="882803000"/>
    <n v="446845000"/>
    <n v="0"/>
    <n v="1143827000"/>
    <s v="Real Estate"/>
    <s v="REITs"/>
    <n v="0.8187567262829365"/>
    <n v="3988015000"/>
    <n v="0.49218488557774076"/>
    <n v="2397343000"/>
  </r>
  <r>
    <x v="346"/>
    <n v="4"/>
    <n v="2015"/>
    <x v="3"/>
    <n v="5266103000"/>
    <n v="960192000"/>
    <n v="452835000"/>
    <n v="0"/>
    <n v="1177568000"/>
    <s v="Real Estate"/>
    <s v="REITs"/>
    <n v="0.81766554888880827"/>
    <n v="4305911000"/>
    <n v="0.50806222362152809"/>
    <n v="2675508000"/>
  </r>
  <r>
    <x v="347"/>
    <n v="1"/>
    <n v="2013"/>
    <x v="96"/>
    <n v="24380510000"/>
    <n v="17889249000"/>
    <n v="4884284000"/>
    <n v="0"/>
    <n v="78900000"/>
    <s v="Consumer Discretionary"/>
    <s v="Specialty Stores"/>
    <n v="0.26624795789751732"/>
    <n v="6491261000"/>
    <n v="6.2676170432858044E-2"/>
    <n v="1528077000"/>
  </r>
  <r>
    <x v="347"/>
    <n v="2"/>
    <n v="2014"/>
    <x v="47"/>
    <n v="23114000000"/>
    <n v="17082000000"/>
    <n v="4735000000"/>
    <n v="0"/>
    <n v="55000000"/>
    <s v="Consumer Discretionary"/>
    <s v="Specialty Stores"/>
    <n v="0.26096737907761525"/>
    <n v="6032000000"/>
    <n v="5.3733667906896251E-2"/>
    <n v="1242000000"/>
  </r>
  <r>
    <x v="347"/>
    <n v="3"/>
    <n v="2015"/>
    <x v="23"/>
    <n v="22492000000"/>
    <n v="16691000000"/>
    <n v="4816000000"/>
    <n v="0"/>
    <n v="62000000"/>
    <s v="Consumer Discretionary"/>
    <s v="Specialty Stores"/>
    <n v="0.25791392495109378"/>
    <n v="5801000000"/>
    <n v="4.1036813089098345E-2"/>
    <n v="923000000"/>
  </r>
  <r>
    <x v="347"/>
    <n v="4"/>
    <n v="2016"/>
    <x v="48"/>
    <n v="21059000000"/>
    <n v="15545000000"/>
    <n v="4600000000"/>
    <n v="0"/>
    <n v="67000000"/>
    <s v="Consumer Discretionary"/>
    <s v="Specialty Stores"/>
    <n v="0.26183579467211171"/>
    <n v="5514000000"/>
    <n v="4.0220333349161877E-2"/>
    <n v="847000000"/>
  </r>
  <r>
    <x v="348"/>
    <n v="1"/>
    <n v="2012"/>
    <x v="0"/>
    <n v="1913149000"/>
    <n v="1055844000"/>
    <n v="356817000"/>
    <n v="0"/>
    <n v="31652000"/>
    <s v="Industrials"/>
    <s v="Industrial Conglomerates"/>
    <n v="0.44811198709562083"/>
    <n v="857305000"/>
    <n v="0.24505984635802019"/>
    <n v="468836000"/>
  </r>
  <r>
    <x v="348"/>
    <n v="2"/>
    <n v="2013"/>
    <x v="1"/>
    <n v="2142807000"/>
    <n v="1178173000"/>
    <n v="390610000"/>
    <n v="0"/>
    <n v="38405000"/>
    <s v="Industrials"/>
    <s v="Industrial Conglomerates"/>
    <n v="0.45017306738311014"/>
    <n v="964634000"/>
    <n v="0.24996138242968219"/>
    <n v="535619000"/>
  </r>
  <r>
    <x v="348"/>
    <n v="3"/>
    <n v="2014"/>
    <x v="2"/>
    <n v="2555601000"/>
    <n v="1461190000"/>
    <n v="489937000"/>
    <n v="0"/>
    <n v="48138000"/>
    <s v="Industrials"/>
    <s v="Industrial Conglomerates"/>
    <n v="0.42824016738137138"/>
    <n v="1094411000"/>
    <n v="0.21769282450585986"/>
    <n v="556336000"/>
  </r>
  <r>
    <x v="348"/>
    <n v="4"/>
    <n v="2015"/>
    <x v="3"/>
    <n v="2985908000"/>
    <n v="1719723000"/>
    <n v="712803000"/>
    <n v="0"/>
    <n v="65770000"/>
    <s v="Industrials"/>
    <s v="Industrial Conglomerates"/>
    <n v="0.42405358771938051"/>
    <n v="1266185000"/>
    <n v="0.16330442866960401"/>
    <n v="487612000"/>
  </r>
  <r>
    <x v="349"/>
    <n v="1"/>
    <n v="2012"/>
    <x v="0"/>
    <n v="9647000000"/>
    <n v="6646000000"/>
    <n v="359000000"/>
    <n v="0"/>
    <n v="1090000000"/>
    <s v="Utilities"/>
    <s v="MultiUtilities"/>
    <n v="0.3110811651290557"/>
    <n v="3001000000"/>
    <n v="0.1608790297501814"/>
    <n v="1552000000"/>
  </r>
  <r>
    <x v="349"/>
    <n v="2"/>
    <n v="2013"/>
    <x v="1"/>
    <n v="10557000000"/>
    <n v="7186000000"/>
    <n v="574000000"/>
    <n v="0"/>
    <n v="1113000000"/>
    <s v="Utilities"/>
    <s v="MultiUtilities"/>
    <n v="0.31931419910959558"/>
    <n v="3371000000"/>
    <n v="0.15951501373496257"/>
    <n v="1684000000"/>
  </r>
  <r>
    <x v="349"/>
    <n v="3"/>
    <n v="2014"/>
    <x v="2"/>
    <n v="11035000000"/>
    <n v="7689000000"/>
    <n v="414000000"/>
    <n v="0"/>
    <n v="1156000000"/>
    <s v="Utilities"/>
    <s v="MultiUtilities"/>
    <n v="0.30321703670140465"/>
    <n v="3346000000"/>
    <n v="0.16094245582238331"/>
    <n v="1776000000"/>
  </r>
  <r>
    <x v="349"/>
    <n v="4"/>
    <n v="2015"/>
    <x v="3"/>
    <n v="10231000000"/>
    <n v="6648000000"/>
    <n v="397000000"/>
    <n v="0"/>
    <n v="1250000000"/>
    <s v="Utilities"/>
    <s v="MultiUtilities"/>
    <n v="0.35021014563581276"/>
    <n v="3583000000"/>
    <n v="0.18922881438764538"/>
    <n v="1936000000"/>
  </r>
  <r>
    <x v="326"/>
    <n v="3"/>
    <n v="2014"/>
    <x v="2"/>
    <n v="6011600000"/>
    <n v="3808500000"/>
    <n v="1198200000"/>
    <n v="0"/>
    <n v="76700000"/>
    <s v="Health Care"/>
    <s v="Health Care Facilities"/>
    <n v="0.36647481535697646"/>
    <n v="2203100000"/>
    <n v="0.15440149045179319"/>
    <n v="928200000"/>
  </r>
  <r>
    <x v="326"/>
    <n v="4"/>
    <n v="2015"/>
    <x v="3"/>
    <n v="8680100000"/>
    <n v="5776800000"/>
    <n v="1622000000"/>
    <n v="0"/>
    <n v="164500000"/>
    <s v="Health Care"/>
    <s v="Health Care Facilities"/>
    <n v="0.33447771339039878"/>
    <n v="2903300000"/>
    <n v="0.12866211218764761"/>
    <n v="1116800000"/>
  </r>
  <r>
    <x v="350"/>
    <n v="1"/>
    <n v="2012"/>
    <x v="0"/>
    <n v="22603400000"/>
    <n v="4796500000"/>
    <n v="6839500000"/>
    <n v="5278100000"/>
    <n v="0"/>
    <s v="Health Care"/>
    <s v="Pharmaceuticals"/>
    <n v="0.78779741100896328"/>
    <n v="17806900000"/>
    <n v="0.25170107152021376"/>
    <n v="5689300000"/>
  </r>
  <r>
    <x v="350"/>
    <n v="2"/>
    <n v="2013"/>
    <x v="1"/>
    <n v="23113100000"/>
    <n v="4908100000"/>
    <n v="6606700000"/>
    <n v="5531300000"/>
    <n v="0"/>
    <s v="Health Care"/>
    <s v="Pharmaceuticals"/>
    <n v="0.78764856293617036"/>
    <n v="18205000000"/>
    <n v="0.26249183363547079"/>
    <n v="6067000000"/>
  </r>
  <r>
    <x v="351"/>
    <n v="1"/>
    <n v="2013"/>
    <x v="112"/>
    <n v="14351000000"/>
    <n v="10411000000"/>
    <n v="635000000"/>
    <n v="1133000000"/>
    <n v="79000000"/>
    <s v="Information Technology"/>
    <s v="Computer Storage &amp; Peripherals"/>
    <n v="0.2745453278517177"/>
    <n v="3940000000"/>
    <n v="0.14584349522681347"/>
    <n v="2093000000"/>
  </r>
  <r>
    <x v="351"/>
    <n v="2"/>
    <n v="2014"/>
    <x v="113"/>
    <n v="13724000000"/>
    <n v="9878000000"/>
    <n v="722000000"/>
    <n v="1226000000"/>
    <n v="98000000"/>
    <s v="Information Technology"/>
    <s v="Computer Storage &amp; Peripherals"/>
    <n v="0.28023899737685809"/>
    <n v="3846000000"/>
    <n v="0.13115709705625181"/>
    <n v="1800000000"/>
  </r>
  <r>
    <x v="351"/>
    <n v="3"/>
    <n v="2015"/>
    <x v="114"/>
    <n v="13739000000"/>
    <n v="9930000000"/>
    <n v="237000000"/>
    <n v="1353000000"/>
    <n v="129000000"/>
    <s v="Information Technology"/>
    <s v="Computer Storage &amp; Peripherals"/>
    <n v="0.27723997379721954"/>
    <n v="3809000000"/>
    <n v="0.1521216973578863"/>
    <n v="2090000000"/>
  </r>
  <r>
    <x v="351"/>
    <n v="4"/>
    <n v="2016"/>
    <x v="115"/>
    <n v="11160000000"/>
    <n v="8545000000"/>
    <n v="635000000"/>
    <n v="1237000000"/>
    <n v="123000000"/>
    <s v="Information Technology"/>
    <s v="Computer Storage &amp; Peripherals"/>
    <n v="0.23431899641577059"/>
    <n v="2615000000"/>
    <n v="5.5555555555555552E-2"/>
    <n v="620000000"/>
  </r>
  <r>
    <x v="352"/>
    <n v="1"/>
    <n v="2013"/>
    <x v="119"/>
    <n v="2796100000"/>
    <n v="1687800000"/>
    <n v="585400000"/>
    <n v="0"/>
    <n v="0"/>
    <s v="Consumer Staples"/>
    <s v="Distillers &amp; Vintners"/>
    <n v="0.39637352026036266"/>
    <n v="1108300000"/>
    <n v="0.18701047888129896"/>
    <n v="522900000"/>
  </r>
  <r>
    <x v="352"/>
    <n v="2"/>
    <n v="2014"/>
    <x v="120"/>
    <n v="4867700000"/>
    <n v="2876000000"/>
    <n v="895100000"/>
    <n v="0"/>
    <n v="0"/>
    <s v="Consumer Staples"/>
    <s v="Distillers &amp; Vintners"/>
    <n v="0.40916654682909792"/>
    <n v="1991700000"/>
    <n v="0.22528093350042114"/>
    <n v="1096600000"/>
  </r>
  <r>
    <x v="352"/>
    <n v="3"/>
    <n v="2015"/>
    <x v="44"/>
    <n v="6028000000"/>
    <n v="3449400000"/>
    <n v="1078400000"/>
    <n v="0"/>
    <n v="0"/>
    <s v="Consumer Staples"/>
    <s v="Distillers &amp; Vintners"/>
    <n v="0.42777040477770401"/>
    <n v="2578600000"/>
    <n v="0.24887193098871932"/>
    <n v="1500200000"/>
  </r>
  <r>
    <x v="352"/>
    <n v="4"/>
    <n v="2016"/>
    <x v="121"/>
    <n v="6548400000"/>
    <n v="3606100000"/>
    <n v="1177200000"/>
    <n v="0"/>
    <n v="0"/>
    <s v="Consumer Staples"/>
    <s v="Distillers &amp; Vintners"/>
    <n v="0.4493158634170179"/>
    <n v="2942300000"/>
    <n v="0.26954675951377438"/>
    <n v="1765100000"/>
  </r>
  <r>
    <x v="353"/>
    <n v="1"/>
    <n v="2013"/>
    <x v="5"/>
    <n v="10889500000"/>
    <n v="6985800000"/>
    <n v="2960300000"/>
    <n v="0"/>
    <n v="0"/>
    <s v="Consumer Discretionary"/>
    <s v="Household Appliances"/>
    <n v="0.35848294228385147"/>
    <n v="3903700000"/>
    <n v="8.6633913402819229E-2"/>
    <n v="943400000"/>
  </r>
  <r>
    <x v="353"/>
    <n v="2"/>
    <n v="2015"/>
    <x v="6"/>
    <n v="11338600000"/>
    <n v="7235900000"/>
    <n v="2814600000"/>
    <n v="0"/>
    <n v="0"/>
    <s v="Consumer Discretionary"/>
    <s v="Household Appliances"/>
    <n v="0.36183479441906408"/>
    <n v="4102700000"/>
    <n v="0.113603090328612"/>
    <n v="1288100000"/>
  </r>
  <r>
    <x v="353"/>
    <n v="3"/>
    <n v="2016"/>
    <x v="7"/>
    <n v="11171800000"/>
    <n v="7099800000"/>
    <n v="2681100000"/>
    <n v="0"/>
    <n v="0"/>
    <s v="Consumer Discretionary"/>
    <s v="Household Appliances"/>
    <n v="0.36448916020694966"/>
    <n v="4072000000"/>
    <n v="0.12450097567088562"/>
    <n v="1390900000"/>
  </r>
  <r>
    <x v="353"/>
    <n v="4"/>
    <n v="2016"/>
    <x v="12"/>
    <n v="11406900000"/>
    <n v="7139700000"/>
    <n v="2798900000"/>
    <n v="0"/>
    <n v="0"/>
    <s v="Consumer Discretionary"/>
    <s v="Household Appliances"/>
    <n v="0.37408936696210193"/>
    <n v="4267200000"/>
    <n v="0.12872033593702056"/>
    <n v="1468300000"/>
  </r>
  <r>
    <x v="354"/>
    <n v="1"/>
    <n v="2013"/>
    <x v="116"/>
    <n v="1792000000"/>
    <n v="1025400000"/>
    <n v="159700000"/>
    <n v="226300000"/>
    <n v="29100000"/>
    <s v="Information Technology"/>
    <s v="Semiconductors"/>
    <n v="0.42779017857142854"/>
    <n v="766600000"/>
    <n v="0.19614955357142858"/>
    <n v="351500000"/>
  </r>
  <r>
    <x v="354"/>
    <n v="2"/>
    <n v="2014"/>
    <x v="149"/>
    <n v="2291500000"/>
    <n v="1268800000"/>
    <n v="179100000"/>
    <n v="252200000"/>
    <n v="25900000"/>
    <s v="Information Technology"/>
    <s v="Semiconductors"/>
    <n v="0.44630154920357845"/>
    <n v="1022700000"/>
    <n v="0.24678158411520837"/>
    <n v="565500000"/>
  </r>
  <r>
    <x v="354"/>
    <n v="3"/>
    <n v="2015"/>
    <x v="118"/>
    <n v="3258400000"/>
    <n v="1703900000"/>
    <n v="191300000"/>
    <n v="303200000"/>
    <n v="33500000"/>
    <s v="Information Technology"/>
    <s v="Semiconductors"/>
    <n v="0.47707463785907189"/>
    <n v="1554500000"/>
    <n v="0.31503191750552417"/>
    <n v="1026500000"/>
  </r>
  <r>
    <x v="354"/>
    <n v="4"/>
    <n v="2016"/>
    <x v="32"/>
    <n v="3289000000"/>
    <n v="1623800000"/>
    <n v="195900000"/>
    <n v="312400000"/>
    <n v="33400000"/>
    <s v="Information Technology"/>
    <s v="Semiconductors"/>
    <n v="0.50629370629370629"/>
    <n v="1665200000"/>
    <n v="0.34159318941927636"/>
    <n v="1123500000"/>
  </r>
  <r>
    <x v="355"/>
    <n v="1"/>
    <n v="2012"/>
    <x v="0"/>
    <n v="2730000000"/>
    <n v="245000000"/>
    <n v="835000000"/>
    <n v="0"/>
    <n v="811000000"/>
    <s v="Energy"/>
    <s v="Oil &amp; Gas Exploration &amp; Production"/>
    <n v="0.91025641025641024"/>
    <n v="2485000000"/>
    <n v="0.30732600732600734"/>
    <n v="839000000"/>
  </r>
  <r>
    <x v="355"/>
    <n v="2"/>
    <n v="2013"/>
    <x v="1"/>
    <n v="3371000000"/>
    <n v="328000000"/>
    <n v="1052000000"/>
    <n v="0"/>
    <n v="787000000"/>
    <s v="Energy"/>
    <s v="Oil &amp; Gas Exploration &amp; Production"/>
    <n v="0.90269949569860575"/>
    <n v="3043000000"/>
    <n v="0.3571640462770691"/>
    <n v="1204000000"/>
  </r>
  <r>
    <x v="355"/>
    <n v="3"/>
    <n v="2014"/>
    <x v="2"/>
    <n v="4038000000"/>
    <n v="427000000"/>
    <n v="1296000000"/>
    <n v="0"/>
    <n v="942000000"/>
    <s v="Energy"/>
    <s v="Oil &amp; Gas Exploration &amp; Production"/>
    <n v="0.89425458147597825"/>
    <n v="3611000000"/>
    <n v="0.34001981178801388"/>
    <n v="1373000000"/>
  </r>
  <r>
    <x v="355"/>
    <n v="4"/>
    <n v="2015"/>
    <x v="3"/>
    <n v="3133000000"/>
    <n v="689000000"/>
    <n v="1208000000"/>
    <n v="0"/>
    <n v="1091000000"/>
    <s v="Energy"/>
    <s v="Oil &amp; Gas Exploration &amp; Production"/>
    <n v="0.78008298755186722"/>
    <n v="2444000000"/>
    <n v="4.6281519310564956E-2"/>
    <n v="145000000"/>
  </r>
  <r>
    <x v="350"/>
    <n v="3"/>
    <n v="2014"/>
    <x v="2"/>
    <n v="19615600000"/>
    <n v="4932500000"/>
    <n v="6280300000"/>
    <n v="4733600000"/>
    <n v="0"/>
    <s v="Health Care"/>
    <s v="Pharmaceuticals"/>
    <n v="0.74854197679398027"/>
    <n v="14683100000"/>
    <n v="0.18705520096249922"/>
    <n v="3669200000"/>
  </r>
  <r>
    <x v="350"/>
    <n v="4"/>
    <n v="2015"/>
    <x v="3"/>
    <n v="19958700000"/>
    <n v="5037200000"/>
    <n v="6432400000"/>
    <n v="4796400000"/>
    <n v="0"/>
    <s v="Health Care"/>
    <s v="Pharmaceuticals"/>
    <n v="0.74761883288991771"/>
    <n v="14921500000"/>
    <n v="0.18501706022937367"/>
    <n v="3692700000"/>
  </r>
  <r>
    <x v="356"/>
    <n v="1"/>
    <n v="2013"/>
    <x v="97"/>
    <n v="122196000000"/>
    <n v="115315000000"/>
    <n v="4110000000"/>
    <n v="433000000"/>
    <n v="0"/>
    <s v="Health Care"/>
    <s v="Health Care Distributors"/>
    <n v="5.6311172215129823E-2"/>
    <n v="6881000000"/>
    <n v="1.9133195849291303E-2"/>
    <n v="2338000000"/>
  </r>
  <r>
    <x v="356"/>
    <n v="2"/>
    <n v="2014"/>
    <x v="98"/>
    <n v="137392000000"/>
    <n v="129040000000"/>
    <n v="5388000000"/>
    <n v="457000000"/>
    <n v="0"/>
    <s v="Health Care"/>
    <s v="Health Care Distributors"/>
    <n v="6.0789565622452524E-2"/>
    <n v="8352000000"/>
    <n v="1.8247059508559451E-2"/>
    <n v="2507000000"/>
  </r>
  <r>
    <x v="356"/>
    <n v="3"/>
    <n v="2015"/>
    <x v="99"/>
    <n v="179045000000"/>
    <n v="167634000000"/>
    <n v="7901000000"/>
    <n v="392000000"/>
    <n v="0"/>
    <s v="Health Care"/>
    <s v="Health Care Distributors"/>
    <n v="6.3732581194671734E-2"/>
    <n v="11411000000"/>
    <n v="1.7414616437208524E-2"/>
    <n v="3118000000"/>
  </r>
  <r>
    <x v="356"/>
    <n v="4"/>
    <n v="2016"/>
    <x v="100"/>
    <n v="190884000000"/>
    <n v="179468000000"/>
    <n v="7276000000"/>
    <n v="392000000"/>
    <n v="0"/>
    <s v="Health Care"/>
    <s v="Health Care Distributors"/>
    <n v="5.980595544938283E-2"/>
    <n v="11416000000"/>
    <n v="1.9634961547327173E-2"/>
    <n v="3748000000"/>
  </r>
  <r>
    <x v="357"/>
    <n v="1"/>
    <n v="2012"/>
    <x v="0"/>
    <n v="47267000000"/>
    <n v="16446000000"/>
    <n v="12776000000"/>
    <n v="8168000000"/>
    <n v="0"/>
    <s v="Health Care"/>
    <s v="Pharmaceuticals"/>
    <n v="0.65206169208961851"/>
    <n v="30821000000"/>
    <n v="0.20896185499397044"/>
    <n v="9877000000"/>
  </r>
  <r>
    <x v="357"/>
    <n v="2"/>
    <n v="2013"/>
    <x v="1"/>
    <n v="44033000000"/>
    <n v="16954000000"/>
    <n v="11911000000"/>
    <n v="7503000000"/>
    <n v="0"/>
    <s v="Health Care"/>
    <s v="Pharmaceuticals"/>
    <n v="0.6149705902391388"/>
    <n v="27079000000"/>
    <n v="0.17407398996207391"/>
    <n v="7665000000"/>
  </r>
  <r>
    <x v="358"/>
    <n v="1"/>
    <n v="2013"/>
    <x v="150"/>
    <n v="6906000000"/>
    <n v="1175000000"/>
    <n v="3236000000"/>
    <n v="1026000000"/>
    <n v="286000000"/>
    <s v="Information Technology"/>
    <s v="Application Software"/>
    <n v="0.82985809441065739"/>
    <n v="5731000000"/>
    <n v="0.17130031856356792"/>
    <n v="1183000000"/>
  </r>
  <r>
    <x v="358"/>
    <n v="2"/>
    <n v="2014"/>
    <x v="151"/>
    <n v="4183000000"/>
    <n v="791000000"/>
    <n v="2186000000"/>
    <n v="722000000"/>
    <n v="93000000"/>
    <s v="Information Technology"/>
    <s v="Application Software"/>
    <n v="0.81090126703322973"/>
    <n v="3392000000"/>
    <n v="9.3473583552474301E-2"/>
    <n v="391000000"/>
  </r>
  <r>
    <x v="358"/>
    <n v="3"/>
    <n v="2015"/>
    <x v="80"/>
    <n v="3956000000"/>
    <n v="727000000"/>
    <n v="2012000000"/>
    <n v="812000000"/>
    <n v="87000000"/>
    <s v="Information Technology"/>
    <s v="Application Software"/>
    <n v="0.8162285136501517"/>
    <n v="3229000000"/>
    <n v="8.0384226491405461E-2"/>
    <n v="318000000"/>
  </r>
  <r>
    <x v="358"/>
    <n v="4"/>
    <n v="2016"/>
    <x v="81"/>
    <n v="3600000000"/>
    <n v="615000000"/>
    <n v="1587000000"/>
    <n v="748000000"/>
    <n v="57000000"/>
    <s v="Information Technology"/>
    <s v="Application Software"/>
    <n v="0.82916666666666661"/>
    <n v="2985000000"/>
    <n v="0.16472222222222221"/>
    <n v="593000000"/>
  </r>
  <r>
    <x v="359"/>
    <n v="1"/>
    <n v="2013"/>
    <x v="152"/>
    <n v="44411233000"/>
    <n v="36414626000"/>
    <n v="6338129000"/>
    <n v="0"/>
    <n v="0"/>
    <s v="Consumer Staples"/>
    <s v="Food Distributors"/>
    <n v="0.18005820734587574"/>
    <n v="7996607000"/>
    <n v="3.7343660330259237E-2"/>
    <n v="1658478000"/>
  </r>
  <r>
    <x v="359"/>
    <n v="2"/>
    <n v="2014"/>
    <x v="153"/>
    <n v="46516712000"/>
    <n v="38335677000"/>
    <n v="0"/>
    <n v="0"/>
    <n v="0"/>
    <s v="Consumer Staples"/>
    <s v="Food Distributors"/>
    <n v="0.17587302817103667"/>
    <n v="8181035000"/>
    <n v="0.17587302817103667"/>
    <n v="8181035000"/>
  </r>
  <r>
    <x v="359"/>
    <n v="3"/>
    <n v="2015"/>
    <x v="154"/>
    <n v="48680752000"/>
    <n v="40129236000"/>
    <n v="0"/>
    <n v="0"/>
    <n v="0"/>
    <s v="Consumer Staples"/>
    <s v="Food Distributors"/>
    <n v="0.17566524033975484"/>
    <n v="8551516000"/>
    <n v="0.17566524033975481"/>
    <n v="8551516000"/>
  </r>
  <r>
    <x v="359"/>
    <n v="4"/>
    <n v="2016"/>
    <x v="155"/>
    <n v="50366919000"/>
    <n v="41326447000"/>
    <n v="0"/>
    <n v="0"/>
    <n v="0"/>
    <s v="Consumer Staples"/>
    <s v="Food Distributors"/>
    <n v="0.17949225760662468"/>
    <n v="9040472000"/>
    <n v="0.17949225760662471"/>
    <n v="9040472000"/>
  </r>
  <r>
    <x v="360"/>
    <n v="1"/>
    <n v="2012"/>
    <x v="0"/>
    <n v="127434000000"/>
    <n v="55228000000"/>
    <n v="41066000000"/>
    <n v="0"/>
    <n v="18143000000"/>
    <s v="Telecommunications Services"/>
    <s v="Integrated Telecommunications Services"/>
    <n v="0.56661487515105857"/>
    <n v="72206000000"/>
    <n v="0.10199004975124377"/>
    <n v="12997000000"/>
  </r>
  <r>
    <x v="360"/>
    <n v="2"/>
    <n v="2013"/>
    <x v="1"/>
    <n v="128752000000"/>
    <n v="51191000000"/>
    <n v="28414000000"/>
    <n v="0"/>
    <n v="18395000000"/>
    <s v="Telecommunications Services"/>
    <s v="Integrated Telecommunications Services"/>
    <n v="0.60240617621473835"/>
    <n v="77561000000"/>
    <n v="0.23884677519572511"/>
    <n v="30752000000"/>
  </r>
  <r>
    <x v="360"/>
    <n v="3"/>
    <n v="2014"/>
    <x v="2"/>
    <n v="132447000000"/>
    <n v="60145000000"/>
    <n v="41817000000"/>
    <n v="0"/>
    <n v="18273000000"/>
    <s v="Telecommunications Services"/>
    <s v="Integrated Telecommunications Services"/>
    <n v="0.54589382922980512"/>
    <n v="72302000000"/>
    <n v="9.2202918903410425E-2"/>
    <n v="12212000000"/>
  </r>
  <r>
    <x v="360"/>
    <n v="4"/>
    <n v="2015"/>
    <x v="3"/>
    <n v="146801000000"/>
    <n v="67046000000"/>
    <n v="32954000000"/>
    <n v="0"/>
    <n v="22016000000"/>
    <s v="Telecommunications Services"/>
    <s v="Integrated Telecommunications Services"/>
    <n v="0.54328648987404726"/>
    <n v="79755000000"/>
    <n v="0.16883399976839394"/>
    <n v="24785000000"/>
  </r>
  <r>
    <x v="361"/>
    <n v="1"/>
    <n v="2013"/>
    <x v="1"/>
    <n v="4206100000"/>
    <n v="2545600000"/>
    <n v="1193800000"/>
    <n v="0"/>
    <n v="0"/>
    <s v="Consumer Staples"/>
    <s v="Brewers"/>
    <n v="0.39478376643446422"/>
    <n v="1660500000"/>
    <n v="0.11095789448657901"/>
    <n v="466700000"/>
  </r>
  <r>
    <x v="361"/>
    <n v="2"/>
    <n v="2014"/>
    <x v="2"/>
    <n v="4146300000"/>
    <n v="2493300000"/>
    <n v="1163900000"/>
    <n v="0"/>
    <n v="0"/>
    <s v="Consumer Staples"/>
    <s v="Brewers"/>
    <n v="0.39866869256927862"/>
    <n v="1653000000"/>
    <n v="0.11796059137061959"/>
    <n v="489100000"/>
  </r>
  <r>
    <x v="361"/>
    <n v="3"/>
    <n v="2015"/>
    <x v="3"/>
    <n v="3567500000"/>
    <n v="2163500000"/>
    <n v="1051800000"/>
    <n v="0"/>
    <n v="0"/>
    <s v="Consumer Staples"/>
    <s v="Brewers"/>
    <n v="0.39355290819901889"/>
    <n v="1404000000"/>
    <n v="9.8724597056762439E-2"/>
    <n v="352200000"/>
  </r>
  <r>
    <x v="361"/>
    <n v="4"/>
    <n v="2016"/>
    <x v="12"/>
    <n v="4885000000"/>
    <n v="3003100000"/>
    <n v="1597300000"/>
    <n v="0"/>
    <n v="0"/>
    <s v="Consumer Staples"/>
    <s v="Brewers"/>
    <n v="0.38524053224155574"/>
    <n v="1881900000"/>
    <n v="5.8259979529170933E-2"/>
    <n v="284600000"/>
  </r>
  <r>
    <x v="362"/>
    <n v="1"/>
    <n v="2012"/>
    <x v="0"/>
    <n v="2665000000"/>
    <n v="1174000000"/>
    <n v="728000000"/>
    <n v="183000000"/>
    <n v="0"/>
    <s v="Information Technology"/>
    <s v="Application Software"/>
    <n v="0.55947467166979359"/>
    <n v="1491000000"/>
    <n v="0.2176360225140713"/>
    <n v="580000000"/>
  </r>
  <r>
    <x v="362"/>
    <n v="2"/>
    <n v="2013"/>
    <x v="1"/>
    <n v="2692000000"/>
    <n v="1219000000"/>
    <n v="757000000"/>
    <n v="184000000"/>
    <n v="0"/>
    <s v="Information Technology"/>
    <s v="Application Software"/>
    <n v="0.54717682020802383"/>
    <n v="1473000000"/>
    <n v="0.1976225854383358"/>
    <n v="532000000"/>
  </r>
  <r>
    <x v="362"/>
    <n v="3"/>
    <n v="2014"/>
    <x v="2"/>
    <n v="2732000000"/>
    <n v="1253000000"/>
    <n v="770000000"/>
    <n v="206000000"/>
    <n v="0"/>
    <s v="Information Technology"/>
    <s v="Application Software"/>
    <n v="0.54136163982430452"/>
    <n v="1479000000"/>
    <n v="0.18411420204978038"/>
    <n v="503000000"/>
  </r>
  <r>
    <x v="362"/>
    <n v="4"/>
    <n v="2015"/>
    <x v="3"/>
    <n v="2530000000"/>
    <n v="1254000000"/>
    <n v="765000000"/>
    <n v="228000000"/>
    <n v="0"/>
    <s v="Information Technology"/>
    <s v="Application Software"/>
    <n v="0.5043478260869565"/>
    <n v="1276000000"/>
    <n v="0.11185770750988143"/>
    <n v="283000000"/>
  </r>
  <r>
    <x v="363"/>
    <n v="1"/>
    <n v="2013"/>
    <x v="29"/>
    <n v="1924400000"/>
    <n v="874838000"/>
    <n v="254468000"/>
    <n v="0"/>
    <n v="45639000"/>
    <s v="Industrials"/>
    <s v="Aerospace &amp; Defense"/>
    <n v="0.54539700685928083"/>
    <n v="1049562000"/>
    <n v="0.3894486593223862"/>
    <n v="749455000"/>
  </r>
  <r>
    <x v="363"/>
    <n v="2"/>
    <n v="2014"/>
    <x v="30"/>
    <n v="2372906000"/>
    <n v="1105032000"/>
    <n v="276446000"/>
    <n v="0"/>
    <n v="63608000"/>
    <s v="Industrials"/>
    <s v="Aerospace &amp; Defense"/>
    <n v="0.53431277935156296"/>
    <n v="1267874000"/>
    <n v="0.39100579626837306"/>
    <n v="927820000"/>
  </r>
  <r>
    <x v="363"/>
    <n v="3"/>
    <n v="2015"/>
    <x v="31"/>
    <n v="2707115000"/>
    <n v="1257270000"/>
    <n v="321624000"/>
    <n v="0"/>
    <n v="54219000"/>
    <s v="Industrials"/>
    <s v="Aerospace &amp; Defense"/>
    <n v="0.5355683079588418"/>
    <n v="1449845000"/>
    <n v="0.39673305345358434"/>
    <n v="1074002000"/>
  </r>
  <r>
    <x v="363"/>
    <n v="4"/>
    <n v="2016"/>
    <x v="32"/>
    <n v="3171411000"/>
    <n v="1443348000"/>
    <n v="382858000"/>
    <n v="0"/>
    <n v="77445000"/>
    <s v="Industrials"/>
    <s v="Aerospace &amp; Defense"/>
    <n v="0.54488774870239154"/>
    <n v="1728063000"/>
    <n v="0.39974635895505189"/>
    <n v="1267760000"/>
  </r>
  <r>
    <x v="364"/>
    <n v="1"/>
    <n v="2013"/>
    <x v="116"/>
    <n v="11390000000"/>
    <n v="7739000000"/>
    <n v="1440000000"/>
    <n v="590000000"/>
    <n v="0"/>
    <s v="Information Technology"/>
    <s v="Electronic Manufacturing Services"/>
    <n v="0.32054433713784025"/>
    <n v="3651000000"/>
    <n v="0.14231782265144863"/>
    <n v="1621000000"/>
  </r>
  <r>
    <x v="364"/>
    <n v="2"/>
    <n v="2014"/>
    <x v="117"/>
    <n v="11973000000"/>
    <n v="8001000000"/>
    <n v="1534000000"/>
    <n v="583000000"/>
    <n v="0"/>
    <s v="Information Technology"/>
    <s v="Electronic Manufacturing Services"/>
    <n v="0.33174642946629918"/>
    <n v="3972000000"/>
    <n v="0.15493193017622986"/>
    <n v="1855000000"/>
  </r>
  <r>
    <x v="364"/>
    <n v="3"/>
    <n v="2015"/>
    <x v="156"/>
    <n v="12233000000"/>
    <n v="8146000000"/>
    <n v="1504000000"/>
    <n v="627000000"/>
    <n v="0"/>
    <s v="Information Technology"/>
    <s v="Electronic Manufacturing Services"/>
    <n v="0.33409629690182296"/>
    <n v="4087000000"/>
    <n v="0.15989536499632143"/>
    <n v="1956000000"/>
  </r>
  <r>
    <x v="364"/>
    <n v="4"/>
    <n v="2016"/>
    <x v="32"/>
    <n v="12238000000"/>
    <n v="8205000000"/>
    <n v="1463000000"/>
    <n v="644000000"/>
    <n v="0"/>
    <s v="Information Technology"/>
    <s v="Electronic Manufacturing Services"/>
    <n v="0.32954731165223072"/>
    <n v="4033000000"/>
    <n v="0.15737865664324235"/>
    <n v="1926000000"/>
  </r>
  <r>
    <x v="365"/>
    <n v="1"/>
    <n v="2012"/>
    <x v="157"/>
    <n v="5353197000"/>
    <n v="2943847000"/>
    <n v="1303427000"/>
    <n v="0"/>
    <n v="194039000"/>
    <s v="Consumer Discretionary"/>
    <s v="Publishing"/>
    <n v="0.45007684193202679"/>
    <n v="2409350000"/>
    <n v="0.17034381510712196"/>
    <n v="911884000"/>
  </r>
  <r>
    <x v="365"/>
    <n v="2"/>
    <n v="2013"/>
    <x v="103"/>
    <n v="1603123000"/>
    <n v="662769000"/>
    <n v="531932000"/>
    <n v="0"/>
    <n v="74833000"/>
    <s v="Consumer Discretionary"/>
    <s v="Publishing"/>
    <n v="0.58657632633303869"/>
    <n v="940354000"/>
    <n v="0.2080869652546935"/>
    <n v="333589000"/>
  </r>
  <r>
    <x v="365"/>
    <n v="3"/>
    <n v="2014"/>
    <x v="2"/>
    <n v="2626141000"/>
    <n v="954990000"/>
    <n v="766854000"/>
    <n v="0"/>
    <n v="151837000"/>
    <s v="Consumer Discretionary"/>
    <s v="Publishing"/>
    <n v="0.63635235122561973"/>
    <n v="1671151000"/>
    <n v="0.28652688488546502"/>
    <n v="752460000"/>
  </r>
  <r>
    <x v="365"/>
    <n v="4"/>
    <n v="2015"/>
    <x v="3"/>
    <n v="3050945000"/>
    <n v="923336000"/>
    <n v="1068221000"/>
    <n v="0"/>
    <n v="205087000"/>
    <s v="Consumer Discretionary"/>
    <s v="Publishing"/>
    <n v="0.69736065383020673"/>
    <n v="2127609000"/>
    <n v="0.28001193072965919"/>
    <n v="854301000"/>
  </r>
  <r>
    <x v="366"/>
    <n v="1"/>
    <n v="2013"/>
    <x v="96"/>
    <n v="73301000000"/>
    <n v="50568000000"/>
    <n v="15110000000"/>
    <n v="0"/>
    <n v="2044000000"/>
    <s v="Consumer Discretionary"/>
    <s v="General Merchandise Stores"/>
    <n v="0.31013219464945907"/>
    <n v="22733000000"/>
    <n v="7.6110830684438135E-2"/>
    <n v="5579000000"/>
  </r>
  <r>
    <x v="366"/>
    <n v="2"/>
    <n v="2014"/>
    <x v="47"/>
    <n v="71279000000"/>
    <n v="50039000000"/>
    <n v="14465000000"/>
    <n v="0"/>
    <n v="1996000000"/>
    <s v="Consumer Discretionary"/>
    <s v="General Merchandise Stores"/>
    <n v="0.2979839784508761"/>
    <n v="21240000000"/>
    <n v="6.7046395151447127E-2"/>
    <n v="4779000000"/>
  </r>
  <r>
    <x v="366"/>
    <n v="3"/>
    <n v="2015"/>
    <x v="23"/>
    <n v="72618000000"/>
    <n v="51278000000"/>
    <n v="14676000000"/>
    <n v="0"/>
    <n v="2129000000"/>
    <s v="Consumer Discretionary"/>
    <s v="General Merchandise Stores"/>
    <n v="0.29386653446803823"/>
    <n v="21340000000"/>
    <n v="6.2450081247073727E-2"/>
    <n v="4535000000"/>
  </r>
  <r>
    <x v="366"/>
    <n v="4"/>
    <n v="2016"/>
    <x v="48"/>
    <n v="73785000000"/>
    <n v="51997000000"/>
    <n v="14665000000"/>
    <n v="0"/>
    <n v="2213000000"/>
    <s v="Consumer Discretionary"/>
    <s v="General Merchandise Stores"/>
    <n v="0.29529037067154573"/>
    <n v="21788000000"/>
    <n v="6.6544690655282235E-2"/>
    <n v="4910000000"/>
  </r>
  <r>
    <x v="367"/>
    <n v="1"/>
    <n v="2013"/>
    <x v="21"/>
    <n v="3794249000"/>
    <n v="1630965000"/>
    <n v="1466067000"/>
    <n v="0"/>
    <n v="0"/>
    <s v="Consumer Discretionary"/>
    <s v="Apparel, Accessories &amp; Luxury Goods"/>
    <n v="0.57014813735208203"/>
    <n v="2163284000"/>
    <n v="0.18375625848488067"/>
    <n v="697217000"/>
  </r>
  <r>
    <x v="367"/>
    <n v="2"/>
    <n v="2014"/>
    <x v="22"/>
    <n v="4031100000"/>
    <n v="1690700000"/>
    <n v="2036100000"/>
    <n v="0"/>
    <n v="0"/>
    <s v="Consumer Discretionary"/>
    <s v="Apparel, Accessories &amp; Luxury Goods"/>
    <n v="0.58058594428319821"/>
    <n v="2340400000"/>
    <n v="7.5488080176626726E-2"/>
    <n v="304300000"/>
  </r>
  <r>
    <x v="367"/>
    <n v="3"/>
    <n v="2015"/>
    <x v="23"/>
    <n v="4249900000"/>
    <n v="1712700000"/>
    <n v="1645800000"/>
    <n v="0"/>
    <n v="0"/>
    <s v="Consumer Discretionary"/>
    <s v="Apparel, Accessories &amp; Luxury Goods"/>
    <n v="0.59700228240664488"/>
    <n v="2537200000"/>
    <n v="0.20974611167321583"/>
    <n v="891400000"/>
  </r>
  <r>
    <x v="367"/>
    <n v="4"/>
    <n v="2016"/>
    <x v="24"/>
    <n v="4104900000"/>
    <n v="1613600000"/>
    <n v="1731200000"/>
    <n v="0"/>
    <n v="0"/>
    <s v="Consumer Discretionary"/>
    <s v="Apparel, Accessories &amp; Luxury Goods"/>
    <n v="0.60690881629272331"/>
    <n v="2491300000"/>
    <n v="0.18516894443226389"/>
    <n v="760100000"/>
  </r>
  <r>
    <x v="368"/>
    <n v="1"/>
    <n v="2013"/>
    <x v="96"/>
    <n v="25878372000"/>
    <n v="18521400000"/>
    <n v="4250446000"/>
    <n v="0"/>
    <n v="0"/>
    <s v="Consumer Discretionary"/>
    <s v="Apparel Retail"/>
    <n v="0.28429037189820128"/>
    <n v="7356972000"/>
    <n v="0.1200433319375732"/>
    <n v="3106526000"/>
  </r>
  <r>
    <x v="368"/>
    <n v="2"/>
    <n v="2014"/>
    <x v="47"/>
    <n v="27422696000"/>
    <n v="19605037000"/>
    <n v="4467089000"/>
    <n v="0"/>
    <n v="0"/>
    <s v="Consumer Discretionary"/>
    <s v="Apparel Retail"/>
    <n v="0.2850798841951937"/>
    <n v="7817659000"/>
    <n v="0.12218237039859246"/>
    <n v="3350570000"/>
  </r>
  <r>
    <x v="368"/>
    <n v="3"/>
    <n v="2015"/>
    <x v="23"/>
    <n v="29078407000"/>
    <n v="20776522000"/>
    <n v="4695384000"/>
    <n v="0"/>
    <n v="0"/>
    <s v="Consumer Discretionary"/>
    <s v="Apparel Retail"/>
    <n v="0.28549999317362884"/>
    <n v="8301885000"/>
    <n v="0.1240267735436814"/>
    <n v="3606501000"/>
  </r>
  <r>
    <x v="368"/>
    <n v="4"/>
    <n v="2016"/>
    <x v="48"/>
    <n v="30944938000"/>
    <n v="22034523000"/>
    <n v="5205715000"/>
    <n v="0"/>
    <n v="0"/>
    <s v="Consumer Discretionary"/>
    <s v="Apparel Retail"/>
    <n v="0.28794418654191523"/>
    <n v="8910415000"/>
    <n v="0.11971909589865716"/>
    <n v="3704700000"/>
  </r>
  <r>
    <x v="357"/>
    <n v="3"/>
    <n v="2014"/>
    <x v="2"/>
    <n v="42237000000"/>
    <n v="16768000000"/>
    <n v="11606000000"/>
    <n v="7180000000"/>
    <n v="0"/>
    <s v="Health Care"/>
    <s v="Pharmaceuticals"/>
    <n v="0.60300210715723179"/>
    <n v="25469000000"/>
    <n v="0.15822619977744631"/>
    <n v="6683000000"/>
  </r>
  <r>
    <x v="357"/>
    <n v="4"/>
    <n v="2015"/>
    <x v="3"/>
    <n v="39498000000"/>
    <n v="14934000000"/>
    <n v="10313000000"/>
    <n v="6704000000"/>
    <n v="0"/>
    <s v="Health Care"/>
    <s v="Pharmaceuticals"/>
    <n v="0.62190490657754816"/>
    <n v="24564000000"/>
    <n v="0.19107296571978327"/>
    <n v="7547000000"/>
  </r>
  <r>
    <x v="369"/>
    <n v="1"/>
    <n v="2013"/>
    <x v="1"/>
    <n v="2378972000"/>
    <n v="1097041000"/>
    <n v="692693000"/>
    <n v="116346000"/>
    <n v="24539000"/>
    <s v="Health Care"/>
    <s v="Life Sciences Tools &amp; Services"/>
    <n v="0.53885922154611321"/>
    <n v="1281931000"/>
    <n v="0.18846501766309146"/>
    <n v="448353000"/>
  </r>
  <r>
    <x v="369"/>
    <n v="2"/>
    <n v="2014"/>
    <x v="2"/>
    <n v="2485983000"/>
    <n v="1127233000"/>
    <n v="728582000"/>
    <n v="123297000"/>
    <n v="29185000"/>
    <s v="Health Care"/>
    <s v="Life Sciences Tools &amp; Services"/>
    <n v="0.54656447771364491"/>
    <n v="1358750000"/>
    <n v="0.19215175646816571"/>
    <n v="477686000"/>
  </r>
  <r>
    <x v="369"/>
    <n v="3"/>
    <n v="2015"/>
    <x v="3"/>
    <n v="2395447000"/>
    <n v="1043454000"/>
    <n v="700810000"/>
    <n v="119076000"/>
    <n v="30951000"/>
    <s v="Health Care"/>
    <s v="Life Sciences Tools &amp; Services"/>
    <n v="0.56440113264872904"/>
    <n v="1351993000"/>
    <n v="0.20921189239419616"/>
    <n v="501156000"/>
  </r>
  <r>
    <x v="369"/>
    <n v="4"/>
    <n v="2016"/>
    <x v="12"/>
    <n v="2508257000"/>
    <n v="1072670000"/>
    <n v="732622000"/>
    <n v="119968000"/>
    <n v="36052000"/>
    <s v="Health Care"/>
    <s v="Life Sciences Tools &amp; Services"/>
    <n v="0.57234446071514999"/>
    <n v="1435587000"/>
    <n v="0.21805779870244557"/>
    <n v="546945000"/>
  </r>
  <r>
    <x v="370"/>
    <n v="1"/>
    <n v="2014"/>
    <x v="2"/>
    <n v="7719600000"/>
    <n v="4191600000"/>
    <n v="1545700000"/>
    <n v="581800000"/>
    <n v="0"/>
    <s v="Health Care"/>
    <s v="Pharmaceuticals"/>
    <n v="0.45701849836779107"/>
    <n v="3528000000"/>
    <n v="0.18142131716669258"/>
    <n v="1400500000"/>
  </r>
  <r>
    <x v="370"/>
    <n v="2"/>
    <n v="2015"/>
    <x v="3"/>
    <n v="9429300000"/>
    <n v="5213200000"/>
    <n v="2180700000"/>
    <n v="671900000"/>
    <n v="0"/>
    <s v="Health Care"/>
    <s v="Pharmaceuticals"/>
    <n v="0.44712757044531404"/>
    <n v="4216100000"/>
    <n v="0.14460246253698578"/>
    <n v="1363500000"/>
  </r>
  <r>
    <x v="371"/>
    <n v="1"/>
    <n v="2012"/>
    <x v="0"/>
    <n v="763000000"/>
    <n v="12000000"/>
    <n v="429000000"/>
    <n v="0"/>
    <n v="26000000"/>
    <s v="Consumer Discretionary"/>
    <s v="Internet &amp; Direct Marketing Retail"/>
    <n v="0.98427260812581918"/>
    <n v="751000000"/>
    <n v="0.38794233289646135"/>
    <n v="296000000"/>
  </r>
  <r>
    <x v="371"/>
    <n v="2"/>
    <n v="2013"/>
    <x v="1"/>
    <n v="945000000"/>
    <n v="18000000"/>
    <n v="597000000"/>
    <n v="0"/>
    <n v="36000000"/>
    <s v="Consumer Discretionary"/>
    <s v="Internet &amp; Direct Marketing Retail"/>
    <n v="0.98095238095238091"/>
    <n v="927000000"/>
    <n v="0.31111111111111112"/>
    <n v="294000000"/>
  </r>
  <r>
    <x v="371"/>
    <n v="3"/>
    <n v="2014"/>
    <x v="2"/>
    <n v="1246000000"/>
    <n v="40000000"/>
    <n v="801000000"/>
    <n v="0"/>
    <n v="65000000"/>
    <s v="Consumer Discretionary"/>
    <s v="Internet &amp; Direct Marketing Retail"/>
    <n v="0.9678972712680578"/>
    <n v="1206000000"/>
    <n v="0.27287319422150885"/>
    <n v="340000000"/>
  </r>
  <r>
    <x v="371"/>
    <n v="4"/>
    <n v="2015"/>
    <x v="3"/>
    <n v="1492000000"/>
    <n v="58000000"/>
    <n v="1109000000"/>
    <n v="0"/>
    <n v="93000000"/>
    <s v="Consumer Discretionary"/>
    <s v="Internet &amp; Direct Marketing Retail"/>
    <n v="0.96112600536193027"/>
    <n v="1434000000"/>
    <n v="0.15549597855227881"/>
    <n v="232000000"/>
  </r>
  <r>
    <x v="372"/>
    <n v="1"/>
    <n v="2013"/>
    <x v="158"/>
    <n v="3637212000"/>
    <n v="2446443000"/>
    <n v="0"/>
    <n v="0"/>
    <n v="0"/>
    <s v="Health Care"/>
    <s v="Health Care Supplies"/>
    <n v="0.32738509605708987"/>
    <n v="1190769000"/>
    <n v="0.32738509605708987"/>
    <n v="1190769000"/>
  </r>
  <r>
    <x v="372"/>
    <n v="2"/>
    <n v="2014"/>
    <x v="159"/>
    <n v="3585141000"/>
    <n v="2566444000"/>
    <n v="0"/>
    <n v="0"/>
    <n v="0"/>
    <s v="Health Care"/>
    <s v="Health Care Supplies"/>
    <n v="0.2841441940498296"/>
    <n v="1018697000"/>
    <n v="0.28414419404982955"/>
    <n v="1018697000"/>
  </r>
  <r>
    <x v="372"/>
    <n v="3"/>
    <n v="2015"/>
    <x v="160"/>
    <n v="3910865000"/>
    <n v="2850316000"/>
    <n v="0"/>
    <n v="0"/>
    <n v="0"/>
    <s v="Health Care"/>
    <s v="Health Care Supplies"/>
    <n v="0.27118016091069364"/>
    <n v="1060549000"/>
    <n v="0.27118016091069369"/>
    <n v="1060549000"/>
  </r>
  <r>
    <x v="372"/>
    <n v="4"/>
    <n v="2016"/>
    <x v="52"/>
    <n v="5386703000"/>
    <n v="4063955000"/>
    <n v="0"/>
    <n v="0"/>
    <n v="0"/>
    <s v="Health Care"/>
    <s v="Health Care Supplies"/>
    <n v="0.24555799716449933"/>
    <n v="1322748000"/>
    <n v="0.24555799716449933"/>
    <n v="1322748000"/>
  </r>
  <r>
    <x v="373"/>
    <n v="1"/>
    <n v="2012"/>
    <x v="4"/>
    <n v="4664120000"/>
    <n v="3098066000"/>
    <n v="1040287000"/>
    <n v="0"/>
    <n v="88975000"/>
    <s v="Consumer Discretionary"/>
    <s v="Specialty Retail"/>
    <n v="0.33576623242969739"/>
    <n v="1566054000"/>
    <n v="9.3649391525089401E-2"/>
    <n v="436792000"/>
  </r>
  <r>
    <x v="373"/>
    <n v="2"/>
    <n v="2013"/>
    <x v="5"/>
    <n v="5164784000"/>
    <n v="3411175000"/>
    <n v="1138934000"/>
    <n v="0"/>
    <n v="100025000"/>
    <s v="Consumer Discretionary"/>
    <s v="Specialty Retail"/>
    <n v="0.33953191459700927"/>
    <n v="1753609000"/>
    <n v="9.9645987131310815E-2"/>
    <n v="514650000"/>
  </r>
  <r>
    <x v="373"/>
    <n v="3"/>
    <n v="2014"/>
    <x v="101"/>
    <n v="5711715000"/>
    <n v="3761300000"/>
    <n v="1246308000"/>
    <n v="0"/>
    <n v="114635000"/>
    <s v="Consumer Discretionary"/>
    <s v="Specialty Retail"/>
    <n v="0.34147624662645104"/>
    <n v="1950415000"/>
    <n v="0.10320402891250702"/>
    <n v="589472000"/>
  </r>
  <r>
    <x v="373"/>
    <n v="4"/>
    <n v="2015"/>
    <x v="102"/>
    <n v="6226507000"/>
    <n v="4083333000"/>
    <n v="1369097000"/>
    <n v="0"/>
    <n v="123569000"/>
    <s v="Consumer Discretionary"/>
    <s v="Specialty Retail"/>
    <n v="0.34420165270833225"/>
    <n v="2143174000"/>
    <n v="0.10447398517338854"/>
    <n v="650508000"/>
  </r>
  <r>
    <x v="374"/>
    <n v="1"/>
    <n v="2013"/>
    <x v="161"/>
    <n v="34374000000"/>
    <n v="32016000000"/>
    <n v="983000000"/>
    <n v="0"/>
    <n v="0"/>
    <s v="Consumer Staples"/>
    <s v="Packaged Foods &amp; Meats"/>
    <n v="6.8598359224995686E-2"/>
    <n v="2358000000"/>
    <n v="4.0001163670215861E-2"/>
    <n v="1375000000"/>
  </r>
  <r>
    <x v="374"/>
    <n v="2"/>
    <n v="2014"/>
    <x v="149"/>
    <n v="37580000000"/>
    <n v="34895000000"/>
    <n v="1255000000"/>
    <n v="0"/>
    <n v="0"/>
    <s v="Consumer Staples"/>
    <s v="Packaged Foods &amp; Meats"/>
    <n v="7.1447578499201692E-2"/>
    <n v="2685000000"/>
    <n v="3.8052155401809472E-2"/>
    <n v="1430000000"/>
  </r>
  <r>
    <x v="374"/>
    <n v="3"/>
    <n v="2015"/>
    <x v="94"/>
    <n v="41373000000"/>
    <n v="37456000000"/>
    <n v="1748000000"/>
    <n v="0"/>
    <n v="0"/>
    <s v="Consumer Staples"/>
    <s v="Packaged Foods &amp; Meats"/>
    <n v="9.4675271312208431E-2"/>
    <n v="3917000000"/>
    <n v="5.2425494887970416E-2"/>
    <n v="2169000000"/>
  </r>
  <r>
    <x v="374"/>
    <n v="4"/>
    <n v="2016"/>
    <x v="95"/>
    <n v="36881000000"/>
    <n v="32184000000"/>
    <n v="1864000000"/>
    <n v="0"/>
    <n v="0"/>
    <s v="Consumer Staples"/>
    <s v="Packaged Foods &amp; Meats"/>
    <n v="0.12735554892763212"/>
    <n v="4697000000"/>
    <n v="7.6814619994034869E-2"/>
    <n v="2833000000"/>
  </r>
  <r>
    <x v="375"/>
    <n v="1"/>
    <n v="2012"/>
    <x v="0"/>
    <n v="29809000000"/>
    <n v="26045000000"/>
    <n v="1702000000"/>
    <n v="0"/>
    <n v="418000000"/>
    <s v="Energy"/>
    <s v="Oil &amp; Gas Refining &amp; Marketing &amp; Transportation"/>
    <n v="0.12627058941930291"/>
    <n v="3764000000"/>
    <n v="5.5151128853701901E-2"/>
    <n v="1644000000"/>
  </r>
  <r>
    <x v="375"/>
    <n v="2"/>
    <n v="2013"/>
    <x v="1"/>
    <n v="37601000000"/>
    <n v="34085000000"/>
    <n v="2248000000"/>
    <n v="0"/>
    <n v="489000000"/>
    <s v="Energy"/>
    <s v="Oil &amp; Gas Refining &amp; Marketing &amp; Transportation"/>
    <n v="9.3508151378952742E-2"/>
    <n v="3516000000"/>
    <n v="2.0717534108135423E-2"/>
    <n v="779000000"/>
  </r>
  <r>
    <x v="375"/>
    <n v="3"/>
    <n v="2014"/>
    <x v="2"/>
    <n v="40633000000"/>
    <n v="35673000000"/>
    <n v="2762000000"/>
    <n v="0"/>
    <n v="562000000"/>
    <s v="Energy"/>
    <s v="Oil &amp; Gas Refining &amp; Marketing &amp; Transportation"/>
    <n v="0.12206826963305684"/>
    <n v="4960000000"/>
    <n v="4.0262840548322791E-2"/>
    <n v="1636000000"/>
  </r>
  <r>
    <x v="375"/>
    <n v="4"/>
    <n v="2015"/>
    <x v="3"/>
    <n v="28711000000"/>
    <n v="22466000000"/>
    <n v="2620000000"/>
    <n v="0"/>
    <n v="756000000"/>
    <s v="Energy"/>
    <s v="Oil &amp; Gas Refining &amp; Marketing &amp; Transportation"/>
    <n v="0.21751245167357458"/>
    <n v="6245000000"/>
    <n v="9.9926857302079342E-2"/>
    <n v="2869000000"/>
  </r>
  <r>
    <x v="376"/>
    <n v="1"/>
    <n v="2012"/>
    <x v="0"/>
    <n v="1793557000"/>
    <n v="1189341000"/>
    <n v="247597000"/>
    <n v="0"/>
    <n v="0"/>
    <s v="Information Technology"/>
    <s v="Internet Software &amp; Services"/>
    <n v="0.33688140382491327"/>
    <n v="604216000"/>
    <n v="0.19883337970301473"/>
    <n v="356619000"/>
  </r>
  <r>
    <x v="376"/>
    <n v="2"/>
    <n v="2013"/>
    <x v="1"/>
    <n v="2064305000"/>
    <n v="1369438000"/>
    <n v="312367000"/>
    <n v="0"/>
    <n v="0"/>
    <s v="Information Technology"/>
    <s v="Internet Software &amp; Services"/>
    <n v="0.33661062682113352"/>
    <n v="694867000"/>
    <n v="0.18529238654171742"/>
    <n v="382500000"/>
  </r>
  <r>
    <x v="376"/>
    <n v="3"/>
    <n v="2014"/>
    <x v="2"/>
    <n v="2446877000"/>
    <n v="1668892000"/>
    <n v="346345000"/>
    <n v="0"/>
    <n v="0"/>
    <s v="Information Technology"/>
    <s v="Internet Software &amp; Services"/>
    <n v="0.31795018711606671"/>
    <n v="777985000"/>
    <n v="0.17640445351360121"/>
    <n v="431640000"/>
  </r>
  <r>
    <x v="376"/>
    <n v="4"/>
    <n v="2015"/>
    <x v="3"/>
    <n v="2779541000"/>
    <n v="1855181000"/>
    <n v="390253000"/>
    <n v="0"/>
    <n v="0"/>
    <s v="Information Technology"/>
    <s v="Internet Software &amp; Services"/>
    <n v="0.33255850516326257"/>
    <n v="924360000"/>
    <n v="0.1921565467104101"/>
    <n v="534107000"/>
  </r>
  <r>
    <x v="377"/>
    <n v="1"/>
    <n v="2012"/>
    <x v="0"/>
    <n v="12825000000"/>
    <n v="6457000000"/>
    <n v="1804000000"/>
    <n v="1877000000"/>
    <n v="0"/>
    <s v="Information Technology"/>
    <s v="Semiconductors"/>
    <n v="0.49653021442495127"/>
    <n v="6368000000"/>
    <n v="0.20951267056530215"/>
    <n v="2687000000"/>
  </r>
  <r>
    <x v="377"/>
    <n v="2"/>
    <n v="2013"/>
    <x v="1"/>
    <n v="12205000000"/>
    <n v="5841000000"/>
    <n v="1858000000"/>
    <n v="1522000000"/>
    <n v="0"/>
    <s v="Information Technology"/>
    <s v="Semiconductors"/>
    <n v="0.52142564522736579"/>
    <n v="6364000000"/>
    <n v="0.24448996312986482"/>
    <n v="2984000000"/>
  </r>
  <r>
    <x v="377"/>
    <n v="3"/>
    <n v="2014"/>
    <x v="2"/>
    <n v="13045000000"/>
    <n v="5618000000"/>
    <n v="1843000000"/>
    <n v="1358000000"/>
    <n v="0"/>
    <s v="Information Technology"/>
    <s v="Semiconductors"/>
    <n v="0.56933691069375247"/>
    <n v="7427000000"/>
    <n v="0.32395553852050596"/>
    <n v="4226000000"/>
  </r>
  <r>
    <x v="377"/>
    <n v="4"/>
    <n v="2015"/>
    <x v="3"/>
    <n v="13000000000"/>
    <n v="5440000000"/>
    <n v="1748000000"/>
    <n v="1280000000"/>
    <n v="0"/>
    <s v="Information Technology"/>
    <s v="Semiconductors"/>
    <n v="0.58153846153846156"/>
    <n v="7560000000"/>
    <n v="0.3486153846153846"/>
    <n v="4532000000"/>
  </r>
  <r>
    <x v="378"/>
    <n v="1"/>
    <n v="2012"/>
    <x v="4"/>
    <n v="12237000000"/>
    <n v="10019000000"/>
    <n v="1165000000"/>
    <n v="0"/>
    <n v="0"/>
    <s v="Industrials"/>
    <s v="Industrial Conglomerates"/>
    <n v="0.18125357522268526"/>
    <n v="2218000000"/>
    <n v="8.6050502574160331E-2"/>
    <n v="1053000000"/>
  </r>
  <r>
    <x v="378"/>
    <n v="2"/>
    <n v="2013"/>
    <x v="5"/>
    <n v="12104000000"/>
    <n v="10131000000"/>
    <n v="1126000000"/>
    <n v="0"/>
    <n v="0"/>
    <s v="Industrials"/>
    <s v="Industrial Conglomerates"/>
    <n v="0.16300396563119635"/>
    <n v="1973000000"/>
    <n v="6.9976867151354927E-2"/>
    <n v="847000000"/>
  </r>
  <r>
    <x v="378"/>
    <n v="3"/>
    <n v="2015"/>
    <x v="6"/>
    <n v="13878000000"/>
    <n v="11421000000"/>
    <n v="1361000000"/>
    <n v="0"/>
    <n v="0"/>
    <s v="Industrials"/>
    <s v="Industrial Conglomerates"/>
    <n v="0.17704280155642027"/>
    <n v="2457000000"/>
    <n v="7.8973915549791038E-2"/>
    <n v="1096000000"/>
  </r>
  <r>
    <x v="378"/>
    <n v="4"/>
    <n v="2016"/>
    <x v="7"/>
    <n v="13423000000"/>
    <n v="10979000000"/>
    <n v="1304000000"/>
    <n v="0"/>
    <n v="0"/>
    <s v="Industrials"/>
    <s v="Industrial Conglomerates"/>
    <n v="0.18207554198018328"/>
    <n v="2444000000"/>
    <n v="8.4928853460478279E-2"/>
    <n v="1140000000"/>
  </r>
  <r>
    <x v="379"/>
    <n v="1"/>
    <n v="2012"/>
    <x v="0"/>
    <n v="1834921000"/>
    <n v="955624000"/>
    <n v="670602000"/>
    <n v="0"/>
    <n v="0"/>
    <s v="Consumer Discretionary"/>
    <s v="Apparel, Accessories &amp; Luxury Goods"/>
    <n v="0.47920155690626465"/>
    <n v="879297000"/>
    <n v="0.11373514173089741"/>
    <n v="208695000"/>
  </r>
  <r>
    <x v="379"/>
    <n v="2"/>
    <n v="2013"/>
    <x v="1"/>
    <n v="2332051000"/>
    <n v="1195381000"/>
    <n v="871572000"/>
    <n v="0"/>
    <n v="0"/>
    <s v="Consumer Discretionary"/>
    <s v="Apparel, Accessories &amp; Luxury Goods"/>
    <n v="0.4874121535077921"/>
    <n v="1136670000"/>
    <n v="0.11367590159906452"/>
    <n v="265098000"/>
  </r>
  <r>
    <x v="379"/>
    <n v="3"/>
    <n v="2014"/>
    <x v="2"/>
    <n v="3084370000"/>
    <n v="1572164000"/>
    <n v="1158251000"/>
    <n v="0"/>
    <n v="0"/>
    <s v="Consumer Discretionary"/>
    <s v="Apparel, Accessories &amp; Luxury Goods"/>
    <n v="0.49028034898536821"/>
    <n v="1512206000"/>
    <n v="0.11475763283912112"/>
    <n v="353955000"/>
  </r>
  <r>
    <x v="379"/>
    <n v="4"/>
    <n v="2015"/>
    <x v="3"/>
    <n v="3963313000"/>
    <n v="2057766000"/>
    <n v="1497000000"/>
    <n v="0"/>
    <n v="0"/>
    <s v="Consumer Discretionary"/>
    <s v="Apparel, Accessories &amp; Luxury Goods"/>
    <n v="0.48079649525535828"/>
    <n v="1905547000"/>
    <n v="0.10308219411386384"/>
    <n v="408547000"/>
  </r>
  <r>
    <x v="380"/>
    <n v="1"/>
    <n v="2012"/>
    <x v="0"/>
    <n v="1834921000"/>
    <n v="955624000"/>
    <n v="670602000"/>
    <n v="0"/>
    <n v="0"/>
    <s v="Consumer Discretionary"/>
    <s v="Apparel, Accessories &amp; Luxury Goods"/>
    <n v="0.47920155690626465"/>
    <n v="879297000"/>
    <n v="0.11373514173089741"/>
    <n v="208695000"/>
  </r>
  <r>
    <x v="380"/>
    <n v="2"/>
    <n v="2013"/>
    <x v="1"/>
    <n v="2332051000"/>
    <n v="1195381000"/>
    <n v="871572000"/>
    <n v="0"/>
    <n v="0"/>
    <s v="Consumer Discretionary"/>
    <s v="Apparel, Accessories &amp; Luxury Goods"/>
    <n v="0.4874121535077921"/>
    <n v="1136670000"/>
    <n v="0.11367590159906452"/>
    <n v="265098000"/>
  </r>
  <r>
    <x v="380"/>
    <n v="3"/>
    <n v="2014"/>
    <x v="2"/>
    <n v="3084370000"/>
    <n v="1572164000"/>
    <n v="1158251000"/>
    <n v="0"/>
    <n v="0"/>
    <s v="Consumer Discretionary"/>
    <s v="Apparel, Accessories &amp; Luxury Goods"/>
    <n v="0.49028034898536821"/>
    <n v="1512206000"/>
    <n v="0.11475763283912112"/>
    <n v="353955000"/>
  </r>
  <r>
    <x v="380"/>
    <n v="4"/>
    <n v="2015"/>
    <x v="3"/>
    <n v="3963313000"/>
    <n v="2057766000"/>
    <n v="1497000000"/>
    <n v="0"/>
    <n v="0"/>
    <s v="Consumer Discretionary"/>
    <s v="Apparel, Accessories &amp; Luxury Goods"/>
    <n v="0.48079649525535828"/>
    <n v="1905547000"/>
    <n v="0.10308219411386384"/>
    <n v="408547000"/>
  </r>
  <r>
    <x v="381"/>
    <n v="1"/>
    <n v="2012"/>
    <x v="0"/>
    <n v="37152000000"/>
    <n v="17820000000"/>
    <n v="16448000000"/>
    <n v="0"/>
    <n v="1522000000"/>
    <s v="Industrials"/>
    <s v="Airlines"/>
    <n v="0.52034883720930236"/>
    <n v="19332000000"/>
    <n v="3.6660206718346251E-2"/>
    <n v="1362000000"/>
  </r>
  <r>
    <x v="381"/>
    <n v="2"/>
    <n v="2013"/>
    <x v="1"/>
    <n v="38279000000"/>
    <n v="17192000000"/>
    <n v="17629000000"/>
    <n v="0"/>
    <n v="1689000000"/>
    <s v="Industrials"/>
    <s v="Airlines"/>
    <n v="0.5508764596776301"/>
    <n v="21087000000"/>
    <n v="4.6213328456856238E-2"/>
    <n v="1769000000"/>
  </r>
  <r>
    <x v="381"/>
    <n v="3"/>
    <n v="2014"/>
    <x v="2"/>
    <n v="38901000000"/>
    <n v="16611000000"/>
    <n v="17795000000"/>
    <n v="0"/>
    <n v="1679000000"/>
    <s v="Industrials"/>
    <s v="Airlines"/>
    <n v="0.57299298218554795"/>
    <n v="22290000000"/>
    <n v="7.2388884604508888E-2"/>
    <n v="2816000000"/>
  </r>
  <r>
    <x v="381"/>
    <n v="4"/>
    <n v="2015"/>
    <x v="3"/>
    <n v="37864000000"/>
    <n v="12130000000"/>
    <n v="18423000000"/>
    <n v="0"/>
    <n v="1819000000"/>
    <s v="Industrials"/>
    <s v="Airlines"/>
    <n v="0.67964293260088737"/>
    <n v="25734000000"/>
    <n v="0.14504542573420665"/>
    <n v="5492000000"/>
  </r>
  <r>
    <x v="382"/>
    <n v="1"/>
    <n v="2012"/>
    <x v="0"/>
    <n v="716612000"/>
    <n v="245316000"/>
    <n v="58005000"/>
    <n v="0"/>
    <n v="346031000"/>
    <s v="Real Estate"/>
    <s v="Residential REITs"/>
    <n v="0.65767249222731405"/>
    <n v="471296000"/>
    <n v="9.3858322216206255E-2"/>
    <n v="67260000"/>
  </r>
  <r>
    <x v="382"/>
    <n v="2"/>
    <n v="2013"/>
    <x v="1"/>
    <n v="758926000"/>
    <n v="258612000"/>
    <n v="37121000"/>
    <n v="0"/>
    <n v="346273000"/>
    <s v="Real Estate"/>
    <s v="Residential REITs"/>
    <n v="0.6592395042467909"/>
    <n v="500314000"/>
    <n v="0.1540598161085534"/>
    <n v="116920000"/>
  </r>
  <r>
    <x v="382"/>
    <n v="3"/>
    <n v="2014"/>
    <x v="2"/>
    <n v="818046000"/>
    <n v="270741000"/>
    <n v="56612000"/>
    <n v="0"/>
    <n v="363929000"/>
    <s v="Real Estate"/>
    <s v="Residential REITs"/>
    <n v="0.66903939387271616"/>
    <n v="547305000"/>
    <n v="0.1549595010549529"/>
    <n v="126764000"/>
  </r>
  <r>
    <x v="382"/>
    <n v="4"/>
    <n v="2015"/>
    <x v="3"/>
    <n v="894638000"/>
    <n v="282037000"/>
    <n v="71733000"/>
    <n v="0"/>
    <n v="381277000"/>
    <s v="Real Estate"/>
    <s v="Residential REITs"/>
    <n v="0.68474735032493594"/>
    <n v="612601000"/>
    <n v="0.17838611818411471"/>
    <n v="159591000"/>
  </r>
  <r>
    <x v="383"/>
    <n v="1"/>
    <n v="2013"/>
    <x v="96"/>
    <n v="2220256000"/>
    <n v="1436582000"/>
    <n v="488880000"/>
    <n v="0"/>
    <n v="0"/>
    <s v="Consumer Discretionary"/>
    <s v="Specialty Stores"/>
    <n v="0.35296560396638943"/>
    <n v="783674000"/>
    <n v="0.13277477912456942"/>
    <n v="294794000"/>
  </r>
  <r>
    <x v="383"/>
    <n v="2"/>
    <n v="2014"/>
    <x v="110"/>
    <n v="2670573000"/>
    <n v="1729325000"/>
    <n v="596390000"/>
    <n v="0"/>
    <n v="0"/>
    <s v="Consumer Discretionary"/>
    <s v="Specialty Stores"/>
    <n v="0.35245170231257483"/>
    <n v="941248000"/>
    <n v="0.12913258690176227"/>
    <n v="344858000"/>
  </r>
  <r>
    <x v="383"/>
    <n v="3"/>
    <n v="2015"/>
    <x v="23"/>
    <n v="3241369000"/>
    <n v="2104582000"/>
    <n v="712006000"/>
    <n v="0"/>
    <n v="0"/>
    <s v="Consumer Discretionary"/>
    <s v="Specialty Stores"/>
    <n v="0.35071199854135704"/>
    <n v="1136787000"/>
    <n v="0.13104987429694059"/>
    <n v="424781000"/>
  </r>
  <r>
    <x v="383"/>
    <n v="4"/>
    <n v="2016"/>
    <x v="24"/>
    <n v="3924116000"/>
    <n v="2539783000"/>
    <n v="863354000"/>
    <n v="0"/>
    <n v="0"/>
    <s v="Consumer Discretionary"/>
    <s v="Specialty Stores"/>
    <n v="0.35277575892251911"/>
    <n v="1384333000"/>
    <n v="0.13276340454767394"/>
    <n v="520979000"/>
  </r>
  <r>
    <x v="384"/>
    <n v="1"/>
    <n v="2012"/>
    <x v="0"/>
    <n v="54657000000"/>
    <n v="9821000000"/>
    <n v="15171000000"/>
    <n v="7482000000"/>
    <n v="5109000000"/>
    <s v="Health Care"/>
    <s v="Pharmaceuticals"/>
    <n v="0.8203157875477981"/>
    <n v="44836000000"/>
    <n v="0.31238450701648462"/>
    <n v="17074000000"/>
  </r>
  <r>
    <x v="384"/>
    <n v="2"/>
    <n v="2013"/>
    <x v="1"/>
    <n v="51584000000"/>
    <n v="9586000000"/>
    <n v="14355000000"/>
    <n v="6678000000"/>
    <n v="4599000000"/>
    <s v="Health Care"/>
    <s v="Pharmaceuticals"/>
    <n v="0.81416718362282881"/>
    <n v="41998000000"/>
    <n v="0.31726892059553352"/>
    <n v="16366000000"/>
  </r>
  <r>
    <x v="384"/>
    <n v="3"/>
    <n v="2014"/>
    <x v="2"/>
    <n v="49605000000"/>
    <n v="9577000000"/>
    <n v="14097000000"/>
    <n v="8393000000"/>
    <n v="4039000000"/>
    <s v="Health Care"/>
    <s v="Pharmaceuticals"/>
    <n v="0.80693478479991931"/>
    <n v="40028000000"/>
    <n v="0.27212982562241711"/>
    <n v="13499000000"/>
  </r>
  <r>
    <x v="384"/>
    <n v="4"/>
    <n v="2015"/>
    <x v="3"/>
    <n v="48851000000"/>
    <n v="9648000000"/>
    <n v="14809000000"/>
    <n v="7690000000"/>
    <n v="3728000000"/>
    <s v="Health Care"/>
    <s v="Pharmaceuticals"/>
    <n v="0.80250148410472666"/>
    <n v="39203000000"/>
    <n v="0.2656240404495302"/>
    <n v="12976000000"/>
  </r>
  <r>
    <x v="385"/>
    <n v="1"/>
    <n v="2012"/>
    <x v="157"/>
    <n v="2105188000"/>
    <n v="1143659000"/>
    <n v="627370000"/>
    <n v="131835000"/>
    <n v="0"/>
    <s v="Health Care"/>
    <s v="Health Care Equipment"/>
    <n v="0.4567425807101313"/>
    <n v="961529000"/>
    <n v="9.6107331031717827E-2"/>
    <n v="202324000"/>
  </r>
  <r>
    <x v="385"/>
    <n v="2"/>
    <n v="2013"/>
    <x v="103"/>
    <n v="2157586000"/>
    <n v="1181444000"/>
    <n v="581898000"/>
    <n v="132400000"/>
    <n v="0"/>
    <s v="Health Care"/>
    <s v="Health Care Equipment"/>
    <n v="0.45242321742910829"/>
    <n v="976142000"/>
    <n v="0.12135970478117675"/>
    <n v="261844000"/>
  </r>
  <r>
    <x v="385"/>
    <n v="3"/>
    <n v="2014"/>
    <x v="104"/>
    <n v="2237219000"/>
    <n v="1232611000"/>
    <n v="659335000"/>
    <n v="121141000"/>
    <n v="0"/>
    <s v="Health Care"/>
    <s v="Health Care Equipment"/>
    <n v="0.44904320944887377"/>
    <n v="1004608000"/>
    <n v="0.10018330793722027"/>
    <n v="224132000"/>
  </r>
  <r>
    <x v="385"/>
    <n v="4"/>
    <n v="2016"/>
    <x v="141"/>
    <n v="2262359000"/>
    <n v="1237859000"/>
    <n v="598848000"/>
    <n v="125928000"/>
    <n v="0"/>
    <s v="Health Care"/>
    <s v="Health Care Equipment"/>
    <n v="0.45284590111472145"/>
    <n v="1024500000"/>
    <n v="0.13248295252875428"/>
    <n v="299724000"/>
  </r>
  <r>
    <x v="386"/>
    <n v="1"/>
    <n v="2013"/>
    <x v="1"/>
    <n v="21963000000"/>
    <n v="5849000000"/>
    <n v="6891000000"/>
    <n v="0"/>
    <n v="1777000000"/>
    <s v="Industrials"/>
    <s v="Railroads"/>
    <n v="0.73368847607339616"/>
    <n v="16114000000"/>
    <n v="0.33902472339844286"/>
    <n v="7446000000"/>
  </r>
  <r>
    <x v="386"/>
    <n v="2"/>
    <n v="2014"/>
    <x v="2"/>
    <n v="23988000000"/>
    <n v="6097000000"/>
    <n v="7234000000"/>
    <n v="0"/>
    <n v="1904000000"/>
    <s v="Industrials"/>
    <s v="Railroads"/>
    <n v="0.74583124895781228"/>
    <n v="17891000000"/>
    <n v="0.36489077872269465"/>
    <n v="8753000000"/>
  </r>
  <r>
    <x v="386"/>
    <n v="3"/>
    <n v="2015"/>
    <x v="3"/>
    <n v="21813000000"/>
    <n v="4434000000"/>
    <n v="7315000000"/>
    <n v="0"/>
    <n v="2012000000"/>
    <s v="Industrials"/>
    <s v="Railroads"/>
    <n v="0.7967267225966167"/>
    <n v="17379000000"/>
    <n v="0.36913767019667171"/>
    <n v="8052000000"/>
  </r>
  <r>
    <x v="386"/>
    <n v="4"/>
    <n v="2016"/>
    <x v="12"/>
    <n v="19941000000"/>
    <n v="3747000000"/>
    <n v="6884000000"/>
    <n v="0"/>
    <n v="2038000000"/>
    <s v="Industrials"/>
    <s v="Railroads"/>
    <n v="0.81209568226267492"/>
    <n v="16194000000"/>
    <n v="0.3646757935910937"/>
    <n v="7272000000"/>
  </r>
  <r>
    <x v="387"/>
    <n v="1"/>
    <n v="2012"/>
    <x v="0"/>
    <n v="54127000000"/>
    <n v="13574000000"/>
    <n v="37352000000"/>
    <n v="0"/>
    <n v="1858000000"/>
    <s v="Industrials"/>
    <s v="Air Freight &amp; Logistics"/>
    <n v="0.74921942838139932"/>
    <n v="40553000000"/>
    <n v="2.4812016184159475E-2"/>
    <n v="1343000000"/>
  </r>
  <r>
    <x v="387"/>
    <n v="2"/>
    <n v="2013"/>
    <x v="1"/>
    <n v="55438000000"/>
    <n v="13703000000"/>
    <n v="32834000000"/>
    <n v="0"/>
    <n v="1867000000"/>
    <s v="Industrials"/>
    <s v="Air Freight &amp; Logistics"/>
    <n v="0.7528229734117392"/>
    <n v="41735000000"/>
    <n v="0.1268804790937624"/>
    <n v="7034000000"/>
  </r>
  <r>
    <x v="387"/>
    <n v="3"/>
    <n v="2014"/>
    <x v="2"/>
    <n v="58232000000"/>
    <n v="14758000000"/>
    <n v="36583000000"/>
    <n v="0"/>
    <n v="1923000000"/>
    <s v="Industrials"/>
    <s v="Air Freight &amp; Logistics"/>
    <n v="0.74656546228877585"/>
    <n v="43474000000"/>
    <n v="8.5313916746805885E-2"/>
    <n v="4968000000"/>
  </r>
  <r>
    <x v="387"/>
    <n v="4"/>
    <n v="2015"/>
    <x v="3"/>
    <n v="58363000000"/>
    <n v="12947000000"/>
    <n v="35664000000"/>
    <n v="0"/>
    <n v="2084000000"/>
    <s v="Industrials"/>
    <s v="Air Freight &amp; Logistics"/>
    <n v="0.77816424789678396"/>
    <n v="45416000000"/>
    <n v="0.13138461011257133"/>
    <n v="7668000000"/>
  </r>
  <r>
    <x v="388"/>
    <n v="1"/>
    <n v="2013"/>
    <x v="21"/>
    <n v="2794925000"/>
    <n v="1763394000"/>
    <n v="657246000"/>
    <n v="0"/>
    <n v="0"/>
    <s v="Consumer Discretionary"/>
    <s v="Apparel Retail"/>
    <n v="0.36907287315402026"/>
    <n v="1031531000"/>
    <n v="0.13391593692138429"/>
    <n v="374285000"/>
  </r>
  <r>
    <x v="388"/>
    <n v="2"/>
    <n v="2014"/>
    <x v="22"/>
    <n v="3086608000"/>
    <n v="1925266000"/>
    <n v="734511000"/>
    <n v="0"/>
    <n v="0"/>
    <s v="Consumer Discretionary"/>
    <s v="Apparel Retail"/>
    <n v="0.37625185964657648"/>
    <n v="1161342000"/>
    <n v="0.13828480973288476"/>
    <n v="426831000"/>
  </r>
  <r>
    <x v="388"/>
    <n v="3"/>
    <n v="2015"/>
    <x v="23"/>
    <n v="3323077000"/>
    <n v="2148147000"/>
    <n v="809545000"/>
    <n v="0"/>
    <n v="0"/>
    <s v="Consumer Discretionary"/>
    <s v="Apparel Retail"/>
    <n v="0.35356688996372942"/>
    <n v="1174930000"/>
    <n v="0.1099538168992172"/>
    <n v="365385000"/>
  </r>
  <r>
    <x v="388"/>
    <n v="4"/>
    <n v="2016"/>
    <x v="24"/>
    <n v="3445134000"/>
    <n v="2243232000"/>
    <n v="848323000"/>
    <n v="0"/>
    <n v="0"/>
    <s v="Consumer Discretionary"/>
    <s v="Apparel Retail"/>
    <n v="0.34886944890967952"/>
    <n v="1201902000"/>
    <n v="0.10263142159347068"/>
    <n v="353579000"/>
  </r>
  <r>
    <x v="389"/>
    <n v="1"/>
    <n v="2013"/>
    <x v="1"/>
    <n v="2104745000"/>
    <n v="155355000"/>
    <n v="346393000"/>
    <n v="859947000"/>
    <n v="0"/>
    <s v="Health Care"/>
    <s v="Biotechnology"/>
    <n v="0.92618820807271185"/>
    <n v="1949390000"/>
    <n v="0.35303564089711581"/>
    <n v="743050000"/>
  </r>
  <r>
    <x v="389"/>
    <n v="2"/>
    <n v="2014"/>
    <x v="2"/>
    <n v="2819557000"/>
    <n v="205018000"/>
    <n v="519267000"/>
    <n v="1271353000"/>
    <n v="0"/>
    <s v="Health Care"/>
    <s v="Biotechnology"/>
    <n v="0.92728715894021652"/>
    <n v="2614539000"/>
    <n v="0.29221576297269392"/>
    <n v="823919000"/>
  </r>
  <r>
    <x v="389"/>
    <n v="3"/>
    <n v="2015"/>
    <x v="3"/>
    <n v="4103728000"/>
    <n v="392709000"/>
    <n v="838526000"/>
    <n v="1620577000"/>
    <n v="0"/>
    <s v="Health Care"/>
    <s v="Biotechnology"/>
    <n v="0.90430433011154732"/>
    <n v="3711019000"/>
    <n v="0.30506797721486412"/>
    <n v="1251916000"/>
  </r>
  <r>
    <x v="389"/>
    <n v="4"/>
    <n v="2016"/>
    <x v="12"/>
    <n v="4860427000"/>
    <n v="299694000"/>
    <n v="1177697000"/>
    <n v="2052295000"/>
    <n v="0"/>
    <s v="Health Care"/>
    <s v="Biotechnology"/>
    <n v="0.93833998535519614"/>
    <n v="4560733000"/>
    <n v="0.27379096527938801"/>
    <n v="1330741000"/>
  </r>
  <r>
    <x v="390"/>
    <n v="1"/>
    <n v="2013"/>
    <x v="1"/>
    <n v="56600000000"/>
    <n v="40468000000"/>
    <n v="5241000000"/>
    <n v="2342000000"/>
    <n v="0"/>
    <s v="Industrials"/>
    <s v="Industrial Conglomerates"/>
    <n v="0.28501766784452298"/>
    <n v="16132000000"/>
    <n v="0.15104240282685513"/>
    <n v="8549000000"/>
  </r>
  <r>
    <x v="390"/>
    <n v="2"/>
    <n v="2014"/>
    <x v="2"/>
    <n v="57900000000"/>
    <n v="40898000000"/>
    <n v="4934000000"/>
    <n v="2475000000"/>
    <n v="0"/>
    <s v="Industrials"/>
    <s v="Industrial Conglomerates"/>
    <n v="0.29364421416234887"/>
    <n v="17002000000"/>
    <n v="0.16568221070811745"/>
    <n v="9593000000"/>
  </r>
  <r>
    <x v="390"/>
    <n v="3"/>
    <n v="2015"/>
    <x v="3"/>
    <n v="56098000000"/>
    <n v="40431000000"/>
    <n v="6097000000"/>
    <n v="2279000000"/>
    <n v="0"/>
    <s v="Industrials"/>
    <s v="Industrial Conglomerates"/>
    <n v="0.27927911868515809"/>
    <n v="15667000000"/>
    <n v="0.12996898285143854"/>
    <n v="7291000000"/>
  </r>
  <r>
    <x v="390"/>
    <n v="4"/>
    <n v="2016"/>
    <x v="12"/>
    <n v="57244000000"/>
    <n v="41460000000"/>
    <n v="5275000000"/>
    <n v="2337000000"/>
    <n v="0"/>
    <s v="Industrials"/>
    <s v="Industrial Conglomerates"/>
    <n v="0.27573195444064003"/>
    <n v="15784000000"/>
    <n v="0.1427573195444064"/>
    <n v="8172000000"/>
  </r>
  <r>
    <x v="391"/>
    <n v="1"/>
    <n v="2013"/>
    <x v="29"/>
    <n v="11778000000"/>
    <n v="1932000000"/>
    <n v="2207000000"/>
    <n v="0"/>
    <n v="397000000"/>
    <s v="Information Technology"/>
    <s v="Internet Software &amp; Services"/>
    <n v="0.83596535914416714"/>
    <n v="9846000000"/>
    <n v="0.61487519103413146"/>
    <n v="7242000000"/>
  </r>
  <r>
    <x v="391"/>
    <n v="2"/>
    <n v="2014"/>
    <x v="30"/>
    <n v="12702000000"/>
    <n v="1875000000"/>
    <n v="2242000000"/>
    <n v="0"/>
    <n v="435000000"/>
    <s v="Information Technology"/>
    <s v="Internet Software &amp; Services"/>
    <n v="0.85238545111006148"/>
    <n v="10827000000"/>
    <n v="0.64163123917493303"/>
    <n v="8150000000"/>
  </r>
  <r>
    <x v="391"/>
    <n v="3"/>
    <n v="2015"/>
    <x v="31"/>
    <n v="13880000000"/>
    <n v="2079000000"/>
    <n v="2229000000"/>
    <n v="0"/>
    <n v="494000000"/>
    <s v="Information Technology"/>
    <s v="Internet Software &amp; Services"/>
    <n v="0.85021613832853027"/>
    <n v="11801000000"/>
    <n v="0.65403458213256482"/>
    <n v="9078000000"/>
  </r>
  <r>
    <x v="391"/>
    <n v="4"/>
    <n v="2016"/>
    <x v="32"/>
    <n v="15082000000"/>
    <n v="2226000000"/>
    <n v="4469000000"/>
    <n v="0"/>
    <n v="502000000"/>
    <s v="Information Technology"/>
    <s v="Internet Software &amp; Services"/>
    <n v="0.85240684259382049"/>
    <n v="12856000000"/>
    <n v="0.52280864606816069"/>
    <n v="7885000000"/>
  </r>
  <r>
    <x v="392"/>
    <n v="1"/>
    <n v="2013"/>
    <x v="1"/>
    <n v="9021000000"/>
    <n v="3002000000"/>
    <n v="4089000000"/>
    <n v="536000000"/>
    <n v="138000000"/>
    <s v="Health Care"/>
    <s v="Health Care Equipment"/>
    <n v="0.6672209289435761"/>
    <n v="6019000000"/>
    <n v="0.13923068395964971"/>
    <n v="1256000000"/>
  </r>
  <r>
    <x v="392"/>
    <n v="2"/>
    <n v="2014"/>
    <x v="2"/>
    <n v="9675000000"/>
    <n v="3319000000"/>
    <n v="4308000000"/>
    <n v="614000000"/>
    <n v="188000000"/>
    <s v="Health Care"/>
    <s v="Health Care Equipment"/>
    <n v="0.65695090439276482"/>
    <n v="6356000000"/>
    <n v="0.12878552971576226"/>
    <n v="1246000000"/>
  </r>
  <r>
    <x v="392"/>
    <n v="3"/>
    <n v="2015"/>
    <x v="3"/>
    <n v="9946000000"/>
    <n v="3344000000"/>
    <n v="3906000000"/>
    <n v="625000000"/>
    <n v="210000000"/>
    <s v="Health Care"/>
    <s v="Health Care Equipment"/>
    <n v="0.66378443595415249"/>
    <n v="6602000000"/>
    <n v="0.18711039613915142"/>
    <n v="1861000000"/>
  </r>
  <r>
    <x v="392"/>
    <n v="4"/>
    <n v="2016"/>
    <x v="12"/>
    <n v="11325000000"/>
    <n v="3830000000"/>
    <n v="4295000000"/>
    <n v="715000000"/>
    <n v="319000000"/>
    <s v="Health Care"/>
    <s v="Health Care Equipment"/>
    <n v="0.66181015452538627"/>
    <n v="7495000000"/>
    <n v="0.19125827814569538"/>
    <n v="2166000000"/>
  </r>
  <r>
    <x v="393"/>
    <n v="1"/>
    <n v="2012"/>
    <x v="0"/>
    <n v="10879855000"/>
    <n v="5817880000"/>
    <n v="3596708000"/>
    <n v="0"/>
    <n v="0"/>
    <s v="Consumer Discretionary"/>
    <s v="Apparel, Accessories &amp; Luxury Goods"/>
    <n v="0.46526125577960364"/>
    <n v="5061975000"/>
    <n v="0.1346770706043417"/>
    <n v="1465267000"/>
  </r>
  <r>
    <x v="393"/>
    <n v="2"/>
    <n v="2013"/>
    <x v="1"/>
    <n v="11419648000"/>
    <n v="5931469000"/>
    <n v="3841032000"/>
    <n v="0"/>
    <n v="0"/>
    <s v="Consumer Discretionary"/>
    <s v="Apparel, Accessories &amp; Luxury Goods"/>
    <n v="0.48059090788087344"/>
    <n v="5488179000"/>
    <n v="0.14423798351753048"/>
    <n v="1647147000"/>
  </r>
  <r>
    <x v="393"/>
    <n v="3"/>
    <n v="2015"/>
    <x v="6"/>
    <n v="12282161000"/>
    <n v="6288190000"/>
    <n v="4159885000"/>
    <n v="0"/>
    <n v="0"/>
    <s v="Consumer Discretionary"/>
    <s v="Apparel, Accessories &amp; Luxury Goods"/>
    <n v="0.48802250678850412"/>
    <n v="5993971000"/>
    <n v="0.1493292589146161"/>
    <n v="1834086000"/>
  </r>
  <r>
    <x v="393"/>
    <n v="4"/>
    <n v="2016"/>
    <x v="7"/>
    <n v="12376744000"/>
    <n v="6393800000"/>
    <n v="4178386000"/>
    <n v="0"/>
    <n v="0"/>
    <s v="Consumer Discretionary"/>
    <s v="Apparel, Accessories &amp; Luxury Goods"/>
    <n v="0.48340209670653278"/>
    <n v="5982944000"/>
    <n v="0.14580232086888117"/>
    <n v="1804558000"/>
  </r>
  <r>
    <x v="394"/>
    <n v="1"/>
    <n v="2013"/>
    <x v="29"/>
    <n v="13794000000"/>
    <n v="6799000000"/>
    <n v="2829000000"/>
    <n v="0"/>
    <n v="237000000"/>
    <s v="Consumer Discretionary"/>
    <s v="Broadcasting &amp; Cable TV"/>
    <n v="0.50710453820501666"/>
    <n v="6995000000"/>
    <n v="0.28483398579092362"/>
    <n v="3929000000"/>
  </r>
  <r>
    <x v="394"/>
    <n v="2"/>
    <n v="2014"/>
    <x v="30"/>
    <n v="13783000000"/>
    <n v="6542000000"/>
    <n v="2899000000"/>
    <n v="0"/>
    <n v="217000000"/>
    <s v="Consumer Discretionary"/>
    <s v="Broadcasting &amp; Cable TV"/>
    <n v="0.52535732424000581"/>
    <n v="7241000000"/>
    <n v="0.29928172386272944"/>
    <n v="4125000000"/>
  </r>
  <r>
    <x v="394"/>
    <n v="3"/>
    <n v="2015"/>
    <x v="31"/>
    <n v="13268000000"/>
    <n v="6868000000"/>
    <n v="2860000000"/>
    <n v="0"/>
    <n v="222000000"/>
    <s v="Consumer Discretionary"/>
    <s v="Broadcasting &amp; Cable TV"/>
    <n v="0.48236358154959302"/>
    <n v="6400000000"/>
    <n v="0.2500753693096171"/>
    <n v="3318000000"/>
  </r>
  <r>
    <x v="394"/>
    <n v="4"/>
    <n v="2016"/>
    <x v="32"/>
    <n v="12488000000"/>
    <n v="6684000000"/>
    <n v="2851000000"/>
    <n v="0"/>
    <n v="221000000"/>
    <s v="Consumer Discretionary"/>
    <s v="Broadcasting &amp; Cable TV"/>
    <n v="0.46476617552850741"/>
    <n v="5804000000"/>
    <n v="0.21877001921844971"/>
    <n v="2732000000"/>
  </r>
  <r>
    <x v="395"/>
    <n v="1"/>
    <n v="2012"/>
    <x v="0"/>
    <n v="138393000000"/>
    <n v="126485000000"/>
    <n v="5229000000"/>
    <n v="0"/>
    <n v="1549000000"/>
    <s v="Energy"/>
    <s v="Oil &amp; Gas Refining &amp; Marketing &amp; Transportation"/>
    <n v="8.6044814405352832E-2"/>
    <n v="11908000000"/>
    <n v="3.7068348832672175E-2"/>
    <n v="5130000000"/>
  </r>
  <r>
    <x v="395"/>
    <n v="2"/>
    <n v="2013"/>
    <x v="1"/>
    <n v="138074000000"/>
    <n v="127316000000"/>
    <n v="5081000000"/>
    <n v="0"/>
    <n v="1720000000"/>
    <s v="Energy"/>
    <s v="Oil &amp; Gas Refining &amp; Marketing &amp; Transportation"/>
    <n v="7.7914741370569418E-2"/>
    <n v="10758000000"/>
    <n v="2.8658545417674579E-2"/>
    <n v="3957000000"/>
  </r>
  <r>
    <x v="395"/>
    <n v="3"/>
    <n v="2014"/>
    <x v="2"/>
    <n v="130844000000"/>
    <n v="118141000000"/>
    <n v="5111000000"/>
    <n v="0"/>
    <n v="1690000000"/>
    <s v="Energy"/>
    <s v="Oil &amp; Gas Refining &amp; Marketing &amp; Transportation"/>
    <n v="9.7085078413989168E-2"/>
    <n v="12703000000"/>
    <n v="4.5107150499831862E-2"/>
    <n v="5902000000"/>
  </r>
  <r>
    <x v="395"/>
    <n v="4"/>
    <n v="2015"/>
    <x v="3"/>
    <n v="87804000000"/>
    <n v="74651000000"/>
    <n v="4953000000"/>
    <n v="0"/>
    <n v="1842000000"/>
    <s v="Energy"/>
    <s v="Oil &amp; Gas Refining &amp; Marketing &amp; Transportation"/>
    <n v="0.14979955355109109"/>
    <n v="13153000000"/>
    <n v="7.2411279668352244E-2"/>
    <n v="6358000000"/>
  </r>
  <r>
    <x v="396"/>
    <n v="1"/>
    <n v="2012"/>
    <x v="0"/>
    <n v="2567310000"/>
    <n v="2233284000"/>
    <n v="308143000"/>
    <n v="0"/>
    <n v="0"/>
    <s v="Materials"/>
    <s v="Construction Materials"/>
    <n v="0.13010738866751581"/>
    <n v="334026000"/>
    <n v="1.0081758728007135E-2"/>
    <n v="25883000"/>
  </r>
  <r>
    <x v="396"/>
    <n v="2"/>
    <n v="2013"/>
    <x v="1"/>
    <n v="2770709000"/>
    <n v="2343829000"/>
    <n v="274217000"/>
    <n v="0"/>
    <n v="0"/>
    <s v="Materials"/>
    <s v="Construction Materials"/>
    <n v="0.15406886829327804"/>
    <n v="426880000"/>
    <n v="5.5098893460121576E-2"/>
    <n v="152663000"/>
  </r>
  <r>
    <x v="396"/>
    <n v="3"/>
    <n v="2014"/>
    <x v="2"/>
    <n v="2994169000"/>
    <n v="2406587000"/>
    <n v="292358000"/>
    <n v="0"/>
    <n v="0"/>
    <s v="Materials"/>
    <s v="Construction Materials"/>
    <n v="0.19624209588703911"/>
    <n v="587582000"/>
    <n v="9.8599644843026565E-2"/>
    <n v="295224000"/>
  </r>
  <r>
    <x v="396"/>
    <n v="4"/>
    <n v="2015"/>
    <x v="3"/>
    <n v="3422181000"/>
    <n v="2564648000"/>
    <n v="312694000"/>
    <n v="0"/>
    <n v="0"/>
    <s v="Materials"/>
    <s v="Construction Materials"/>
    <n v="0.25058084303547945"/>
    <n v="857533000"/>
    <n v="0.15920811903286239"/>
    <n v="544839000"/>
  </r>
  <r>
    <x v="397"/>
    <n v="1"/>
    <n v="2013"/>
    <x v="1"/>
    <n v="2299176000"/>
    <n v="928565000"/>
    <n v="177366000"/>
    <n v="32210000"/>
    <n v="461627000"/>
    <s v="Real Estate"/>
    <s v="REITs"/>
    <n v="0.59613139663949166"/>
    <n v="1370611000"/>
    <n v="0.30419941753045437"/>
    <n v="699408000"/>
  </r>
  <r>
    <x v="397"/>
    <n v="2"/>
    <n v="2014"/>
    <x v="2"/>
    <n v="2312512000"/>
    <n v="953611000"/>
    <n v="169270000"/>
    <n v="0"/>
    <n v="481303000"/>
    <s v="Real Estate"/>
    <s v="REITs"/>
    <n v="0.58762981554257876"/>
    <n v="1358901000"/>
    <n v="0.30630241053884261"/>
    <n v="708328000"/>
  </r>
  <r>
    <x v="397"/>
    <n v="3"/>
    <n v="2015"/>
    <x v="3"/>
    <n v="2502267000"/>
    <n v="1011249000"/>
    <n v="175307000"/>
    <n v="0"/>
    <n v="542952000"/>
    <s v="Real Estate"/>
    <s v="REITs"/>
    <n v="0.59586686792416632"/>
    <n v="1491018000"/>
    <n v="0.308823558796883"/>
    <n v="772759000"/>
  </r>
  <r>
    <x v="397"/>
    <n v="4"/>
    <n v="2016"/>
    <x v="12"/>
    <n v="2506202000"/>
    <n v="1024336000"/>
    <n v="179279000"/>
    <n v="0"/>
    <n v="565059000"/>
    <s v="Real Estate"/>
    <s v="REITs"/>
    <n v="0.59127955368322271"/>
    <n v="1481866000"/>
    <n v="0.29428114732970445"/>
    <n v="737528000"/>
  </r>
  <r>
    <x v="398"/>
    <n v="1"/>
    <n v="2012"/>
    <x v="0"/>
    <n v="1407848000"/>
    <n v="516708000"/>
    <n v="220068000"/>
    <n v="0"/>
    <n v="98844000"/>
    <s v="Industrials"/>
    <s v="Research &amp; Consulting Services"/>
    <n v="0.6329802649149624"/>
    <n v="891140000"/>
    <n v="0.40645581057045932"/>
    <n v="572228000"/>
  </r>
  <r>
    <x v="398"/>
    <n v="2"/>
    <n v="2013"/>
    <x v="1"/>
    <n v="1595703000"/>
    <n v="622523000"/>
    <n v="228982000"/>
    <n v="0"/>
    <n v="129931000"/>
    <s v="Industrials"/>
    <s v="Research &amp; Consulting Services"/>
    <n v="0.60987539661202617"/>
    <n v="973180000"/>
    <n v="0.38495070824583272"/>
    <n v="614267000"/>
  </r>
  <r>
    <x v="398"/>
    <n v="3"/>
    <n v="2014"/>
    <x v="2"/>
    <n v="1746726000"/>
    <n v="716598000"/>
    <n v="227306000"/>
    <n v="0"/>
    <n v="142376000"/>
    <s v="Industrials"/>
    <s v="Research &amp; Consulting Services"/>
    <n v="0.58974790551008005"/>
    <n v="1030128000"/>
    <n v="0.37810509490326472"/>
    <n v="660446000"/>
  </r>
  <r>
    <x v="398"/>
    <n v="4"/>
    <n v="2015"/>
    <x v="3"/>
    <n v="2068010000"/>
    <n v="803274000"/>
    <n v="312690000"/>
    <n v="0"/>
    <n v="215484000"/>
    <s v="Industrials"/>
    <s v="Research &amp; Consulting Services"/>
    <n v="0.61157151077606009"/>
    <n v="1264736000"/>
    <n v="0.35616945759449908"/>
    <n v="736562000"/>
  </r>
  <r>
    <x v="399"/>
    <n v="1"/>
    <n v="2012"/>
    <x v="0"/>
    <n v="873592000"/>
    <n v="167600000"/>
    <n v="186971000"/>
    <n v="61694000"/>
    <n v="0"/>
    <s v="Information Technology"/>
    <s v="Internet Software &amp; Services"/>
    <n v="0.80814842626763983"/>
    <n v="705992000"/>
    <n v="0.52350181778221416"/>
    <n v="457327000"/>
  </r>
  <r>
    <x v="399"/>
    <n v="2"/>
    <n v="2013"/>
    <x v="1"/>
    <n v="965087000"/>
    <n v="187013000"/>
    <n v="179545000"/>
    <n v="70297000"/>
    <n v="0"/>
    <s v="Information Technology"/>
    <s v="Internet Software &amp; Services"/>
    <n v="0.80622161525333991"/>
    <n v="778074000"/>
    <n v="0.54734132777666678"/>
    <n v="528232000"/>
  </r>
  <r>
    <x v="399"/>
    <n v="3"/>
    <n v="2014"/>
    <x v="2"/>
    <n v="1010117000"/>
    <n v="188425000"/>
    <n v="189488000"/>
    <n v="67777000"/>
    <n v="0"/>
    <s v="Information Technology"/>
    <s v="Internet Software &amp; Services"/>
    <n v="0.81346220289332827"/>
    <n v="821692000"/>
    <n v="0.55877388460940658"/>
    <n v="564427000"/>
  </r>
  <r>
    <x v="399"/>
    <n v="4"/>
    <n v="2015"/>
    <x v="3"/>
    <n v="1059366000"/>
    <n v="192788000"/>
    <n v="196914000"/>
    <n v="63718000"/>
    <n v="0"/>
    <s v="Information Technology"/>
    <s v="Internet Software &amp; Services"/>
    <n v="0.8180156810771726"/>
    <n v="866578000"/>
    <n v="0.57198928415675032"/>
    <n v="605946000"/>
  </r>
  <r>
    <x v="400"/>
    <n v="1"/>
    <n v="2012"/>
    <x v="0"/>
    <n v="12509900000"/>
    <n v="7214400000"/>
    <n v="3354900000"/>
    <n v="376400000"/>
    <n v="0"/>
    <s v="Health Care"/>
    <s v="Health Care Equipment"/>
    <n v="0.42330474264382612"/>
    <n v="5295500000"/>
    <n v="0.1250369707191904"/>
    <n v="1564200000"/>
  </r>
  <r>
    <x v="400"/>
    <n v="2"/>
    <n v="2013"/>
    <x v="1"/>
    <n v="13090300000"/>
    <n v="7561200000"/>
    <n v="3446300000"/>
    <n v="395500000"/>
    <n v="0"/>
    <s v="Health Care"/>
    <s v="Health Care Equipment"/>
    <n v="0.422381458026172"/>
    <n v="5529100000"/>
    <n v="0.1288969695117759"/>
    <n v="1687300000"/>
  </r>
  <r>
    <x v="400"/>
    <n v="3"/>
    <n v="2014"/>
    <x v="2"/>
    <n v="16889600000"/>
    <n v="9397600000"/>
    <n v="4896100000"/>
    <n v="691100000"/>
    <n v="0"/>
    <s v="Health Care"/>
    <s v="Health Care Equipment"/>
    <n v="0.44358658582796517"/>
    <n v="7492000000"/>
    <n v="0.11277946191739295"/>
    <n v="1904800000"/>
  </r>
  <r>
    <x v="400"/>
    <n v="4"/>
    <n v="2015"/>
    <x v="3"/>
    <n v="16965400000"/>
    <n v="9209500000"/>
    <n v="4612100000"/>
    <n v="692300000"/>
    <n v="0"/>
    <s v="Health Care"/>
    <s v="Health Care Equipment"/>
    <n v="0.45715986655192331"/>
    <n v="7755900000"/>
    <n v="0.14449998231695096"/>
    <n v="2451500000"/>
  </r>
  <r>
    <x v="401"/>
    <n v="1"/>
    <n v="2013"/>
    <x v="1"/>
    <n v="2514595000"/>
    <n v="1118240000"/>
    <n v="132447000"/>
    <n v="0"/>
    <n v="629908000"/>
    <s v="Real Estate"/>
    <s v="REITs"/>
    <n v="0.55530015767946728"/>
    <n v="1396355000"/>
    <n v="0.2521280762906154"/>
    <n v="634000000"/>
  </r>
  <r>
    <x v="401"/>
    <n v="2"/>
    <n v="2014"/>
    <x v="2"/>
    <n v="2772550000"/>
    <n v="1212480000"/>
    <n v="147481000"/>
    <n v="0"/>
    <n v="725216000"/>
    <s v="Real Estate"/>
    <s v="REITs"/>
    <n v="0.56268417161097184"/>
    <n v="1560070000"/>
    <n v="0.24792086707182917"/>
    <n v="687373000"/>
  </r>
  <r>
    <x v="401"/>
    <n v="3"/>
    <n v="2015"/>
    <x v="3"/>
    <n v="3285346000"/>
    <n v="1410205000"/>
    <n v="145992000"/>
    <n v="0"/>
    <n v="894057000"/>
    <s v="Real Estate"/>
    <s v="REITs"/>
    <n v="0.570759061602644"/>
    <n v="1875141000"/>
    <n v="0.25418692582151164"/>
    <n v="835092000"/>
  </r>
  <r>
    <x v="401"/>
    <n v="4"/>
    <n v="2016"/>
    <x v="12"/>
    <n v="3442646000"/>
    <n v="1442073000"/>
    <n v="136863000"/>
    <n v="0"/>
    <n v="898924000"/>
    <s v="Real Estate"/>
    <s v="REITs"/>
    <n v="0.58111493310668594"/>
    <n v="2000573000"/>
    <n v="0.28024548559451073"/>
    <n v="964786000"/>
  </r>
  <r>
    <x v="402"/>
    <n v="1"/>
    <n v="2012"/>
    <x v="0"/>
    <n v="115846000000"/>
    <n v="46275000000"/>
    <n v="39951000000"/>
    <n v="0"/>
    <n v="16460000000"/>
    <s v="Telecommunications Services"/>
    <s v="Integrated Telecommunications Services"/>
    <n v="0.60054727828323817"/>
    <n v="69571000000"/>
    <n v="0.11359908844500458"/>
    <n v="13160000000"/>
  </r>
  <r>
    <x v="402"/>
    <n v="2"/>
    <n v="2013"/>
    <x v="1"/>
    <n v="120550000000"/>
    <n v="44887000000"/>
    <n v="27089000000"/>
    <n v="0"/>
    <n v="16606000000"/>
    <s v="Telecommunications Services"/>
    <s v="Integrated Telecommunications Services"/>
    <n v="0.62764827872252171"/>
    <n v="75663000000"/>
    <n v="0.26518457071754459"/>
    <n v="31968000000"/>
  </r>
  <r>
    <x v="402"/>
    <n v="3"/>
    <n v="2014"/>
    <x v="2"/>
    <n v="127079000000"/>
    <n v="49931000000"/>
    <n v="41016000000"/>
    <n v="0"/>
    <n v="16533000000"/>
    <s v="Telecommunications Services"/>
    <s v="Integrated Telecommunications Services"/>
    <n v="0.60708693017729132"/>
    <n v="77148000000"/>
    <n v="0.15422689822866092"/>
    <n v="19599000000"/>
  </r>
  <r>
    <x v="402"/>
    <n v="4"/>
    <n v="2015"/>
    <x v="3"/>
    <n v="131620000000"/>
    <n v="52557000000"/>
    <n v="29986000000"/>
    <n v="0"/>
    <n v="16017000000"/>
    <s v="Telecommunications Services"/>
    <s v="Integrated Telecommunications Services"/>
    <n v="0.60069138428810209"/>
    <n v="79063000000"/>
    <n v="0.25117763257863546"/>
    <n v="33060000000"/>
  </r>
  <r>
    <x v="403"/>
    <n v="1"/>
    <n v="2013"/>
    <x v="1"/>
    <n v="122489000000"/>
    <n v="89659000000"/>
    <n v="0"/>
    <n v="0"/>
    <n v="23207000000"/>
    <s v="Health Care"/>
    <s v="Managed Health Care"/>
    <n v="0.2680240674672828"/>
    <n v="32830000000"/>
    <n v="7.8562156601817312E-2"/>
    <n v="9623000000"/>
  </r>
  <r>
    <x v="403"/>
    <n v="2"/>
    <n v="2014"/>
    <x v="2"/>
    <n v="130474000000"/>
    <n v="93633000000"/>
    <n v="0"/>
    <n v="0"/>
    <n v="26567000000"/>
    <s v="Health Care"/>
    <s v="Managed Health Care"/>
    <n v="0.28236276959394213"/>
    <n v="36841000000"/>
    <n v="7.8743657740239434E-2"/>
    <n v="10274000000"/>
  </r>
  <r>
    <x v="403"/>
    <n v="3"/>
    <n v="2015"/>
    <x v="3"/>
    <n v="157107000000"/>
    <n v="103875000000"/>
    <n v="0"/>
    <n v="0"/>
    <n v="42211000000"/>
    <s v="Health Care"/>
    <s v="Managed Health Care"/>
    <n v="0.33882640493421678"/>
    <n v="53232000000"/>
    <n v="7.0149643236774931E-2"/>
    <n v="11021000000"/>
  </r>
  <r>
    <x v="403"/>
    <n v="4"/>
    <n v="2016"/>
    <x v="12"/>
    <n v="184840000000"/>
    <n v="117038000000"/>
    <n v="0"/>
    <n v="0"/>
    <n v="54872000000"/>
    <s v="Health Care"/>
    <s v="Managed Health Care"/>
    <n v="0.36681454230685995"/>
    <n v="67802000000"/>
    <n v="6.9952391257303612E-2"/>
    <n v="12930000000"/>
  </r>
  <r>
    <x v="404"/>
    <n v="1"/>
    <n v="2013"/>
    <x v="112"/>
    <n v="15351000000"/>
    <n v="10988000000"/>
    <n v="1525000000"/>
    <n v="1572000000"/>
    <n v="0"/>
    <s v="Information Technology"/>
    <s v="Computer Storage &amp; Peripherals"/>
    <n v="0.28421601198618984"/>
    <n v="4363000000"/>
    <n v="8.2470197381278088E-2"/>
    <n v="1266000000"/>
  </r>
  <r>
    <x v="404"/>
    <n v="2"/>
    <n v="2014"/>
    <x v="113"/>
    <n v="15130000000"/>
    <n v="10770000000"/>
    <n v="908000000"/>
    <n v="1661000000"/>
    <n v="0"/>
    <s v="Information Technology"/>
    <s v="Computer Storage &amp; Peripherals"/>
    <n v="0.28816920026437542"/>
    <n v="4360000000"/>
    <n v="0.11837409120951752"/>
    <n v="1791000000"/>
  </r>
  <r>
    <x v="404"/>
    <n v="3"/>
    <n v="2015"/>
    <x v="114"/>
    <n v="14572000000"/>
    <n v="10351000000"/>
    <n v="964000000"/>
    <n v="1646000000"/>
    <n v="0"/>
    <s v="Information Technology"/>
    <s v="Computer Storage &amp; Peripherals"/>
    <n v="0.28966511117211091"/>
    <n v="4221000000"/>
    <n v="0.11055448805929179"/>
    <n v="1611000000"/>
  </r>
  <r>
    <x v="404"/>
    <n v="4"/>
    <n v="2016"/>
    <x v="115"/>
    <n v="12994000000"/>
    <n v="9559000000"/>
    <n v="1342000000"/>
    <n v="1627000000"/>
    <n v="0"/>
    <s v="Information Technology"/>
    <s v="Computer Storage &amp; Peripherals"/>
    <n v="0.26435277820532554"/>
    <n v="3435000000"/>
    <n v="3.5862705864245038E-2"/>
    <n v="466000000"/>
  </r>
  <r>
    <x v="405"/>
    <n v="1"/>
    <n v="2012"/>
    <x v="0"/>
    <n v="4246400000"/>
    <n v="2760500000"/>
    <n v="121400000"/>
    <n v="0"/>
    <n v="364200000"/>
    <s v="Utilities"/>
    <s v="Electric Utilities"/>
    <n v="0.34991993217784478"/>
    <n v="1485900000"/>
    <n v="0.23556424265259984"/>
    <n v="1000300000"/>
  </r>
  <r>
    <x v="405"/>
    <n v="2"/>
    <n v="2013"/>
    <x v="1"/>
    <n v="4519000000"/>
    <n v="2982100000"/>
    <n v="116700000"/>
    <n v="0"/>
    <n v="340100000"/>
    <s v="Utilities"/>
    <s v="Electric Utilities"/>
    <n v="0.34009736667404289"/>
    <n v="1536900000"/>
    <n v="0.23901305598583758"/>
    <n v="1080100000"/>
  </r>
  <r>
    <x v="405"/>
    <n v="3"/>
    <n v="2014"/>
    <x v="2"/>
    <n v="4997100000"/>
    <n v="3371800000"/>
    <n v="121800000"/>
    <n v="0"/>
    <n v="391400000"/>
    <s v="Utilities"/>
    <s v="Electric Utilities"/>
    <n v="0.32524864421364397"/>
    <n v="1625300000"/>
    <n v="0.22254907846551"/>
    <n v="1112100000"/>
  </r>
  <r>
    <x v="405"/>
    <n v="4"/>
    <n v="2015"/>
    <x v="3"/>
    <n v="5926100000"/>
    <n v="3949400000"/>
    <n v="164400000"/>
    <n v="0"/>
    <n v="561800000"/>
    <s v="Utilities"/>
    <s v="Electric Utilities"/>
    <n v="0.33355832672415253"/>
    <n v="1976700000"/>
    <n v="0.21101567641450533"/>
    <n v="1250500000"/>
  </r>
  <r>
    <x v="406"/>
    <n v="1"/>
    <n v="2013"/>
    <x v="116"/>
    <n v="2942897000"/>
    <n v="1693210000"/>
    <n v="432589000"/>
    <n v="208208000"/>
    <n v="0"/>
    <s v="Health Care"/>
    <s v="Health Care Equipment"/>
    <n v="0.42464517106782873"/>
    <n v="1249687000"/>
    <n v="0.20690156672149926"/>
    <n v="608890000"/>
  </r>
  <r>
    <x v="406"/>
    <n v="2"/>
    <n v="2014"/>
    <x v="117"/>
    <n v="3049800000"/>
    <n v="1748100000"/>
    <n v="470600000"/>
    <n v="234800000"/>
    <n v="0"/>
    <s v="Health Care"/>
    <s v="Health Care Equipment"/>
    <n v="0.42681487310643318"/>
    <n v="1301700000"/>
    <n v="0.19552101777165715"/>
    <n v="596300000"/>
  </r>
  <r>
    <x v="406"/>
    <n v="3"/>
    <n v="2015"/>
    <x v="118"/>
    <n v="3099100000"/>
    <n v="1816400000"/>
    <n v="488500000"/>
    <n v="245200000"/>
    <n v="0"/>
    <s v="Health Care"/>
    <s v="Health Care Equipment"/>
    <n v="0.41389435642605921"/>
    <n v="1282700000"/>
    <n v="0.17714820431738246"/>
    <n v="549000000"/>
  </r>
  <r>
    <x v="406"/>
    <n v="4"/>
    <n v="2016"/>
    <x v="32"/>
    <n v="3217800000"/>
    <n v="1856500000"/>
    <n v="557000000"/>
    <n v="253500000"/>
    <n v="0"/>
    <s v="Health Care"/>
    <s v="Health Care Equipment"/>
    <n v="0.42305301758965752"/>
    <n v="1361300000"/>
    <n v="0.17117285101622226"/>
    <n v="550800000"/>
  </r>
  <r>
    <x v="407"/>
    <n v="1"/>
    <n v="2013"/>
    <x v="143"/>
    <n v="12917000000"/>
    <n v="8288000000"/>
    <n v="3682000000"/>
    <n v="0"/>
    <n v="0"/>
    <s v="Consumer Staples"/>
    <s v="Food Retail"/>
    <n v="0.35836494542076336"/>
    <n v="4629000000"/>
    <n v="7.3314237051947048E-2"/>
    <n v="947000000"/>
  </r>
  <r>
    <x v="407"/>
    <n v="2"/>
    <n v="2014"/>
    <x v="144"/>
    <n v="14194000000"/>
    <n v="9150000000"/>
    <n v="4032000000"/>
    <n v="0"/>
    <n v="0"/>
    <s v="Consumer Staples"/>
    <s v="Food Retail"/>
    <n v="0.35536142031844442"/>
    <n v="5044000000"/>
    <n v="7.1297731435817954E-2"/>
    <n v="1012000000"/>
  </r>
  <r>
    <x v="407"/>
    <n v="3"/>
    <n v="2015"/>
    <x v="145"/>
    <n v="15389000000"/>
    <n v="9973000000"/>
    <n v="4472000000"/>
    <n v="0"/>
    <n v="0"/>
    <s v="Consumer Staples"/>
    <s v="Food Retail"/>
    <n v="0.35193969718630191"/>
    <n v="5416000000"/>
    <n v="6.1342517382545973E-2"/>
    <n v="944000000"/>
  </r>
  <r>
    <x v="407"/>
    <n v="4"/>
    <n v="2016"/>
    <x v="146"/>
    <n v="15724000000"/>
    <n v="10313000000"/>
    <n v="4477000000"/>
    <n v="0"/>
    <n v="0"/>
    <s v="Consumer Staples"/>
    <s v="Food Retail"/>
    <n v="0.34412363266344437"/>
    <n v="5411000000"/>
    <n v="5.9399643856525054E-2"/>
    <n v="934000000"/>
  </r>
  <r>
    <x v="408"/>
    <n v="1"/>
    <n v="2013"/>
    <x v="1"/>
    <n v="18769000000"/>
    <n v="15471000000"/>
    <n v="1828000000"/>
    <n v="0"/>
    <n v="25000000"/>
    <s v="Consumer Discretionary"/>
    <s v="Household Appliances"/>
    <n v="0.17571527518780972"/>
    <n v="3298000000"/>
    <n v="7.6988651499813529E-2"/>
    <n v="1445000000"/>
  </r>
  <r>
    <x v="408"/>
    <n v="2"/>
    <n v="2014"/>
    <x v="2"/>
    <n v="19872000000"/>
    <n v="16477000000"/>
    <n v="2038000000"/>
    <n v="0"/>
    <n v="33000000"/>
    <s v="Consumer Discretionary"/>
    <s v="Household Appliances"/>
    <n v="0.17084339774557167"/>
    <n v="3395000000"/>
    <n v="6.662640901771337E-2"/>
    <n v="1324000000"/>
  </r>
  <r>
    <x v="408"/>
    <n v="3"/>
    <n v="2015"/>
    <x v="3"/>
    <n v="20891000000"/>
    <n v="17201000000"/>
    <n v="2130000000"/>
    <n v="0"/>
    <n v="74000000"/>
    <s v="Consumer Discretionary"/>
    <s v="Household Appliances"/>
    <n v="0.17663108515628745"/>
    <n v="3690000000"/>
    <n v="7.1131109090038766E-2"/>
    <n v="1486000000"/>
  </r>
  <r>
    <x v="408"/>
    <n v="4"/>
    <n v="2016"/>
    <x v="12"/>
    <n v="20718000000"/>
    <n v="17036000000"/>
    <n v="2084000000"/>
    <n v="0"/>
    <n v="71000000"/>
    <s v="Consumer Discretionary"/>
    <s v="Household Appliances"/>
    <n v="0.17771985712906646"/>
    <n v="3682000000"/>
    <n v="7.3704025485085436E-2"/>
    <n v="1527000000"/>
  </r>
  <r>
    <x v="409"/>
    <n v="1"/>
    <n v="2013"/>
    <x v="1"/>
    <n v="13983000000"/>
    <n v="9112000000"/>
    <n v="1468000000"/>
    <n v="0"/>
    <n v="1333000000"/>
    <s v="Industrials"/>
    <s v="Environmental Services"/>
    <n v="0.34835156976328396"/>
    <n v="4871000000"/>
    <n v="0.14803690195237074"/>
    <n v="2070000000"/>
  </r>
  <r>
    <x v="409"/>
    <n v="2"/>
    <n v="2014"/>
    <x v="2"/>
    <n v="13996000000"/>
    <n v="9002000000"/>
    <n v="1481000000"/>
    <n v="0"/>
    <n v="1292000000"/>
    <s v="Industrials"/>
    <s v="Environmental Services"/>
    <n v="0.35681623320948841"/>
    <n v="4994000000"/>
    <n v="0.15868819662760789"/>
    <n v="2221000000"/>
  </r>
  <r>
    <x v="409"/>
    <n v="3"/>
    <n v="2015"/>
    <x v="3"/>
    <n v="12961000000"/>
    <n v="8231000000"/>
    <n v="1343000000"/>
    <n v="0"/>
    <n v="1245000000"/>
    <s v="Industrials"/>
    <s v="Environmental Services"/>
    <n v="0.36494097677648329"/>
    <n v="4730000000"/>
    <n v="0.16526502584677108"/>
    <n v="2142000000"/>
  </r>
  <r>
    <x v="409"/>
    <n v="4"/>
    <n v="2016"/>
    <x v="12"/>
    <n v="13609000000"/>
    <n v="8486000000"/>
    <n v="1410000000"/>
    <n v="0"/>
    <n v="1301000000"/>
    <s v="Industrials"/>
    <s v="Environmental Services"/>
    <n v="0.37644206040120509"/>
    <n v="5123000000"/>
    <n v="0.17723565287677273"/>
    <n v="2412000000"/>
  </r>
  <r>
    <x v="410"/>
    <n v="1"/>
    <n v="2012"/>
    <x v="0"/>
    <n v="7486000000"/>
    <n v="4523000000"/>
    <n v="595000000"/>
    <n v="0"/>
    <n v="756000000"/>
    <s v="Energy"/>
    <s v="Oil &amp; Gas Exploration &amp; Production"/>
    <n v="0.39580550360673261"/>
    <n v="2963000000"/>
    <n v="0.21533529254608602"/>
    <n v="1612000000"/>
  </r>
  <r>
    <x v="410"/>
    <n v="2"/>
    <n v="2013"/>
    <x v="1"/>
    <n v="6860000000"/>
    <n v="4124000000"/>
    <n v="546000000"/>
    <n v="0"/>
    <n v="815000000"/>
    <s v="Energy"/>
    <s v="Oil &amp; Gas Exploration &amp; Production"/>
    <n v="0.39883381924198247"/>
    <n v="2736000000"/>
    <n v="0.20043731778425655"/>
    <n v="1375000000"/>
  </r>
  <r>
    <x v="410"/>
    <n v="3"/>
    <n v="2014"/>
    <x v="2"/>
    <n v="7637000000"/>
    <n v="4508000000"/>
    <n v="384000000"/>
    <n v="0"/>
    <n v="1176000000"/>
    <s v="Energy"/>
    <s v="Oil &amp; Gas Exploration &amp; Production"/>
    <n v="0.40971585701191571"/>
    <n v="3129000000"/>
    <n v="0.2054471651171926"/>
    <n v="1569000000"/>
  </r>
  <r>
    <x v="410"/>
    <n v="4"/>
    <n v="2015"/>
    <x v="3"/>
    <n v="7360000000"/>
    <n v="3434000000"/>
    <n v="864000000"/>
    <n v="0"/>
    <n v="1738000000"/>
    <s v="Energy"/>
    <s v="Oil &amp; Gas Exploration &amp; Production"/>
    <n v="0.53342391304347825"/>
    <n v="3926000000"/>
    <n v="0.17989130434782608"/>
    <n v="1324000000"/>
  </r>
  <r>
    <x v="411"/>
    <n v="1"/>
    <n v="2013"/>
    <x v="21"/>
    <n v="468651000000"/>
    <n v="352297000000"/>
    <n v="88629000000"/>
    <n v="0"/>
    <n v="0"/>
    <s v="Consumer Staples"/>
    <s v="Hypermarkets &amp; Super Centers"/>
    <n v="0.24827430219929114"/>
    <n v="116354000000"/>
    <n v="5.9159161081487076E-2"/>
    <n v="27725000000"/>
  </r>
  <r>
    <x v="411"/>
    <n v="2"/>
    <n v="2014"/>
    <x v="22"/>
    <n v="476294000000"/>
    <n v="358069000000"/>
    <n v="91353000000"/>
    <n v="0"/>
    <n v="0"/>
    <s v="Consumer Staples"/>
    <s v="Hypermarkets &amp; Super Centers"/>
    <n v="0.2482185372899931"/>
    <n v="118225000000"/>
    <n v="5.6418934523634563E-2"/>
    <n v="26872000000"/>
  </r>
  <r>
    <x v="411"/>
    <n v="3"/>
    <n v="2015"/>
    <x v="23"/>
    <n v="485651000000"/>
    <n v="365086000000"/>
    <n v="93418000000"/>
    <n v="0"/>
    <n v="0"/>
    <s v="Consumer Staples"/>
    <s v="Hypermarkets &amp; Super Centers"/>
    <n v="0.24825440491216944"/>
    <n v="120565000000"/>
    <n v="5.5898165555100264E-2"/>
    <n v="27147000000"/>
  </r>
  <r>
    <x v="411"/>
    <n v="4"/>
    <n v="2016"/>
    <x v="24"/>
    <n v="482130000000"/>
    <n v="360984000000"/>
    <n v="97041000000"/>
    <n v="0"/>
    <n v="0"/>
    <s v="Consumer Staples"/>
    <s v="Hypermarkets &amp; Super Centers"/>
    <n v="0.25127247837720112"/>
    <n v="121146000000"/>
    <n v="4.9996888805923713E-2"/>
    <n v="24105000000"/>
  </r>
  <r>
    <x v="412"/>
    <n v="1"/>
    <n v="2014"/>
    <x v="30"/>
    <n v="9895100000"/>
    <n v="7961500000"/>
    <n v="937600000"/>
    <n v="0"/>
    <n v="86000000"/>
    <s v="Materials"/>
    <s v="Paper Packaging"/>
    <n v="0.19540984931936012"/>
    <n v="1933600000"/>
    <n v="9.1964709805863507E-2"/>
    <n v="910000000"/>
  </r>
  <r>
    <x v="412"/>
    <n v="2"/>
    <n v="2015"/>
    <x v="31"/>
    <n v="11124800000"/>
    <n v="8986500000"/>
    <n v="1026100000"/>
    <n v="0"/>
    <n v="118900000"/>
    <s v="Materials"/>
    <s v="Paper Packaging"/>
    <n v="0.19221019703725006"/>
    <n v="2138300000"/>
    <n v="8.9286998417949084E-2"/>
    <n v="993300000"/>
  </r>
  <r>
    <x v="412"/>
    <n v="3"/>
    <n v="2016"/>
    <x v="32"/>
    <n v="14171800000"/>
    <n v="11413200000"/>
    <n v="1750100000"/>
    <n v="0"/>
    <n v="211800000"/>
    <s v="Materials"/>
    <s v="Paper Packaging"/>
    <n v="0.19465417237048221"/>
    <n v="2758600000"/>
    <n v="5.6217276563315884E-2"/>
    <n v="796700000"/>
  </r>
  <r>
    <x v="413"/>
    <n v="1"/>
    <n v="2012"/>
    <x v="0"/>
    <n v="5664800000"/>
    <n v="3194200000"/>
    <n v="1140600000"/>
    <n v="0"/>
    <n v="0"/>
    <s v="Information Technology"/>
    <s v="Internet Software &amp; Services"/>
    <n v="0.43613190227369014"/>
    <n v="2470600000"/>
    <n v="0.23478322270865698"/>
    <n v="1330000000"/>
  </r>
  <r>
    <x v="413"/>
    <n v="2"/>
    <n v="2013"/>
    <x v="1"/>
    <n v="5542000000"/>
    <n v="3235000000"/>
    <n v="1199600000"/>
    <n v="0"/>
    <n v="0"/>
    <s v="Information Technology"/>
    <s v="Internet Software &amp; Services"/>
    <n v="0.41627571273908337"/>
    <n v="2307000000"/>
    <n v="0.19981955972573079"/>
    <n v="1107400000"/>
  </r>
  <r>
    <x v="413"/>
    <n v="3"/>
    <n v="2014"/>
    <x v="2"/>
    <n v="5607200000"/>
    <n v="3297400000"/>
    <n v="1169300000"/>
    <n v="0"/>
    <n v="0"/>
    <s v="Information Technology"/>
    <s v="Internet Software &amp; Services"/>
    <n v="0.4119346554430019"/>
    <n v="2309800000"/>
    <n v="0.20339920102725068"/>
    <n v="1140500000"/>
  </r>
  <r>
    <x v="413"/>
    <n v="4"/>
    <n v="2015"/>
    <x v="3"/>
    <n v="5483700000"/>
    <n v="3199400000"/>
    <n v="1174900000"/>
    <n v="0"/>
    <n v="0"/>
    <s v="Information Technology"/>
    <s v="Internet Software &amp; Services"/>
    <n v="0.41656181045644369"/>
    <n v="2284300000"/>
    <n v="0.20230866021117128"/>
    <n v="1109400000"/>
  </r>
  <r>
    <x v="414"/>
    <n v="1"/>
    <n v="2012"/>
    <x v="0"/>
    <n v="5989000000"/>
    <n v="4993000000"/>
    <n v="320000000"/>
    <n v="32000000"/>
    <n v="0"/>
    <s v="Real Estate"/>
    <s v="REITs"/>
    <n v="0.16630489230255463"/>
    <n v="996000000"/>
    <n v="0.10753047253297712"/>
    <n v="644000000"/>
  </r>
  <r>
    <x v="414"/>
    <n v="2"/>
    <n v="2013"/>
    <x v="1"/>
    <n v="7254000000"/>
    <n v="5716000000"/>
    <n v="494000000"/>
    <n v="33000000"/>
    <n v="0"/>
    <s v="Real Estate"/>
    <s v="REITs"/>
    <n v="0.21202095395643783"/>
    <n v="1538000000"/>
    <n v="0.13937138130686519"/>
    <n v="1011000000"/>
  </r>
  <r>
    <x v="414"/>
    <n v="3"/>
    <n v="2014"/>
    <x v="2"/>
    <n v="7403000000"/>
    <n v="5763000000"/>
    <n v="249000000"/>
    <n v="27000000"/>
    <n v="0"/>
    <s v="Real Estate"/>
    <s v="REITs"/>
    <n v="0.22153181142779954"/>
    <n v="1640000000"/>
    <n v="0.18424962852897475"/>
    <n v="1364000000"/>
  </r>
  <r>
    <x v="414"/>
    <n v="4"/>
    <n v="2015"/>
    <x v="3"/>
    <n v="7082000000"/>
    <n v="5694000000"/>
    <n v="420000000"/>
    <n v="24000000"/>
    <n v="0"/>
    <s v="Real Estate"/>
    <s v="REITs"/>
    <n v="0.19598983338040099"/>
    <n v="1388000000"/>
    <n v="0.13329567918667043"/>
    <n v="944000000"/>
  </r>
  <r>
    <x v="415"/>
    <n v="1"/>
    <n v="2012"/>
    <x v="0"/>
    <n v="4534000000"/>
    <n v="2093000000"/>
    <n v="1389000000"/>
    <n v="0"/>
    <n v="185000000"/>
    <s v="Consumer Discretionary"/>
    <s v="Hotels, Resorts &amp; Cruise Lines"/>
    <n v="0.53837670930745474"/>
    <n v="2441000000"/>
    <n v="0.19122187913542127"/>
    <n v="867000000"/>
  </r>
  <r>
    <x v="415"/>
    <n v="2"/>
    <n v="2013"/>
    <x v="1"/>
    <n v="5009000000"/>
    <n v="2394000000"/>
    <n v="1471000000"/>
    <n v="0"/>
    <n v="216000000"/>
    <s v="Consumer Discretionary"/>
    <s v="Hotels, Resorts &amp; Cruise Lines"/>
    <n v="0.52206029147534438"/>
    <n v="2615000000"/>
    <n v="0.18526652026352566"/>
    <n v="928000000"/>
  </r>
  <r>
    <x v="415"/>
    <n v="3"/>
    <n v="2014"/>
    <x v="2"/>
    <n v="5281000000"/>
    <n v="2504000000"/>
    <n v="1557000000"/>
    <n v="0"/>
    <n v="233000000"/>
    <s v="Consumer Discretionary"/>
    <s v="Hotels, Resorts &amp; Cruise Lines"/>
    <n v="0.52584737739064569"/>
    <n v="2777000000"/>
    <n v="0.1868964211323613"/>
    <n v="987000000"/>
  </r>
  <r>
    <x v="415"/>
    <n v="4"/>
    <n v="2015"/>
    <x v="3"/>
    <n v="5536000000"/>
    <n v="2700000000"/>
    <n v="1574000000"/>
    <n v="0"/>
    <n v="234000000"/>
    <s v="Consumer Discretionary"/>
    <s v="Hotels, Resorts &amp; Cruise Lines"/>
    <n v="0.51228323699421963"/>
    <n v="2836000000"/>
    <n v="0.18569364161849711"/>
    <n v="1028000000"/>
  </r>
  <r>
    <x v="416"/>
    <n v="1"/>
    <n v="2012"/>
    <x v="0"/>
    <n v="5154284000"/>
    <n v="3251575000"/>
    <n v="481677000"/>
    <n v="0"/>
    <n v="373199000"/>
    <s v="Consumer Discretionary"/>
    <s v="Casinos &amp; Gaming"/>
    <n v="0.36915098197926233"/>
    <n v="1902709000"/>
    <n v="0.20329360974288571"/>
    <n v="1047833000"/>
  </r>
  <r>
    <x v="416"/>
    <n v="2"/>
    <n v="2013"/>
    <x v="1"/>
    <n v="5620936000"/>
    <n v="3478822000"/>
    <n v="465926000"/>
    <n v="0"/>
    <n v="371051000"/>
    <s v="Consumer Discretionary"/>
    <s v="Casinos &amp; Gaming"/>
    <n v="0.38109560400616549"/>
    <n v="2142114000"/>
    <n v="0.23219211177640164"/>
    <n v="1305137000"/>
  </r>
  <r>
    <x v="416"/>
    <n v="3"/>
    <n v="2014"/>
    <x v="2"/>
    <n v="5433661000"/>
    <n v="3316311000"/>
    <n v="502901000"/>
    <n v="0"/>
    <n v="314119000"/>
    <s v="Consumer Discretionary"/>
    <s v="Casinos &amp; Gaming"/>
    <n v="0.38967281911771823"/>
    <n v="2117350000"/>
    <n v="0.23931010786282031"/>
    <n v="1300330000"/>
  </r>
  <r>
    <x v="416"/>
    <n v="4"/>
    <n v="2015"/>
    <x v="3"/>
    <n v="4075883000"/>
    <n v="2530374000"/>
    <n v="475328000"/>
    <n v="0"/>
    <n v="322629000"/>
    <s v="Consumer Discretionary"/>
    <s v="Casinos &amp; Gaming"/>
    <n v="0.37918384801526439"/>
    <n v="1545509000"/>
    <n v="0.18340860127731831"/>
    <n v="747552000"/>
  </r>
  <r>
    <x v="417"/>
    <n v="1"/>
    <n v="2012"/>
    <x v="0"/>
    <n v="1623938000"/>
    <n v="337903000"/>
    <n v="188302000"/>
    <n v="0"/>
    <n v="513916000"/>
    <s v="Energy"/>
    <s v="Oil &amp; Gas Exploration &amp; Production"/>
    <n v="0.79192370644692101"/>
    <n v="1286035000"/>
    <n v="0.35950695162007418"/>
    <n v="583817000"/>
  </r>
  <r>
    <x v="417"/>
    <n v="2"/>
    <n v="2013"/>
    <x v="1"/>
    <n v="1998051000"/>
    <n v="406198000"/>
    <n v="72143000"/>
    <n v="0"/>
    <n v="615874000"/>
    <s v="Energy"/>
    <s v="Oil &amp; Gas Exploration &amp; Production"/>
    <n v="0.79670288696334579"/>
    <n v="1591853000"/>
    <n v="0.45235882367366997"/>
    <n v="903836000"/>
  </r>
  <r>
    <x v="417"/>
    <n v="3"/>
    <n v="2014"/>
    <x v="2"/>
    <n v="2424176000"/>
    <n v="572831000"/>
    <n v="225070000"/>
    <n v="0"/>
    <n v="806021000"/>
    <s v="Energy"/>
    <s v="Oil &amp; Gas Exploration &amp; Production"/>
    <n v="0.76370073790021853"/>
    <n v="1851345000"/>
    <n v="0.33836404617486521"/>
    <n v="820254000"/>
  </r>
  <r>
    <x v="417"/>
    <n v="4"/>
    <n v="2015"/>
    <x v="3"/>
    <n v="1452619000"/>
    <n v="519874000"/>
    <n v="179867000"/>
    <n v="0"/>
    <n v="778923000"/>
    <s v="Energy"/>
    <s v="Oil &amp; Gas Exploration &amp; Production"/>
    <n v="0.6421126255404892"/>
    <n v="932745000"/>
    <n v="-1.7929684246178797E-2"/>
    <n v="-26045000"/>
  </r>
  <r>
    <x v="418"/>
    <n v="1"/>
    <n v="2012"/>
    <x v="0"/>
    <n v="10128223000"/>
    <n v="6710036000"/>
    <n v="669451000"/>
    <n v="0"/>
    <n v="926053000"/>
    <s v="Utilities"/>
    <s v="MultiUtilities"/>
    <n v="0.3374912854900608"/>
    <n v="3418187000"/>
    <n v="0.17996078877805119"/>
    <n v="1822683000"/>
  </r>
  <r>
    <x v="418"/>
    <n v="2"/>
    <n v="2013"/>
    <x v="1"/>
    <n v="10914922000"/>
    <n v="7408278000"/>
    <n v="681226000"/>
    <n v="0"/>
    <n v="977863000"/>
    <s v="Utilities"/>
    <s v="MultiUtilities"/>
    <n v="0.32127064215392465"/>
    <n v="3506644000"/>
    <n v="0.16926873137526774"/>
    <n v="1847555000"/>
  </r>
  <r>
    <x v="418"/>
    <n v="3"/>
    <n v="2014"/>
    <x v="2"/>
    <n v="11686135000"/>
    <n v="7951352000"/>
    <n v="767608000"/>
    <n v="0"/>
    <n v="1019045000"/>
    <s v="Utilities"/>
    <s v="MultiUtilities"/>
    <n v="0.31959095115707636"/>
    <n v="3734783000"/>
    <n v="0.16670438943243424"/>
    <n v="1948130000"/>
  </r>
  <r>
    <x v="418"/>
    <n v="4"/>
    <n v="2015"/>
    <x v="3"/>
    <n v="11024486000"/>
    <n v="7033633000"/>
    <n v="865817000"/>
    <n v="0"/>
    <n v="1124524000"/>
    <s v="Utilities"/>
    <s v="MultiUtilities"/>
    <n v="0.36199900838914389"/>
    <n v="3990853000"/>
    <n v="0.1814607955418511"/>
    <n v="2000512000"/>
  </r>
  <r>
    <x v="419"/>
    <n v="1"/>
    <n v="2012"/>
    <x v="0"/>
    <n v="1527042000"/>
    <n v="279885000"/>
    <n v="432681000"/>
    <n v="765905000"/>
    <n v="0"/>
    <s v="Health Care"/>
    <s v="Biotechnology"/>
    <n v="0.81671427504940919"/>
    <n v="1247157000"/>
    <n v="3.1807245642228567E-2"/>
    <n v="48571000"/>
  </r>
  <r>
    <x v="419"/>
    <n v="2"/>
    <n v="2013"/>
    <x v="1"/>
    <n v="1211975000"/>
    <n v="130277000"/>
    <n v="356188000"/>
    <n v="882097000"/>
    <n v="0"/>
    <s v="Health Care"/>
    <s v="Biotechnology"/>
    <n v="0.89250850883887867"/>
    <n v="1081698000"/>
    <n v="-0.12919985973308029"/>
    <n v="-156587000"/>
  </r>
  <r>
    <x v="419"/>
    <n v="3"/>
    <n v="2014"/>
    <x v="2"/>
    <n v="580415000"/>
    <n v="60987000"/>
    <n v="305409000"/>
    <n v="855506000"/>
    <n v="0"/>
    <s v="Health Care"/>
    <s v="Biotechnology"/>
    <n v="0.89492518284331035"/>
    <n v="519428000"/>
    <n v="-1.1052212640955179"/>
    <n v="-641487000"/>
  </r>
  <r>
    <x v="419"/>
    <n v="4"/>
    <n v="2015"/>
    <x v="3"/>
    <n v="1032336000"/>
    <n v="124512000"/>
    <n v="376575000"/>
    <n v="995922000"/>
    <n v="0"/>
    <s v="Health Care"/>
    <s v="Biotechnology"/>
    <n v="0.87938810619798202"/>
    <n v="907824000"/>
    <n v="-0.45011798484214444"/>
    <n v="-464673000"/>
  </r>
  <r>
    <x v="420"/>
    <n v="1"/>
    <n v="2013"/>
    <x v="122"/>
    <n v="2168652000"/>
    <n v="737206000"/>
    <n v="365684000"/>
    <n v="475522000"/>
    <n v="9508000"/>
    <s v="Information Technology"/>
    <s v="Semiconductors"/>
    <n v="0.66006256421039433"/>
    <n v="1431446000"/>
    <n v="0.26778478059181465"/>
    <n v="580732000"/>
  </r>
  <r>
    <x v="420"/>
    <n v="2"/>
    <n v="2014"/>
    <x v="123"/>
    <n v="2382531000"/>
    <n v="743253000"/>
    <n v="378607000"/>
    <n v="492447000"/>
    <n v="9887000"/>
    <s v="Information Technology"/>
    <s v="Semiconductors"/>
    <n v="0.68804057533773955"/>
    <n v="1639278000"/>
    <n v="0.3182905070280303"/>
    <n v="758337000"/>
  </r>
  <r>
    <x v="420"/>
    <n v="3"/>
    <n v="2015"/>
    <x v="124"/>
    <n v="2377344000"/>
    <n v="708823000"/>
    <n v="353670000"/>
    <n v="525745000"/>
    <n v="9537000"/>
    <s v="Information Technology"/>
    <s v="Semiconductors"/>
    <n v="0.70184247630969687"/>
    <n v="1668521000"/>
    <n v="0.32791594317019329"/>
    <n v="779569000"/>
  </r>
  <r>
    <x v="420"/>
    <n v="4"/>
    <n v="2016"/>
    <x v="125"/>
    <n v="2213881000"/>
    <n v="671907000"/>
    <n v="331652000"/>
    <n v="533891000"/>
    <n v="6550000"/>
    <s v="Information Technology"/>
    <s v="Semiconductors"/>
    <n v="0.69650265755024776"/>
    <n v="1541974000"/>
    <n v="0.30258220744475428"/>
    <n v="669881000"/>
  </r>
  <r>
    <x v="421"/>
    <n v="1"/>
    <n v="2012"/>
    <x v="0"/>
    <n v="451509000000"/>
    <n v="302056000000"/>
    <n v="81844000000"/>
    <n v="0"/>
    <n v="15888000000"/>
    <s v="Energy"/>
    <s v="Integrated Oil &amp; Gas"/>
    <n v="0.33100779829416471"/>
    <n v="149453000000"/>
    <n v="0.11455142643889712"/>
    <n v="51721000000"/>
  </r>
  <r>
    <x v="421"/>
    <n v="2"/>
    <n v="2013"/>
    <x v="1"/>
    <n v="420836000000"/>
    <n v="284681000000"/>
    <n v="76696000000"/>
    <n v="0"/>
    <n v="17182000000"/>
    <s v="Energy"/>
    <s v="Integrated Oil &amp; Gas"/>
    <n v="0.32353458354323295"/>
    <n v="136155000000"/>
    <n v="0.10045956144436312"/>
    <n v="42277000000"/>
  </r>
  <r>
    <x v="421"/>
    <n v="3"/>
    <n v="2014"/>
    <x v="2"/>
    <n v="394105000000"/>
    <n v="266831000000"/>
    <n v="74226000000"/>
    <n v="0"/>
    <n v="17297000000"/>
    <s v="Energy"/>
    <s v="Integrated Oil &amp; Gas"/>
    <n v="0.3229443929917154"/>
    <n v="127274000000"/>
    <n v="9.0714403521904061E-2"/>
    <n v="35751000000"/>
  </r>
  <r>
    <x v="421"/>
    <n v="4"/>
    <n v="2015"/>
    <x v="3"/>
    <n v="259488000000"/>
    <n v="165590000000"/>
    <n v="61444000000"/>
    <n v="0"/>
    <n v="18048000000"/>
    <s v="Energy"/>
    <s v="Integrated Oil &amp; Gas"/>
    <n v="0.36185873720557404"/>
    <n v="93898000000"/>
    <n v="5.551701812800592E-2"/>
    <n v="14406000000"/>
  </r>
  <r>
    <x v="422"/>
    <n v="1"/>
    <n v="2012"/>
    <x v="0"/>
    <n v="1843641000"/>
    <n v="737614000"/>
    <n v="477270000"/>
    <n v="96004000"/>
    <n v="13829000"/>
    <s v="Health Care"/>
    <s v="Health Care Distributors"/>
    <n v="0.59991451698025811"/>
    <n v="1106027000"/>
    <n v="0.28146694502888575"/>
    <n v="518924000"/>
  </r>
  <r>
    <x v="422"/>
    <n v="2"/>
    <n v="2013"/>
    <x v="1"/>
    <n v="1904218000"/>
    <n v="783456000"/>
    <n v="492965000"/>
    <n v="100536000"/>
    <n v="9918000"/>
    <s v="Health Care"/>
    <s v="Health Care Distributors"/>
    <n v="0.58856811562541678"/>
    <n v="1120762000"/>
    <n v="0.27168265398184449"/>
    <n v="517343000"/>
  </r>
  <r>
    <x v="422"/>
    <n v="3"/>
    <n v="2014"/>
    <x v="2"/>
    <n v="1989344000"/>
    <n v="824913000"/>
    <n v="512707000"/>
    <n v="107726000"/>
    <n v="10634000"/>
    <s v="Health Care"/>
    <s v="Health Care Distributors"/>
    <n v="0.58533416040664665"/>
    <n v="1164431000"/>
    <n v="0.26811049270513293"/>
    <n v="533364000"/>
  </r>
  <r>
    <x v="422"/>
    <n v="4"/>
    <n v="2015"/>
    <x v="3"/>
    <n v="2042332000"/>
    <n v="842672000"/>
    <n v="495747000"/>
    <n v="118545000"/>
    <n v="10123000"/>
    <s v="Health Care"/>
    <s v="Health Care Distributors"/>
    <n v="0.58739715188323938"/>
    <n v="1199660000"/>
    <n v="0.28166086610795893"/>
    <n v="575245000"/>
  </r>
  <r>
    <x v="423"/>
    <n v="1"/>
    <n v="2012"/>
    <x v="0"/>
    <n v="20421000000"/>
    <n v="13634000000"/>
    <n v="4398000000"/>
    <n v="655000000"/>
    <n v="301000000"/>
    <s v="Information Technology"/>
    <s v="IT Consulting &amp; Other Services"/>
    <n v="0.33235394936584883"/>
    <n v="6787000000"/>
    <n v="7.0172861270261011E-2"/>
    <n v="1433000000"/>
  </r>
  <r>
    <x v="423"/>
    <n v="2"/>
    <n v="2013"/>
    <x v="1"/>
    <n v="20006000000"/>
    <n v="13521000000"/>
    <n v="4219000000"/>
    <n v="603000000"/>
    <n v="305000000"/>
    <s v="Information Technology"/>
    <s v="IT Consulting &amp; Other Services"/>
    <n v="0.32415275417374789"/>
    <n v="6485000000"/>
    <n v="6.7879636109167252E-2"/>
    <n v="1358000000"/>
  </r>
  <r>
    <x v="423"/>
    <n v="3"/>
    <n v="2014"/>
    <x v="2"/>
    <n v="19540000000"/>
    <n v="13294000000"/>
    <n v="4020000000"/>
    <n v="577000000"/>
    <n v="315000000"/>
    <s v="Information Technology"/>
    <s v="IT Consulting &amp; Other Services"/>
    <n v="0.31965199590583415"/>
    <n v="6246000000"/>
    <n v="6.8270214943705221E-2"/>
    <n v="1334000000"/>
  </r>
  <r>
    <x v="423"/>
    <n v="4"/>
    <n v="2015"/>
    <x v="3"/>
    <n v="18045000000"/>
    <n v="12782000000"/>
    <n v="3792000000"/>
    <n v="563000000"/>
    <n v="310000000"/>
    <s v="Information Technology"/>
    <s v="IT Consulting &amp; Other Services"/>
    <n v="0.29165973954003876"/>
    <n v="5263000000"/>
    <n v="3.3139373787752842E-2"/>
    <n v="598000000"/>
  </r>
  <r>
    <x v="424"/>
    <n v="1"/>
    <n v="2012"/>
    <x v="0"/>
    <n v="3791000000"/>
    <n v="2289000000"/>
    <n v="936000000"/>
    <n v="106000000"/>
    <n v="0"/>
    <s v="Industrials"/>
    <s v="Industrial Conglomerates"/>
    <n v="0.39620152993933"/>
    <n v="1502000000"/>
    <n v="0.12134001582695858"/>
    <n v="460000000"/>
  </r>
  <r>
    <x v="424"/>
    <n v="2"/>
    <n v="2013"/>
    <x v="1"/>
    <n v="3837000000"/>
    <n v="2338000000"/>
    <n v="990000000"/>
    <n v="104000000"/>
    <n v="0"/>
    <s v="Industrials"/>
    <s v="Industrial Conglomerates"/>
    <n v="0.39066979410998171"/>
    <n v="1499000000"/>
    <n v="0.1055512118842846"/>
    <n v="405000000"/>
  </r>
  <r>
    <x v="424"/>
    <n v="3"/>
    <n v="2014"/>
    <x v="2"/>
    <n v="3916000000"/>
    <n v="2403000000"/>
    <n v="920000000"/>
    <n v="104000000"/>
    <n v="0"/>
    <s v="Industrials"/>
    <s v="Industrial Conglomerates"/>
    <n v="0.38636363636363635"/>
    <n v="1513000000"/>
    <n v="0.12487231869254341"/>
    <n v="489000000"/>
  </r>
  <r>
    <x v="424"/>
    <n v="4"/>
    <n v="2015"/>
    <x v="3"/>
    <n v="3653000000"/>
    <n v="2249000000"/>
    <n v="854000000"/>
    <n v="95000000"/>
    <n v="0"/>
    <s v="Industrials"/>
    <s v="Industrial Conglomerates"/>
    <n v="0.38434163701067614"/>
    <n v="1404000000"/>
    <n v="0.12455516014234876"/>
    <n v="455000000"/>
  </r>
  <r>
    <x v="425"/>
    <n v="1"/>
    <n v="2012"/>
    <x v="0"/>
    <n v="4986566000"/>
    <n v="1620566000"/>
    <n v="1641819000"/>
    <n v="885824000"/>
    <n v="35819000"/>
    <s v="Information Technology"/>
    <s v="Internet Software &amp; Services"/>
    <n v="0.67501362661198105"/>
    <n v="3366000000"/>
    <n v="0.16094001362861737"/>
    <n v="802538000"/>
  </r>
  <r>
    <x v="425"/>
    <n v="2"/>
    <n v="2013"/>
    <x v="1"/>
    <n v="4680380000"/>
    <n v="1349380000"/>
    <n v="1751275000"/>
    <n v="957587000"/>
    <n v="44841000"/>
    <s v="Information Technology"/>
    <s v="Internet Software &amp; Services"/>
    <n v="0.71169434960409195"/>
    <n v="3331000000"/>
    <n v="0.12334404471431806"/>
    <n v="577297000"/>
  </r>
  <r>
    <x v="425"/>
    <n v="3"/>
    <n v="2014"/>
    <x v="2"/>
    <n v="4618133000"/>
    <n v="1387375000"/>
    <n v="1770710000"/>
    <n v="1156386000"/>
    <n v="66750000"/>
    <s v="Information Technology"/>
    <s v="Internet Software &amp; Services"/>
    <n v="0.69958097785403761"/>
    <n v="3230758000"/>
    <n v="5.1300384809185876E-2"/>
    <n v="236912000"/>
  </r>
  <r>
    <x v="425"/>
    <n v="4"/>
    <n v="2015"/>
    <x v="3"/>
    <n v="4968301000"/>
    <n v="2077748000"/>
    <n v="1768522000"/>
    <n v="1177923000"/>
    <n v="79042000"/>
    <s v="Information Technology"/>
    <s v="Internet Software &amp; Services"/>
    <n v="0.58179908986995754"/>
    <n v="2890553000"/>
    <n v="-2.7158982517363581E-2"/>
    <n v="-134934000"/>
  </r>
  <r>
    <x v="426"/>
    <n v="1"/>
    <n v="2012"/>
    <x v="4"/>
    <n v="13633000000"/>
    <n v="9852000000"/>
    <n v="1450000000"/>
    <n v="0"/>
    <n v="0"/>
    <s v="Consumer Discretionary"/>
    <s v="Restaurants"/>
    <n v="0.2773417442969266"/>
    <n v="3781000000"/>
    <n v="0.17098217560331549"/>
    <n v="2331000000"/>
  </r>
  <r>
    <x v="426"/>
    <n v="2"/>
    <n v="2013"/>
    <x v="5"/>
    <n v="13084000000"/>
    <n v="9501000000"/>
    <n v="1454000000"/>
    <n v="0"/>
    <n v="0"/>
    <s v="Consumer Discretionary"/>
    <s v="Restaurants"/>
    <n v="0.27384591867930297"/>
    <n v="3583000000"/>
    <n v="0.16271782329562826"/>
    <n v="2129000000"/>
  </r>
  <r>
    <x v="426"/>
    <n v="3"/>
    <n v="2014"/>
    <x v="101"/>
    <n v="13279000000"/>
    <n v="9682000000"/>
    <n v="1505000000"/>
    <n v="0"/>
    <n v="0"/>
    <s v="Consumer Discretionary"/>
    <s v="Restaurants"/>
    <n v="0.27087883123729195"/>
    <n v="3597000000"/>
    <n v="0.15754198358310115"/>
    <n v="2092000000"/>
  </r>
  <r>
    <x v="426"/>
    <n v="4"/>
    <n v="2015"/>
    <x v="102"/>
    <n v="13105000000"/>
    <n v="9359000000"/>
    <n v="1746000000"/>
    <n v="0"/>
    <n v="0"/>
    <s v="Consumer Discretionary"/>
    <s v="Restaurants"/>
    <n v="0.28584509729111029"/>
    <n v="3746000000"/>
    <n v="0.15261350629530712"/>
    <n v="2000000000"/>
  </r>
  <r>
    <x v="427"/>
    <n v="1"/>
    <n v="2012"/>
    <x v="0"/>
    <n v="2928429000"/>
    <n v="1372042000"/>
    <n v="1148731000"/>
    <n v="0"/>
    <n v="0"/>
    <s v="Health Care"/>
    <s v="Health Care Supplies"/>
    <n v="0.53147506734839745"/>
    <n v="1556387000"/>
    <n v="0.13920637993955121"/>
    <n v="407656000"/>
  </r>
  <r>
    <x v="427"/>
    <n v="2"/>
    <n v="2013"/>
    <x v="1"/>
    <n v="2950800000"/>
    <n v="1373400000"/>
    <n v="1144800000"/>
    <n v="0"/>
    <n v="0"/>
    <s v="Health Care"/>
    <s v="Health Care Supplies"/>
    <n v="0.53456689711264738"/>
    <n v="1577400000"/>
    <n v="0.14660431069540464"/>
    <n v="432600000"/>
  </r>
  <r>
    <x v="427"/>
    <n v="3"/>
    <n v="2014"/>
    <x v="2"/>
    <n v="2922600000"/>
    <n v="1322800000"/>
    <n v="1143100000"/>
    <n v="0"/>
    <n v="0"/>
    <s v="Health Care"/>
    <s v="Health Care Supplies"/>
    <n v="0.54738931088756582"/>
    <n v="1599800000"/>
    <n v="0.15626496954766303"/>
    <n v="456700000"/>
  </r>
  <r>
    <x v="427"/>
    <n v="4"/>
    <n v="2015"/>
    <x v="3"/>
    <n v="2674300000"/>
    <n v="1157100000"/>
    <n v="1077300000"/>
    <n v="0"/>
    <n v="0"/>
    <s v="Health Care"/>
    <s v="Health Care Supplies"/>
    <n v="0.56732602924129671"/>
    <n v="1517200000"/>
    <n v="0.16449164267284896"/>
    <n v="439900000"/>
  </r>
  <r>
    <x v="428"/>
    <n v="1"/>
    <n v="2012"/>
    <x v="0"/>
    <n v="4471700000"/>
    <n v="1125200000"/>
    <n v="1822100000"/>
    <n v="225600000"/>
    <n v="0"/>
    <s v="Health Care"/>
    <s v="Health Care Equipment"/>
    <n v="0.74837310195227769"/>
    <n v="3346500000"/>
    <n v="0.29044882259543353"/>
    <n v="1298800000"/>
  </r>
  <r>
    <x v="428"/>
    <n v="2"/>
    <n v="2013"/>
    <x v="1"/>
    <n v="4623400000"/>
    <n v="1266700000"/>
    <n v="1796300000"/>
    <n v="203000000"/>
    <n v="78500000"/>
    <s v="Health Care"/>
    <s v="Health Care Equipment"/>
    <n v="0.72602413808020072"/>
    <n v="3356700000"/>
    <n v="0.27661461262274517"/>
    <n v="1278900000"/>
  </r>
  <r>
    <x v="428"/>
    <n v="3"/>
    <n v="2014"/>
    <x v="2"/>
    <n v="4673300000"/>
    <n v="1242800000"/>
    <n v="1772200000"/>
    <n v="187400000"/>
    <n v="92500000"/>
    <s v="Health Care"/>
    <s v="Health Care Equipment"/>
    <n v="0.73406372370701645"/>
    <n v="3430500000"/>
    <n v="0.29495217512250443"/>
    <n v="1378400000"/>
  </r>
  <r>
    <x v="428"/>
    <n v="4"/>
    <n v="2015"/>
    <x v="3"/>
    <n v="5997800000"/>
    <n v="1800600000"/>
    <n v="2291900000"/>
    <n v="268800000"/>
    <n v="337400000"/>
    <s v="Health Care"/>
    <s v="Health Care Equipment"/>
    <n v="0.69978992297175635"/>
    <n v="4197200000"/>
    <n v="0.21659608523125146"/>
    <n v="1299100000"/>
  </r>
  <r>
    <x v="429"/>
    <n v="1"/>
    <n v="2013"/>
    <x v="1"/>
    <n v="4561000000"/>
    <n v="1669000000"/>
    <n v="1613000000"/>
    <n v="399000000"/>
    <n v="60000000"/>
    <s v="Health Care"/>
    <s v="Pharmaceuticals"/>
    <n v="0.63407147555360666"/>
    <n v="2892000000"/>
    <n v="0.17978513483885114"/>
    <n v="820000000"/>
  </r>
  <r>
    <x v="429"/>
    <n v="2"/>
    <n v="2014"/>
    <x v="2"/>
    <n v="4785000000"/>
    <n v="1717000000"/>
    <n v="1643000000"/>
    <n v="396000000"/>
    <n v="60000000"/>
    <s v="Health Care"/>
    <s v="Pharmaceuticals"/>
    <n v="0.64117032392894457"/>
    <n v="3068000000"/>
    <n v="0.2025078369905956"/>
    <n v="969000000"/>
  </r>
  <r>
    <x v="429"/>
    <n v="3"/>
    <n v="2015"/>
    <x v="3"/>
    <n v="4765000000"/>
    <n v="1738000000"/>
    <n v="1532000000"/>
    <n v="364000000"/>
    <n v="61000000"/>
    <s v="Health Care"/>
    <s v="Pharmaceuticals"/>
    <n v="0.63525708289611749"/>
    <n v="3027000000"/>
    <n v="0.22455403987408185"/>
    <n v="1070000000"/>
  </r>
  <r>
    <x v="429"/>
    <n v="4"/>
    <n v="2016"/>
    <x v="12"/>
    <n v="4888000000"/>
    <n v="1666000000"/>
    <n v="1364000000"/>
    <n v="376000000"/>
    <n v="85000000"/>
    <s v="Health Care"/>
    <s v="Pharmaceuticals"/>
    <n v="0.6591653027823241"/>
    <n v="3222000000"/>
    <n v="0.28580196399345337"/>
    <n v="139700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10">
  <r>
    <s v="AAL"/>
    <n v="1"/>
    <x v="0"/>
    <d v="2012-12-31T00:00:00"/>
    <n v="24855000000"/>
    <n v="10499000000"/>
    <n v="12977000000"/>
    <n v="0"/>
    <n v="845000000"/>
    <x v="0"/>
    <x v="0"/>
    <n v="0.57759002212834432"/>
    <n v="14356000000"/>
    <n v="2.1484610742305371E-2"/>
    <n v="534000000"/>
  </r>
  <r>
    <s v="AAL"/>
    <n v="2"/>
    <x v="1"/>
    <d v="2013-12-31T00:00:00"/>
    <n v="26743000000"/>
    <n v="11019000000"/>
    <n v="12913000000"/>
    <n v="0"/>
    <n v="853000000"/>
    <x v="0"/>
    <x v="0"/>
    <n v="0.58796694462102228"/>
    <n v="15724000000"/>
    <n v="7.3215420857794561E-2"/>
    <n v="1958000000"/>
  </r>
  <r>
    <s v="AAL"/>
    <n v="3"/>
    <x v="2"/>
    <d v="2014-12-31T00:00:00"/>
    <n v="42650000000"/>
    <n v="15620000000"/>
    <n v="20686000000"/>
    <n v="0"/>
    <n v="1295000000"/>
    <x v="0"/>
    <x v="0"/>
    <n v="0.63376318874560378"/>
    <n v="27030000000"/>
    <n v="0.11838218053927316"/>
    <n v="5049000000"/>
  </r>
  <r>
    <s v="AAL"/>
    <n v="4"/>
    <x v="3"/>
    <d v="2015-12-31T00:00:00"/>
    <n v="40990000000"/>
    <n v="11096000000"/>
    <n v="21275000000"/>
    <n v="0"/>
    <n v="1364000000"/>
    <x v="0"/>
    <x v="0"/>
    <n v="0.72929982922664061"/>
    <n v="29894000000"/>
    <n v="0.17699438887533545"/>
    <n v="7255000000"/>
  </r>
  <r>
    <s v="AAP"/>
    <n v="1"/>
    <x v="0"/>
    <d v="2012-12-29T00:00:00"/>
    <n v="6205003000"/>
    <n v="3106967000"/>
    <n v="2440721000"/>
    <n v="0"/>
    <n v="0"/>
    <x v="1"/>
    <x v="1"/>
    <n v="0.49928033878468714"/>
    <n v="3098036000"/>
    <n v="0.10593306723622857"/>
    <n v="657315000"/>
  </r>
  <r>
    <s v="AAP"/>
    <n v="2"/>
    <x v="1"/>
    <d v="2013-12-28T00:00:00"/>
    <n v="6493814000"/>
    <n v="3241668000"/>
    <n v="2591828000"/>
    <n v="0"/>
    <n v="0"/>
    <x v="1"/>
    <x v="1"/>
    <n v="0.50080676779470434"/>
    <n v="3252146000"/>
    <n v="0.10168415664507792"/>
    <n v="660318000"/>
  </r>
  <r>
    <s v="AAP"/>
    <n v="3"/>
    <x v="3"/>
    <d v="2015-01-03T00:00:00"/>
    <n v="9843861000"/>
    <n v="5390248000"/>
    <n v="3601903000"/>
    <n v="0"/>
    <n v="0"/>
    <x v="1"/>
    <x v="1"/>
    <n v="0.45242542534885444"/>
    <n v="4453613000"/>
    <n v="8.6521944996988481E-2"/>
    <n v="851710000"/>
  </r>
  <r>
    <s v="AAP"/>
    <n v="4"/>
    <x v="4"/>
    <d v="2016-01-02T00:00:00"/>
    <n v="9737018000"/>
    <n v="5314246000"/>
    <n v="3596992000"/>
    <n v="0"/>
    <n v="0"/>
    <x v="1"/>
    <x v="1"/>
    <n v="0.45422243237097848"/>
    <n v="4422772000"/>
    <n v="8.4808305787254373E-2"/>
    <n v="825780000"/>
  </r>
  <r>
    <s v="AAPL"/>
    <n v="1"/>
    <x v="1"/>
    <d v="2013-09-28T00:00:00"/>
    <n v="170910000000"/>
    <n v="106606000000"/>
    <n v="10830000000"/>
    <n v="4475000000"/>
    <n v="0"/>
    <x v="2"/>
    <x v="2"/>
    <n v="0.37624480720847231"/>
    <n v="64304000000"/>
    <n v="0.28669475162366159"/>
    <n v="48999000000"/>
  </r>
  <r>
    <s v="AAPL"/>
    <n v="2"/>
    <x v="2"/>
    <d v="2014-09-27T00:00:00"/>
    <n v="182795000000"/>
    <n v="112258000000"/>
    <n v="11993000000"/>
    <n v="6041000000"/>
    <n v="0"/>
    <x v="2"/>
    <x v="2"/>
    <n v="0.38588035777783858"/>
    <n v="70537000000"/>
    <n v="0.28722339232473537"/>
    <n v="52503000000"/>
  </r>
  <r>
    <s v="AAPL"/>
    <n v="3"/>
    <x v="3"/>
    <d v="2015-09-26T00:00:00"/>
    <n v="233715000000"/>
    <n v="140089000000"/>
    <n v="14329000000"/>
    <n v="8067000000"/>
    <n v="0"/>
    <x v="2"/>
    <x v="2"/>
    <n v="0.40059902017414373"/>
    <n v="93626000000"/>
    <n v="0.30477290717326661"/>
    <n v="71230000000"/>
  </r>
  <r>
    <s v="AAPL"/>
    <n v="4"/>
    <x v="4"/>
    <d v="2016-09-24T00:00:00"/>
    <n v="215639000000"/>
    <n v="131376000000"/>
    <n v="14194000000"/>
    <n v="10045000000"/>
    <n v="0"/>
    <x v="2"/>
    <x v="2"/>
    <n v="0.39075955648097049"/>
    <n v="84263000000"/>
    <n v="0.27835410106706115"/>
    <n v="60024000000"/>
  </r>
  <r>
    <s v="AFL"/>
    <n v="1"/>
    <x v="0"/>
    <d v="2012-12-31T00:00:00"/>
    <n v="25364000000"/>
    <n v="17074000000"/>
    <n v="0"/>
    <n v="0"/>
    <n v="3727000000"/>
    <x v="3"/>
    <x v="3"/>
    <n v="0.32684119224097141"/>
    <n v="8290000000"/>
    <n v="0.17990064658571203"/>
    <n v="4563000000"/>
  </r>
  <r>
    <s v="AFL"/>
    <n v="2"/>
    <x v="1"/>
    <d v="2013-12-31T00:00:00"/>
    <n v="23939000000"/>
    <n v="15341000000"/>
    <n v="0"/>
    <n v="0"/>
    <n v="3489000000"/>
    <x v="3"/>
    <x v="3"/>
    <n v="0.35916287230043031"/>
    <n v="8598000000"/>
    <n v="0.21341743598312377"/>
    <n v="5109000000"/>
  </r>
  <r>
    <s v="AFL"/>
    <n v="3"/>
    <x v="2"/>
    <d v="2014-12-31T00:00:00"/>
    <n v="22728000000"/>
    <n v="14373000000"/>
    <n v="0"/>
    <n v="0"/>
    <n v="3547000000"/>
    <x v="3"/>
    <x v="3"/>
    <n v="0.36760823653643082"/>
    <n v="8355000000"/>
    <n v="0.21154523055262231"/>
    <n v="4808000000"/>
  </r>
  <r>
    <s v="AFL"/>
    <n v="4"/>
    <x v="3"/>
    <d v="2015-12-31T00:00:00"/>
    <n v="20872000000"/>
    <n v="13049000000"/>
    <n v="0"/>
    <n v="0"/>
    <n v="3672000000"/>
    <x v="3"/>
    <x v="3"/>
    <n v="0.3748083556918359"/>
    <n v="7823000000"/>
    <n v="0.19887888079724031"/>
    <n v="4151000000"/>
  </r>
  <r>
    <s v="AIG"/>
    <n v="1"/>
    <x v="0"/>
    <d v="2012-12-31T00:00:00"/>
    <n v="71214000000"/>
    <n v="37745000000"/>
    <n v="21491000000"/>
    <n v="0"/>
    <n v="0"/>
    <x v="3"/>
    <x v="4"/>
    <n v="0.46997781335130728"/>
    <n v="33469000000"/>
    <n v="0.16819726458280676"/>
    <n v="11978000000"/>
  </r>
  <r>
    <s v="AIG"/>
    <n v="2"/>
    <x v="1"/>
    <d v="2013-12-31T00:00:00"/>
    <n v="68874000000"/>
    <n v="34660000000"/>
    <n v="22005000000"/>
    <n v="0"/>
    <n v="0"/>
    <x v="3"/>
    <x v="4"/>
    <n v="0.49676220344397015"/>
    <n v="34214000000"/>
    <n v="0.17726573162586753"/>
    <n v="12209000000"/>
  </r>
  <r>
    <s v="AIG"/>
    <n v="3"/>
    <x v="2"/>
    <d v="2014-12-31T00:00:00"/>
    <n v="64406000000"/>
    <n v="33611000000"/>
    <n v="18491000000"/>
    <n v="0"/>
    <n v="0"/>
    <x v="3"/>
    <x v="4"/>
    <n v="0.47813868273142257"/>
    <n v="30795000000"/>
    <n v="0.19103810204018259"/>
    <n v="12304000000"/>
  </r>
  <r>
    <s v="AIG"/>
    <n v="4"/>
    <x v="3"/>
    <d v="2015-12-31T00:00:00"/>
    <n v="58327000000"/>
    <n v="36581000000"/>
    <n v="16417000000"/>
    <n v="0"/>
    <n v="0"/>
    <x v="3"/>
    <x v="4"/>
    <n v="0.37282905001114408"/>
    <n v="21746000000"/>
    <n v="9.1364205256570713E-2"/>
    <n v="5329000000"/>
  </r>
  <r>
    <s v="AIZ"/>
    <n v="1"/>
    <x v="1"/>
    <d v="2013-12-31T00:00:00"/>
    <n v="9047657000"/>
    <n v="6709936000"/>
    <n v="0"/>
    <n v="0"/>
    <n v="1470287000"/>
    <x v="3"/>
    <x v="5"/>
    <n v="0.25837860564342796"/>
    <n v="2337721000"/>
    <n v="9.5873882044821113E-2"/>
    <n v="867434000"/>
  </r>
  <r>
    <s v="AIZ"/>
    <n v="2"/>
    <x v="2"/>
    <d v="2014-12-31T00:00:00"/>
    <n v="10381653000"/>
    <n v="8093563000"/>
    <n v="0"/>
    <n v="0"/>
    <n v="1485558000"/>
    <x v="3"/>
    <x v="5"/>
    <n v="0.22039746464267296"/>
    <n v="2288090000"/>
    <n v="7.7302911203061792E-2"/>
    <n v="802532000"/>
  </r>
  <r>
    <s v="AIZ"/>
    <n v="3"/>
    <x v="3"/>
    <d v="2015-12-31T00:00:00"/>
    <n v="10325494000"/>
    <n v="8666624000"/>
    <n v="0"/>
    <n v="0"/>
    <n v="1402573000"/>
    <x v="3"/>
    <x v="5"/>
    <n v="0.16065768862971597"/>
    <n v="1658870000"/>
    <n v="2.4821766396842609E-2"/>
    <n v="256297000"/>
  </r>
  <r>
    <s v="AIZ"/>
    <n v="4"/>
    <x v="4"/>
    <d v="2016-12-31T00:00:00"/>
    <n v="7531780000"/>
    <n v="5251228000"/>
    <n v="0"/>
    <n v="0"/>
    <n v="1351314000"/>
    <x v="3"/>
    <x v="5"/>
    <n v="0.30279057540183063"/>
    <n v="2280552000"/>
    <n v="0.12337561638815792"/>
    <n v="929238000"/>
  </r>
  <r>
    <s v="ADBE"/>
    <n v="1"/>
    <x v="1"/>
    <d v="2013-11-29T00:00:00"/>
    <n v="4055240000"/>
    <n v="586557000"/>
    <n v="2140578000"/>
    <n v="826631000"/>
    <n v="52254000"/>
    <x v="2"/>
    <x v="6"/>
    <n v="0.85535825253252584"/>
    <n v="3468683000"/>
    <n v="0.11077519456308381"/>
    <n v="449220000"/>
  </r>
  <r>
    <s v="ADBE"/>
    <n v="2"/>
    <x v="2"/>
    <d v="2014-11-28T00:00:00"/>
    <n v="4147065000"/>
    <n v="622080000"/>
    <n v="2195640000"/>
    <n v="844353000"/>
    <n v="52424000"/>
    <x v="2"/>
    <x v="6"/>
    <n v="0.84999511702854913"/>
    <n v="3524985000"/>
    <n v="0.10430702195408077"/>
    <n v="432568000"/>
  </r>
  <r>
    <s v="ADBE"/>
    <n v="3"/>
    <x v="3"/>
    <d v="2015-11-27T00:00:00"/>
    <n v="4795511000"/>
    <n v="744317000"/>
    <n v="2215161000"/>
    <n v="862730000"/>
    <n v="68649000"/>
    <x v="2"/>
    <x v="6"/>
    <n v="0.84478880352896701"/>
    <n v="4051194000"/>
    <n v="0.18864600665080322"/>
    <n v="904654000"/>
  </r>
  <r>
    <s v="ADBE"/>
    <n v="4"/>
    <x v="4"/>
    <d v="2016-12-02T00:00:00"/>
    <n v="5854430000"/>
    <n v="819908000"/>
    <n v="2487907000"/>
    <n v="975987000"/>
    <n v="78534000"/>
    <x v="2"/>
    <x v="6"/>
    <n v="0.8599508406454599"/>
    <n v="5034522000"/>
    <n v="0.25486580247778179"/>
    <n v="1492094000"/>
  </r>
  <r>
    <s v="ADI"/>
    <n v="1"/>
    <x v="1"/>
    <d v="2013-11-02T00:00:00"/>
    <n v="2633689000"/>
    <n v="941278000"/>
    <n v="396233000"/>
    <n v="513035000"/>
    <n v="220000"/>
    <x v="2"/>
    <x v="7"/>
    <n v="0.64260092972252991"/>
    <n v="1692411000"/>
    <n v="0.29727238105941894"/>
    <n v="782923000"/>
  </r>
  <r>
    <s v="ADI"/>
    <n v="2"/>
    <x v="2"/>
    <d v="2014-11-01T00:00:00"/>
    <n v="2864773000"/>
    <n v="1034585000"/>
    <n v="454676000"/>
    <n v="559686000"/>
    <n v="26020000"/>
    <x v="2"/>
    <x v="7"/>
    <n v="0.6388596932462014"/>
    <n v="1830188000"/>
    <n v="0.27569584047322421"/>
    <n v="789806000"/>
  </r>
  <r>
    <s v="ADI"/>
    <n v="3"/>
    <x v="3"/>
    <d v="2015-10-31T00:00:00"/>
    <n v="3435092000"/>
    <n v="1175830000"/>
    <n v="702644000"/>
    <n v="637459000"/>
    <n v="88318000"/>
    <x v="2"/>
    <x v="7"/>
    <n v="0.65770057978068708"/>
    <n v="2259262000"/>
    <n v="0.24186863117494378"/>
    <n v="830841000"/>
  </r>
  <r>
    <s v="ADI"/>
    <n v="4"/>
    <x v="4"/>
    <d v="2016-10-29T00:00:00"/>
    <n v="3421409000"/>
    <n v="1194236000"/>
    <n v="461438000"/>
    <n v="653816000"/>
    <n v="70123000"/>
    <x v="2"/>
    <x v="7"/>
    <n v="0.65095199083184729"/>
    <n v="2227173000"/>
    <n v="0.30449326578611324"/>
    <n v="1041796000"/>
  </r>
  <r>
    <s v="ADM"/>
    <n v="1"/>
    <x v="0"/>
    <d v="2012-12-31T00:00:00"/>
    <n v="90559000000"/>
    <n v="86936000000"/>
    <n v="1665000000"/>
    <n v="0"/>
    <n v="0"/>
    <x v="4"/>
    <x v="8"/>
    <n v="4.0007067215848235E-2"/>
    <n v="3623000000"/>
    <n v="2.1621263485683367E-2"/>
    <n v="1958000000"/>
  </r>
  <r>
    <s v="ADM"/>
    <n v="2"/>
    <x v="1"/>
    <d v="2013-12-31T00:00:00"/>
    <n v="89804000000"/>
    <n v="85915000000"/>
    <n v="1759000000"/>
    <n v="0"/>
    <n v="0"/>
    <x v="4"/>
    <x v="8"/>
    <n v="4.330542069395571E-2"/>
    <n v="3889000000"/>
    <n v="2.3718319896663845E-2"/>
    <n v="2130000000"/>
  </r>
  <r>
    <s v="ADM"/>
    <n v="3"/>
    <x v="2"/>
    <d v="2014-12-31T00:00:00"/>
    <n v="81201000000"/>
    <n v="76433000000"/>
    <n v="1907000000"/>
    <n v="0"/>
    <n v="0"/>
    <x v="4"/>
    <x v="8"/>
    <n v="5.8718488688562998E-2"/>
    <n v="4768000000"/>
    <n v="3.5233556236992154E-2"/>
    <n v="2861000000"/>
  </r>
  <r>
    <s v="ADM"/>
    <n v="4"/>
    <x v="3"/>
    <d v="2015-12-31T00:00:00"/>
    <n v="67702000000"/>
    <n v="63682000000"/>
    <n v="2010000000"/>
    <n v="0"/>
    <n v="0"/>
    <x v="4"/>
    <x v="8"/>
    <n v="5.9377861806150456E-2"/>
    <n v="4020000000"/>
    <n v="2.9688930903075242E-2"/>
    <n v="2010000000"/>
  </r>
  <r>
    <s v="ADS"/>
    <n v="1"/>
    <x v="0"/>
    <d v="2012-12-31T00:00:00"/>
    <n v="3641390000"/>
    <n v="2392091000"/>
    <n v="108059000"/>
    <n v="0"/>
    <n v="166876000"/>
    <x v="2"/>
    <x v="9"/>
    <n v="0.34308299852528845"/>
    <n v="1249299000"/>
    <n v="0.26758023721710666"/>
    <n v="974364000"/>
  </r>
  <r>
    <s v="ADS"/>
    <n v="2"/>
    <x v="1"/>
    <d v="2013-12-31T00:00:00"/>
    <n v="4319063000"/>
    <n v="2894917000"/>
    <n v="109115000"/>
    <n v="0"/>
    <n v="216119000"/>
    <x v="2"/>
    <x v="9"/>
    <n v="0.32973494482483812"/>
    <n v="1424146000"/>
    <n v="0.25443296381645741"/>
    <n v="1098912000"/>
  </r>
  <r>
    <s v="ADS"/>
    <n v="3"/>
    <x v="2"/>
    <d v="2014-12-31T00:00:00"/>
    <n v="5302940000"/>
    <n v="3643979000"/>
    <n v="247412000"/>
    <n v="0"/>
    <n v="313082000"/>
    <x v="2"/>
    <x v="9"/>
    <n v="0.31283797289805282"/>
    <n v="1658961000"/>
    <n v="0.20714301877826263"/>
    <n v="1098467000"/>
  </r>
  <r>
    <s v="ADS"/>
    <n v="4"/>
    <x v="3"/>
    <d v="2015-12-31T00:00:00"/>
    <n v="6439746000"/>
    <n v="4482700000"/>
    <n v="203046000"/>
    <n v="0"/>
    <n v="492140000"/>
    <x v="2"/>
    <x v="9"/>
    <n v="0.30390111659683472"/>
    <n v="1957046000"/>
    <n v="0.19594872220115514"/>
    <n v="1261860000"/>
  </r>
  <r>
    <s v="ADSK"/>
    <n v="1"/>
    <x v="1"/>
    <d v="2013-01-31T00:00:00"/>
    <n v="2312200000"/>
    <n v="238500000"/>
    <n v="1081800000"/>
    <n v="600000000"/>
    <n v="42100000"/>
    <x v="2"/>
    <x v="6"/>
    <n v="0.89685148343568899"/>
    <n v="2073700000"/>
    <n v="0.15128449096098953"/>
    <n v="349800000"/>
  </r>
  <r>
    <s v="ADSK"/>
    <n v="2"/>
    <x v="2"/>
    <d v="2014-01-31T00:00:00"/>
    <n v="2273900000"/>
    <n v="274300000"/>
    <n v="1054400000"/>
    <n v="611100000"/>
    <n v="36500000"/>
    <x v="2"/>
    <x v="6"/>
    <n v="0.87937024495360394"/>
    <n v="1999600000"/>
    <n v="0.1308764677426448"/>
    <n v="297600000"/>
  </r>
  <r>
    <s v="ADSK"/>
    <n v="3"/>
    <x v="3"/>
    <d v="2015-01-31T00:00:00"/>
    <n v="2512200000"/>
    <n v="342100000"/>
    <n v="1281300000"/>
    <n v="725200000"/>
    <n v="39800000"/>
    <x v="2"/>
    <x v="6"/>
    <n v="0.86382453626303635"/>
    <n v="2170100000"/>
    <n v="4.9279515962104926E-2"/>
    <n v="123800000"/>
  </r>
  <r>
    <s v="ADSK"/>
    <n v="4"/>
    <x v="4"/>
    <d v="2016-01-31T00:00:00"/>
    <n v="2504100000"/>
    <n v="370700000"/>
    <n v="1308900000"/>
    <n v="790000000"/>
    <n v="33200000"/>
    <x v="2"/>
    <x v="6"/>
    <n v="0.85196278103909595"/>
    <n v="2133400000"/>
    <n v="5.1914859630206457E-4"/>
    <n v="1300000"/>
  </r>
  <r>
    <s v="AEE"/>
    <n v="1"/>
    <x v="0"/>
    <d v="2012-12-31T00:00:00"/>
    <n v="5781000000"/>
    <n v="3477000000"/>
    <n v="443000000"/>
    <n v="0"/>
    <n v="673000000"/>
    <x v="5"/>
    <x v="10"/>
    <n v="0.39854696419304614"/>
    <n v="2304000000"/>
    <n v="0.20550077841203945"/>
    <n v="1188000000"/>
  </r>
  <r>
    <s v="AEE"/>
    <n v="2"/>
    <x v="1"/>
    <d v="2013-12-31T00:00:00"/>
    <n v="5838000000"/>
    <n v="3490000000"/>
    <n v="458000000"/>
    <n v="0"/>
    <n v="706000000"/>
    <x v="5"/>
    <x v="10"/>
    <n v="0.40219253168893454"/>
    <n v="2348000000"/>
    <n v="0.20280918122644742"/>
    <n v="1184000000"/>
  </r>
  <r>
    <s v="AEE"/>
    <n v="3"/>
    <x v="2"/>
    <d v="2014-12-31T00:00:00"/>
    <n v="6053000000"/>
    <n v="3586000000"/>
    <n v="468000000"/>
    <n v="0"/>
    <n v="745000000"/>
    <x v="5"/>
    <x v="10"/>
    <n v="0.40756649595242034"/>
    <n v="2467000000"/>
    <n v="0.20716999834792665"/>
    <n v="1254000000"/>
  </r>
  <r>
    <s v="AEE"/>
    <n v="4"/>
    <x v="3"/>
    <d v="2015-12-31T00:00:00"/>
    <n v="6098000000"/>
    <n v="3501000000"/>
    <n v="542000000"/>
    <n v="0"/>
    <n v="796000000"/>
    <x v="5"/>
    <x v="10"/>
    <n v="0.42587733683174811"/>
    <n v="2597000000"/>
    <n v="0.20646113479829453"/>
    <n v="1259000000"/>
  </r>
  <r>
    <s v="AEP"/>
    <n v="1"/>
    <x v="0"/>
    <d v="2012-12-31T00:00:00"/>
    <n v="14945000000"/>
    <n v="6395000000"/>
    <n v="3812000000"/>
    <n v="0"/>
    <n v="1782000000"/>
    <x v="5"/>
    <x v="11"/>
    <n v="0.57209769153563061"/>
    <n v="8550000000"/>
    <n v="0.19779190364670457"/>
    <n v="2956000000"/>
  </r>
  <r>
    <s v="AEP"/>
    <n v="2"/>
    <x v="1"/>
    <d v="2013-12-31T00:00:00"/>
    <n v="14813500000"/>
    <n v="6722300000"/>
    <n v="3329800000"/>
    <n v="0"/>
    <n v="1712500000"/>
    <x v="5"/>
    <x v="11"/>
    <n v="0.54620447564721375"/>
    <n v="8091200000"/>
    <n v="0.20581901643770883"/>
    <n v="3048900000"/>
  </r>
  <r>
    <s v="AEP"/>
    <n v="3"/>
    <x v="2"/>
    <d v="2014-12-31T00:00:00"/>
    <n v="16378600000"/>
    <n v="7685700000"/>
    <n v="3667900000"/>
    <n v="0"/>
    <n v="1897600000"/>
    <x v="5"/>
    <x v="11"/>
    <n v="0.53074743873102714"/>
    <n v="8692900000"/>
    <n v="0.19094428095197391"/>
    <n v="3127400000"/>
  </r>
  <r>
    <s v="AEP"/>
    <n v="4"/>
    <x v="3"/>
    <d v="2015-12-31T00:00:00"/>
    <n v="16453200000"/>
    <n v="7433500000"/>
    <n v="3676500000"/>
    <n v="0"/>
    <n v="2009700000"/>
    <x v="5"/>
    <x v="11"/>
    <n v="0.54820338900639387"/>
    <n v="9019700000"/>
    <n v="0.20260496438382808"/>
    <n v="3333500000"/>
  </r>
  <r>
    <s v="ALL"/>
    <n v="1"/>
    <x v="0"/>
    <d v="2012-12-31T00:00:00"/>
    <n v="33315000000"/>
    <n v="21618000000"/>
    <n v="0"/>
    <n v="0"/>
    <n v="8002000000"/>
    <x v="3"/>
    <x v="4"/>
    <n v="0.35110310670868983"/>
    <n v="11697000000"/>
    <n v="0.11091100105057781"/>
    <n v="3695000000"/>
  </r>
  <r>
    <s v="ALL"/>
    <n v="2"/>
    <x v="1"/>
    <d v="2013-12-31T00:00:00"/>
    <n v="34507000000"/>
    <n v="19828000000"/>
    <n v="1278000000"/>
    <n v="0"/>
    <n v="8389000000"/>
    <x v="3"/>
    <x v="4"/>
    <n v="0.42539194945952996"/>
    <n v="14679000000"/>
    <n v="0.1452458921378271"/>
    <n v="5012000000"/>
  </r>
  <r>
    <s v="ALL"/>
    <n v="3"/>
    <x v="2"/>
    <d v="2014-12-31T00:00:00"/>
    <n v="35239000000"/>
    <n v="21193000000"/>
    <n v="919000000"/>
    <n v="0"/>
    <n v="8476000000"/>
    <x v="3"/>
    <x v="4"/>
    <n v="0.3985924685717529"/>
    <n v="14046000000"/>
    <n v="0.13198444904792986"/>
    <n v="4651000000"/>
  </r>
  <r>
    <s v="ALL"/>
    <n v="4"/>
    <x v="3"/>
    <d v="2015-12-31T00:00:00"/>
    <n v="35653000000"/>
    <n v="22837000000"/>
    <n v="761000000"/>
    <n v="0"/>
    <n v="8445000000"/>
    <x v="3"/>
    <x v="4"/>
    <n v="0.35946484166830284"/>
    <n v="12816000000"/>
    <n v="0.10125375143746669"/>
    <n v="3610000000"/>
  </r>
  <r>
    <s v="AMP"/>
    <n v="1"/>
    <x v="0"/>
    <d v="2012-12-31T00:00:00"/>
    <n v="10259000000"/>
    <n v="1899000000"/>
    <n v="3927000000"/>
    <n v="0"/>
    <n v="2877000000"/>
    <x v="3"/>
    <x v="12"/>
    <n v="0.8148942392046008"/>
    <n v="8360000000"/>
    <n v="0.15167170289501899"/>
    <n v="1556000000"/>
  </r>
  <r>
    <s v="AMP"/>
    <n v="2"/>
    <x v="1"/>
    <d v="2013-12-31T00:00:00"/>
    <n v="11230000000"/>
    <n v="1954000000"/>
    <n v="3862000000"/>
    <n v="0"/>
    <n v="3132000000"/>
    <x v="3"/>
    <x v="12"/>
    <n v="0.8260017809439002"/>
    <n v="9276000000"/>
    <n v="0.20320569902048086"/>
    <n v="2282000000"/>
  </r>
  <r>
    <s v="AMP"/>
    <n v="3"/>
    <x v="2"/>
    <d v="2014-12-31T00:00:00"/>
    <n v="12296000000"/>
    <n v="1982000000"/>
    <n v="3808000000"/>
    <n v="0"/>
    <n v="3603000000"/>
    <x v="3"/>
    <x v="12"/>
    <n v="0.83880936890045543"/>
    <n v="10314000000"/>
    <n v="0.23609303838646714"/>
    <n v="2903000000"/>
  </r>
  <r>
    <s v="AMP"/>
    <n v="4"/>
    <x v="3"/>
    <d v="2015-12-31T00:00:00"/>
    <n v="12200000000"/>
    <n v="2261000000"/>
    <n v="3750000000"/>
    <n v="0"/>
    <n v="3630000000"/>
    <x v="3"/>
    <x v="12"/>
    <n v="0.814672131147541"/>
    <n v="9939000000"/>
    <n v="0.20975409836065573"/>
    <n v="2559000000"/>
  </r>
  <r>
    <s v="AIV"/>
    <n v="1"/>
    <x v="0"/>
    <d v="2012-12-31T00:00:00"/>
    <n v="958511000"/>
    <n v="386355000"/>
    <n v="61732000"/>
    <n v="0"/>
    <n v="325173000"/>
    <x v="6"/>
    <x v="13"/>
    <n v="0.59692168373654553"/>
    <n v="572156000"/>
    <n v="0.19326956080837884"/>
    <n v="185251000"/>
  </r>
  <r>
    <s v="AIV"/>
    <n v="2"/>
    <x v="1"/>
    <d v="2013-12-31T00:00:00"/>
    <n v="974053000"/>
    <n v="380051000"/>
    <n v="53073000"/>
    <n v="0"/>
    <n v="291910000"/>
    <x v="6"/>
    <x v="13"/>
    <n v="0.6098251327186508"/>
    <n v="594002000"/>
    <n v="0.25565241316437609"/>
    <n v="249019000"/>
  </r>
  <r>
    <s v="AIV"/>
    <n v="3"/>
    <x v="2"/>
    <d v="2014-12-31T00:00:00"/>
    <n v="984363000"/>
    <n v="380964000"/>
    <n v="56621000"/>
    <n v="0"/>
    <n v="282608000"/>
    <x v="6"/>
    <x v="13"/>
    <n v="0.61298423447447736"/>
    <n v="603399000"/>
    <n v="0.2683664461179463"/>
    <n v="264170000"/>
  </r>
  <r>
    <s v="AIV"/>
    <n v="4"/>
    <x v="3"/>
    <d v="2015-12-31T00:00:00"/>
    <n v="981310000"/>
    <n v="365248000"/>
    <n v="53546000"/>
    <n v="0"/>
    <n v="306301000"/>
    <x v="6"/>
    <x v="13"/>
    <n v="0.62779549785490829"/>
    <n v="616062000"/>
    <n v="0.26109486298926943"/>
    <n v="256215000"/>
  </r>
  <r>
    <s v="AXP"/>
    <n v="1"/>
    <x v="0"/>
    <d v="2012-12-31T00:00:00"/>
    <n v="33781000000"/>
    <n v="480000000"/>
    <n v="23392000000"/>
    <n v="0"/>
    <n v="1712000000"/>
    <x v="3"/>
    <x v="14"/>
    <n v="0.98579082916432315"/>
    <n v="33301000000"/>
    <n v="0.24265119445842337"/>
    <n v="8197000000"/>
  </r>
  <r>
    <s v="AXP"/>
    <n v="2"/>
    <x v="1"/>
    <d v="2013-12-31T00:00:00"/>
    <n v="34828000000"/>
    <n v="442000000"/>
    <n v="23150000000"/>
    <n v="0"/>
    <n v="1832000000"/>
    <x v="3"/>
    <x v="14"/>
    <n v="0.98730906167451471"/>
    <n v="34386000000"/>
    <n v="0.27001263351326521"/>
    <n v="9404000000"/>
  </r>
  <r>
    <s v="AXP"/>
    <n v="3"/>
    <x v="2"/>
    <d v="2014-12-31T00:00:00"/>
    <n v="35895000000"/>
    <n v="373000000"/>
    <n v="23153000000"/>
    <n v="0"/>
    <n v="2044000000"/>
    <x v="3"/>
    <x v="14"/>
    <n v="0.98960858058225376"/>
    <n v="35522000000"/>
    <n v="0.28764451873519986"/>
    <n v="10325000000"/>
  </r>
  <r>
    <s v="AXP"/>
    <n v="4"/>
    <x v="3"/>
    <d v="2015-12-31T00:00:00"/>
    <n v="34441000000"/>
    <n v="475000000"/>
    <n v="22892000000"/>
    <n v="0"/>
    <n v="1988000000"/>
    <x v="3"/>
    <x v="14"/>
    <n v="0.98620829824917977"/>
    <n v="33966000000"/>
    <n v="0.26381347812200573"/>
    <n v="9086000000"/>
  </r>
  <r>
    <s v="AKAM"/>
    <n v="1"/>
    <x v="0"/>
    <d v="2012-12-31T00:00:00"/>
    <n v="1373947000"/>
    <n v="529900000"/>
    <n v="433448000"/>
    <n v="74744000"/>
    <n v="20962000"/>
    <x v="2"/>
    <x v="15"/>
    <n v="0.61432282322389442"/>
    <n v="844047000"/>
    <n v="0.2291886077119423"/>
    <n v="314893000"/>
  </r>
  <r>
    <s v="AKAM"/>
    <n v="2"/>
    <x v="1"/>
    <d v="2013-12-31T00:00:00"/>
    <n v="1577922000"/>
    <n v="511087000"/>
    <n v="535598000"/>
    <n v="93879000"/>
    <n v="21547000"/>
    <x v="2"/>
    <x v="15"/>
    <n v="0.67610122680335283"/>
    <n v="1066835000"/>
    <n v="0.26351809531776604"/>
    <n v="415811000"/>
  </r>
  <r>
    <s v="AKAM"/>
    <n v="3"/>
    <x v="2"/>
    <d v="2014-12-31T00:00:00"/>
    <n v="1963874000"/>
    <n v="610943000"/>
    <n v="704880000"/>
    <n v="125286000"/>
    <n v="32057000"/>
    <x v="2"/>
    <x v="15"/>
    <n v="0.68890926810986852"/>
    <n v="1352931000"/>
    <n v="0.24986735401558349"/>
    <n v="490708000"/>
  </r>
  <r>
    <s v="AKAM"/>
    <n v="4"/>
    <x v="3"/>
    <d v="2015-12-31T00:00:00"/>
    <n v="2197448000"/>
    <n v="725620000"/>
    <n v="829253000"/>
    <n v="148591000"/>
    <n v="27067000"/>
    <x v="2"/>
    <x v="15"/>
    <n v="0.66978968330536148"/>
    <n v="1471828000"/>
    <n v="0.21248147851507748"/>
    <n v="466917000"/>
  </r>
  <r>
    <s v="ALB"/>
    <n v="1"/>
    <x v="0"/>
    <d v="2012-12-31T00:00:00"/>
    <n v="2519154000"/>
    <n v="1620311000"/>
    <n v="308456000"/>
    <n v="78919000"/>
    <n v="0"/>
    <x v="7"/>
    <x v="16"/>
    <n v="0.35680351419563872"/>
    <n v="898843000"/>
    <n v="0.20303165268975221"/>
    <n v="511468000"/>
  </r>
  <r>
    <s v="ALB"/>
    <n v="2"/>
    <x v="1"/>
    <d v="2013-12-31T00:00:00"/>
    <n v="2394270000"/>
    <n v="1543799000"/>
    <n v="158189000"/>
    <n v="82246000"/>
    <n v="0"/>
    <x v="7"/>
    <x v="16"/>
    <n v="0.35521098288831254"/>
    <n v="850471000"/>
    <n v="0.25478997773851736"/>
    <n v="610036000"/>
  </r>
  <r>
    <s v="ALB"/>
    <n v="3"/>
    <x v="2"/>
    <d v="2014-12-31T00:00:00"/>
    <n v="2445548000"/>
    <n v="1674700000"/>
    <n v="355135000"/>
    <n v="88310000"/>
    <n v="0"/>
    <x v="7"/>
    <x v="16"/>
    <n v="0.31520460853763654"/>
    <n v="770848000"/>
    <n v="0.13387715146053156"/>
    <n v="327403000"/>
  </r>
  <r>
    <s v="ALB"/>
    <n v="4"/>
    <x v="3"/>
    <d v="2015-12-31T00:00:00"/>
    <n v="3651335000"/>
    <n v="2454463000"/>
    <n v="512274000"/>
    <n v="102871000"/>
    <n v="0"/>
    <x v="7"/>
    <x v="16"/>
    <n v="0.32779024658104505"/>
    <n v="1196872000"/>
    <n v="0.15931898880820303"/>
    <n v="581727000"/>
  </r>
  <r>
    <s v="ALK"/>
    <n v="1"/>
    <x v="0"/>
    <d v="2012-12-31T00:00:00"/>
    <n v="4657000000"/>
    <n v="2319000000"/>
    <n v="1542000000"/>
    <n v="0"/>
    <n v="264000000"/>
    <x v="0"/>
    <x v="0"/>
    <n v="0.50203993987545625"/>
    <n v="2338000000"/>
    <n v="0.11423663302555292"/>
    <n v="532000000"/>
  </r>
  <r>
    <s v="ALK"/>
    <n v="2"/>
    <x v="1"/>
    <d v="2013-12-31T00:00:00"/>
    <n v="5156000000"/>
    <n v="2355000000"/>
    <n v="1693000000"/>
    <n v="0"/>
    <n v="270000000"/>
    <x v="0"/>
    <x v="0"/>
    <n v="0.54325058184639263"/>
    <n v="2801000000"/>
    <n v="0.16252909231962762"/>
    <n v="838000000"/>
  </r>
  <r>
    <s v="ALK"/>
    <n v="3"/>
    <x v="2"/>
    <d v="2014-12-31T00:00:00"/>
    <n v="5368000000"/>
    <n v="2325000000"/>
    <n v="1817000000"/>
    <n v="0"/>
    <n v="294000000"/>
    <x v="0"/>
    <x v="0"/>
    <n v="0.56687779433681074"/>
    <n v="3043000000"/>
    <n v="0.1736214605067064"/>
    <n v="932000000"/>
  </r>
  <r>
    <s v="ALK"/>
    <n v="4"/>
    <x v="3"/>
    <d v="2015-12-31T00:00:00"/>
    <n v="5598000000"/>
    <n v="1935000000"/>
    <n v="2013000000"/>
    <n v="0"/>
    <n v="320000000"/>
    <x v="0"/>
    <x v="0"/>
    <n v="0.65434083601286175"/>
    <n v="3663000000"/>
    <n v="0.2375848517327617"/>
    <n v="1330000000"/>
  </r>
  <r>
    <s v="BAC"/>
    <n v="1"/>
    <x v="0"/>
    <d v="2012-12-31T00:00:00"/>
    <n v="100078000000"/>
    <n v="3753000000"/>
    <n v="70829000000"/>
    <n v="0"/>
    <n v="9433000000"/>
    <x v="3"/>
    <x v="17"/>
    <n v="0.962499250584544"/>
    <n v="96325000000"/>
    <n v="0.16050480625112412"/>
    <n v="16063000000"/>
  </r>
  <r>
    <s v="BAC"/>
    <n v="2"/>
    <x v="1"/>
    <d v="2013-12-31T00:00:00"/>
    <n v="101697000000"/>
    <n v="3034000000"/>
    <n v="68128000000"/>
    <n v="0"/>
    <n v="4642000000"/>
    <x v="3"/>
    <x v="17"/>
    <n v="0.97016627825796242"/>
    <n v="98663000000"/>
    <n v="0.25460928050974957"/>
    <n v="25893000000"/>
  </r>
  <r>
    <s v="BAC"/>
    <n v="3"/>
    <x v="2"/>
    <d v="2014-12-31T00:00:00"/>
    <n v="95181000000"/>
    <n v="2656000000"/>
    <n v="74181000000"/>
    <n v="0"/>
    <n v="3211000000"/>
    <x v="3"/>
    <x v="17"/>
    <n v="0.97209527111503347"/>
    <n v="92525000000"/>
    <n v="0.15899181559344827"/>
    <n v="15133000000"/>
  </r>
  <r>
    <s v="BAC"/>
    <n v="4"/>
    <x v="3"/>
    <d v="2015-12-31T00:00:00"/>
    <n v="93056000000"/>
    <n v="2204000000"/>
    <n v="56358000000"/>
    <n v="0"/>
    <n v="3995000000"/>
    <x v="3"/>
    <x v="17"/>
    <n v="0.97631533700137552"/>
    <n v="90852000000"/>
    <n v="0.3277488823933975"/>
    <n v="30499000000"/>
  </r>
  <r>
    <s v="ALLE"/>
    <n v="1"/>
    <x v="1"/>
    <d v="2013-12-31T00:00:00"/>
    <n v="2069600000"/>
    <n v="1208100000"/>
    <n v="483100000"/>
    <n v="0"/>
    <n v="0"/>
    <x v="0"/>
    <x v="18"/>
    <n v="0.41626401236954003"/>
    <n v="861500000"/>
    <n v="0.1828372632392733"/>
    <n v="378400000"/>
  </r>
  <r>
    <s v="ALLE"/>
    <n v="2"/>
    <x v="2"/>
    <d v="2014-12-31T00:00:00"/>
    <n v="2118300000"/>
    <n v="1264600000"/>
    <n v="527400000"/>
    <n v="0"/>
    <n v="0"/>
    <x v="0"/>
    <x v="18"/>
    <n v="0.40301184912429777"/>
    <n v="853700000"/>
    <n v="0.15403861587121748"/>
    <n v="326300000"/>
  </r>
  <r>
    <s v="ALLE"/>
    <n v="3"/>
    <x v="3"/>
    <d v="2015-12-31T00:00:00"/>
    <n v="2068100000"/>
    <n v="1199000000"/>
    <n v="510500000"/>
    <n v="0"/>
    <n v="0"/>
    <x v="0"/>
    <x v="18"/>
    <n v="0.42024080073497416"/>
    <n v="869100000"/>
    <n v="0.17339587060587011"/>
    <n v="358600000"/>
  </r>
  <r>
    <s v="ALLE"/>
    <n v="4"/>
    <x v="4"/>
    <d v="2016-12-31T00:00:00"/>
    <n v="2238000000"/>
    <n v="1252700000"/>
    <n v="559800000"/>
    <n v="0"/>
    <n v="0"/>
    <x v="0"/>
    <x v="18"/>
    <n v="0.4402591599642538"/>
    <n v="985300000"/>
    <n v="0.19012511170688115"/>
    <n v="425500000"/>
  </r>
  <r>
    <s v="BBT"/>
    <n v="1"/>
    <x v="0"/>
    <d v="2012-12-31T00:00:00"/>
    <n v="10737000000"/>
    <n v="429000000"/>
    <n v="5650000000"/>
    <n v="0"/>
    <n v="1167000000"/>
    <x v="3"/>
    <x v="17"/>
    <n v="0.96004470522492313"/>
    <n v="10308000000"/>
    <n v="0.32513737543075349"/>
    <n v="3491000000"/>
  </r>
  <r>
    <s v="BBT"/>
    <n v="2"/>
    <x v="1"/>
    <d v="2013-12-31T00:00:00"/>
    <n v="10543000000"/>
    <n v="301000000"/>
    <n v="5625000000"/>
    <n v="0"/>
    <n v="698000000"/>
    <x v="3"/>
    <x v="17"/>
    <n v="0.97145025135160767"/>
    <n v="10242000000"/>
    <n v="0.37171583040880207"/>
    <n v="3919000000"/>
  </r>
  <r>
    <s v="BBT"/>
    <n v="3"/>
    <x v="2"/>
    <d v="2014-12-31T00:00:00"/>
    <n v="9998000000"/>
    <n v="239000000"/>
    <n v="5715000000"/>
    <n v="0"/>
    <n v="342000000"/>
    <x v="3"/>
    <x v="17"/>
    <n v="0.9760952190438088"/>
    <n v="9759000000"/>
    <n v="0.37027405481096221"/>
    <n v="3702000000"/>
  </r>
  <r>
    <s v="BBT"/>
    <n v="4"/>
    <x v="3"/>
    <d v="2015-12-31T00:00:00"/>
    <n v="10346000000"/>
    <n v="233000000"/>
    <n v="5996000000"/>
    <n v="0"/>
    <n v="533000000"/>
    <x v="3"/>
    <x v="17"/>
    <n v="0.9774792190218442"/>
    <n v="10113000000"/>
    <n v="0.34641407307171856"/>
    <n v="3584000000"/>
  </r>
  <r>
    <s v="AMAT"/>
    <n v="1"/>
    <x v="1"/>
    <d v="2013-10-27T00:00:00"/>
    <n v="7509000000"/>
    <n v="4518000000"/>
    <n v="898000000"/>
    <n v="1320000000"/>
    <n v="0"/>
    <x v="2"/>
    <x v="19"/>
    <n v="0.39832201358369956"/>
    <n v="2991000000"/>
    <n v="0.10294313490478094"/>
    <n v="773000000"/>
  </r>
  <r>
    <s v="AMAT"/>
    <n v="2"/>
    <x v="2"/>
    <d v="2014-10-26T00:00:00"/>
    <n v="9072000000"/>
    <n v="5229000000"/>
    <n v="895000000"/>
    <n v="1428000000"/>
    <n v="0"/>
    <x v="2"/>
    <x v="19"/>
    <n v="0.42361111111111116"/>
    <n v="3843000000"/>
    <n v="0.16754850088183421"/>
    <n v="1520000000"/>
  </r>
  <r>
    <s v="AMAT"/>
    <n v="3"/>
    <x v="3"/>
    <d v="2015-10-25T00:00:00"/>
    <n v="9659000000"/>
    <n v="5707000000"/>
    <n v="808000000"/>
    <n v="1451000000"/>
    <n v="0"/>
    <x v="2"/>
    <x v="19"/>
    <n v="0.40915208613728127"/>
    <n v="3952000000"/>
    <n v="0.17527694378300032"/>
    <n v="1693000000"/>
  </r>
  <r>
    <s v="AMAT"/>
    <n v="4"/>
    <x v="4"/>
    <d v="2016-10-30T00:00:00"/>
    <n v="10825000000"/>
    <n v="6314000000"/>
    <n v="819000000"/>
    <n v="1540000000"/>
    <n v="0"/>
    <x v="2"/>
    <x v="19"/>
    <n v="0.41672055427251731"/>
    <n v="4511000000"/>
    <n v="0.19879907621247114"/>
    <n v="2152000000"/>
  </r>
  <r>
    <s v="AME"/>
    <n v="1"/>
    <x v="0"/>
    <d v="2012-12-31T00:00:00"/>
    <n v="3334213000"/>
    <n v="2154132000"/>
    <n v="380532000"/>
    <n v="0"/>
    <n v="53677000"/>
    <x v="0"/>
    <x v="20"/>
    <n v="0.35393089763611385"/>
    <n v="1180081000"/>
    <n v="0.22370256489312471"/>
    <n v="745872000"/>
  </r>
  <r>
    <s v="AME"/>
    <n v="2"/>
    <x v="1"/>
    <d v="2013-12-31T00:00:00"/>
    <n v="3594136000"/>
    <n v="2323642000"/>
    <n v="398177000"/>
    <n v="0"/>
    <n v="57238000"/>
    <x v="0"/>
    <x v="20"/>
    <n v="0.35349079723193555"/>
    <n v="1270494000"/>
    <n v="0.22678023313530707"/>
    <n v="815079000"/>
  </r>
  <r>
    <s v="AME"/>
    <n v="3"/>
    <x v="2"/>
    <d v="2014-12-31T00:00:00"/>
    <n v="4021964000"/>
    <n v="2597017000"/>
    <n v="462637000"/>
    <n v="0"/>
    <n v="63724000"/>
    <x v="0"/>
    <x v="20"/>
    <n v="0.35429133627252751"/>
    <n v="1424947000"/>
    <n v="0.22341970241404449"/>
    <n v="898586000"/>
  </r>
  <r>
    <s v="AME"/>
    <n v="4"/>
    <x v="3"/>
    <d v="2015-12-31T00:00:00"/>
    <n v="3974295000"/>
    <n v="2549280000"/>
    <n v="448592000"/>
    <n v="0"/>
    <n v="68707000"/>
    <x v="0"/>
    <x v="20"/>
    <n v="0.35855793291640403"/>
    <n v="1425015000"/>
    <n v="0.22839673451517817"/>
    <n v="907716000"/>
  </r>
  <r>
    <s v="CB"/>
    <n v="1"/>
    <x v="0"/>
    <d v="2012-12-31T00:00:00"/>
    <n v="17936000000"/>
    <n v="12620000000"/>
    <n v="2096000000"/>
    <n v="0"/>
    <n v="-6000000"/>
    <x v="3"/>
    <x v="4"/>
    <n v="0.29638715432649421"/>
    <n v="5316000000"/>
    <n v="0.17986173059768065"/>
    <n v="3226000000"/>
  </r>
  <r>
    <s v="CB"/>
    <n v="2"/>
    <x v="1"/>
    <d v="2013-12-31T00:00:00"/>
    <n v="19261000000"/>
    <n v="12522000000"/>
    <n v="2211000000"/>
    <n v="0"/>
    <n v="15000000"/>
    <x v="3"/>
    <x v="4"/>
    <n v="0.34987799179689527"/>
    <n v="6739000000"/>
    <n v="0.2343076683453611"/>
    <n v="4513000000"/>
  </r>
  <r>
    <s v="CB"/>
    <n v="3"/>
    <x v="2"/>
    <d v="2014-12-31T00:00:00"/>
    <n v="19171000000"/>
    <n v="13241000000"/>
    <n v="2245000000"/>
    <n v="0"/>
    <n v="-82000000"/>
    <x v="3"/>
    <x v="4"/>
    <n v="0.30932137082051014"/>
    <n v="5930000000"/>
    <n v="0.19649470554483334"/>
    <n v="3767000000"/>
  </r>
  <r>
    <s v="CB"/>
    <n v="4"/>
    <x v="3"/>
    <d v="2015-12-31T00:00:00"/>
    <n v="18987000000"/>
    <n v="12968000000"/>
    <n v="2270000000"/>
    <n v="0"/>
    <n v="120000000"/>
    <x v="3"/>
    <x v="4"/>
    <n v="0.31700637278137678"/>
    <n v="6019000000"/>
    <n v="0.1911307736872597"/>
    <n v="3629000000"/>
  </r>
  <r>
    <s v="CFG"/>
    <n v="1"/>
    <x v="0"/>
    <d v="2012-12-31T00:00:00"/>
    <n v="5513000000"/>
    <n v="375000000"/>
    <n v="3380000000"/>
    <n v="0"/>
    <n v="490000000"/>
    <x v="3"/>
    <x v="21"/>
    <n v="0.93197895882459636"/>
    <n v="5138000000"/>
    <n v="0.23000181389443133"/>
    <n v="1268000000"/>
  </r>
  <r>
    <s v="CFG"/>
    <n v="2"/>
    <x v="1"/>
    <d v="2013-12-31T00:00:00"/>
    <n v="5133000000"/>
    <n v="216000000"/>
    <n v="3142000000"/>
    <n v="0"/>
    <n v="581000000"/>
    <x v="3"/>
    <x v="21"/>
    <n v="0.95791934541203971"/>
    <n v="4917000000"/>
    <n v="0.23261250730566921"/>
    <n v="1194000000"/>
  </r>
  <r>
    <s v="CFG"/>
    <n v="3"/>
    <x v="2"/>
    <d v="2014-12-31T00:00:00"/>
    <n v="5342000000"/>
    <n v="160000000"/>
    <n v="3247000000"/>
    <n v="0"/>
    <n v="464000000"/>
    <x v="3"/>
    <x v="21"/>
    <n v="0.97004867090977165"/>
    <n v="5182000000"/>
    <n v="0.27536503182328714"/>
    <n v="1471000000"/>
  </r>
  <r>
    <s v="CFG"/>
    <n v="4"/>
    <x v="3"/>
    <d v="2015-12-31T00:00:00"/>
    <n v="5276000000"/>
    <n v="237000000"/>
    <n v="3113000000"/>
    <n v="0"/>
    <n v="448000000"/>
    <x v="3"/>
    <x v="21"/>
    <n v="0.95507960576194084"/>
    <n v="5039000000"/>
    <n v="0.28013646702047007"/>
    <n v="1478000000"/>
  </r>
  <r>
    <s v="AMT"/>
    <n v="1"/>
    <x v="0"/>
    <d v="2012-12-31T00:00:00"/>
    <n v="2875960000"/>
    <n v="722479000"/>
    <n v="389486000"/>
    <n v="0"/>
    <n v="644276000"/>
    <x v="6"/>
    <x v="22"/>
    <n v="0.74878683987259909"/>
    <n v="2153481000"/>
    <n v="0.38933747340018637"/>
    <n v="1119719000"/>
  </r>
  <r>
    <s v="AMT"/>
    <n v="2"/>
    <x v="1"/>
    <d v="2013-12-31T00:00:00"/>
    <n v="3361407000"/>
    <n v="859873000"/>
    <n v="487084000"/>
    <n v="0"/>
    <n v="800145000"/>
    <x v="6"/>
    <x v="22"/>
    <n v="0.74419253604219904"/>
    <n v="2501534000"/>
    <n v="0.36124902459000058"/>
    <n v="1214305000"/>
  </r>
  <r>
    <s v="AMT"/>
    <n v="3"/>
    <x v="2"/>
    <d v="2014-12-31T00:00:00"/>
    <n v="4100048000"/>
    <n v="1094265000"/>
    <n v="515059000"/>
    <n v="0"/>
    <n v="1003802000"/>
    <x v="6"/>
    <x v="22"/>
    <n v="0.73310922213593599"/>
    <n v="3005783000"/>
    <n v="0.36265965666743416"/>
    <n v="1486922000"/>
  </r>
  <r>
    <s v="AMT"/>
    <n v="4"/>
    <x v="3"/>
    <d v="2015-12-31T00:00:00"/>
    <n v="4771516000"/>
    <n v="1308868000"/>
    <n v="564531000"/>
    <n v="0"/>
    <n v="1285328000"/>
    <x v="6"/>
    <x v="22"/>
    <n v="0.72569137355926294"/>
    <n v="3462648000"/>
    <n v="0.33800347730155361"/>
    <n v="1612789000"/>
  </r>
  <r>
    <s v="AMZN"/>
    <n v="1"/>
    <x v="1"/>
    <d v="2013-12-31T00:00:00"/>
    <n v="74452000000"/>
    <n v="54181000000"/>
    <n v="19526000000"/>
    <n v="0"/>
    <n v="0"/>
    <x v="1"/>
    <x v="23"/>
    <n v="0.27226938161500025"/>
    <n v="20271000000"/>
    <n v="1.0006447106860796E-2"/>
    <n v="745000000"/>
  </r>
  <r>
    <s v="AMZN"/>
    <n v="2"/>
    <x v="2"/>
    <d v="2014-12-31T00:00:00"/>
    <n v="88988000000"/>
    <n v="62752000000"/>
    <n v="26058000000"/>
    <n v="0"/>
    <n v="0"/>
    <x v="1"/>
    <x v="23"/>
    <n v="0.29482626871038786"/>
    <n v="26236000000"/>
    <n v="2.000269699285297E-3"/>
    <n v="178000000"/>
  </r>
  <r>
    <s v="AMZN"/>
    <n v="3"/>
    <x v="3"/>
    <d v="2015-12-31T00:00:00"/>
    <n v="107006000000"/>
    <n v="71651000000"/>
    <n v="33122000000"/>
    <n v="0"/>
    <n v="0"/>
    <x v="1"/>
    <x v="23"/>
    <n v="0.33040203353083009"/>
    <n v="35355000000"/>
    <n v="2.0867988710913405E-2"/>
    <n v="2233000000"/>
  </r>
  <r>
    <s v="AMZN"/>
    <n v="4"/>
    <x v="4"/>
    <d v="2016-12-31T00:00:00"/>
    <n v="135987000000"/>
    <n v="88265000000"/>
    <n v="43536000000"/>
    <n v="0"/>
    <n v="0"/>
    <x v="1"/>
    <x v="23"/>
    <n v="0.35093060366064399"/>
    <n v="47722000000"/>
    <n v="3.0782354195621642E-2"/>
    <n v="4186000000"/>
  </r>
  <r>
    <s v="AN"/>
    <n v="1"/>
    <x v="1"/>
    <d v="2013-12-31T00:00:00"/>
    <n v="17517600000"/>
    <n v="14757700000"/>
    <n v="1924300000"/>
    <n v="0"/>
    <n v="95300000"/>
    <x v="1"/>
    <x v="24"/>
    <n v="0.15755012102114441"/>
    <n v="2759900000"/>
    <n v="4.2260355299812757E-2"/>
    <n v="740300000"/>
  </r>
  <r>
    <s v="AN"/>
    <n v="2"/>
    <x v="2"/>
    <d v="2014-12-31T00:00:00"/>
    <n v="19108800000"/>
    <n v="16120100000"/>
    <n v="2061000000"/>
    <n v="0"/>
    <n v="106900000"/>
    <x v="1"/>
    <x v="24"/>
    <n v="0.15640437913422089"/>
    <n v="2988700000"/>
    <n v="4.2954031650339113E-2"/>
    <n v="820800000"/>
  </r>
  <r>
    <s v="AN"/>
    <n v="3"/>
    <x v="3"/>
    <d v="2015-12-31T00:00:00"/>
    <n v="20862000000"/>
    <n v="17600500000"/>
    <n v="2245600000"/>
    <n v="0"/>
    <n v="127400000"/>
    <x v="1"/>
    <x v="24"/>
    <n v="0.15633688045249738"/>
    <n v="3261500000"/>
    <n v="4.2589396989742116E-2"/>
    <n v="888500000"/>
  </r>
  <r>
    <s v="AN"/>
    <n v="4"/>
    <x v="4"/>
    <d v="2016-12-31T00:00:00"/>
    <n v="21609000000"/>
    <n v="18295800000"/>
    <n v="2280300000"/>
    <n v="0"/>
    <n v="143400000"/>
    <x v="1"/>
    <x v="24"/>
    <n v="0.15332500347077604"/>
    <n v="3313200000"/>
    <n v="4.1163404137165072E-2"/>
    <n v="889500000"/>
  </r>
  <r>
    <s v="CINF"/>
    <n v="1"/>
    <x v="0"/>
    <d v="2012-12-31T00:00:00"/>
    <n v="4111000000"/>
    <n v="3477000000"/>
    <n v="0"/>
    <n v="0"/>
    <n v="14000000"/>
    <x v="3"/>
    <x v="4"/>
    <n v="0.15422038433471175"/>
    <n v="634000000"/>
    <n v="0.15081488688883482"/>
    <n v="620000000"/>
  </r>
  <r>
    <s v="CINF"/>
    <n v="2"/>
    <x v="1"/>
    <d v="2013-12-31T00:00:00"/>
    <n v="4531000000"/>
    <n v="3748000000"/>
    <n v="0"/>
    <n v="0"/>
    <n v="15000000"/>
    <x v="3"/>
    <x v="4"/>
    <n v="0.17280953431913482"/>
    <n v="783000000"/>
    <n v="0.16949900684175678"/>
    <n v="768000000"/>
  </r>
  <r>
    <s v="CINF"/>
    <n v="3"/>
    <x v="2"/>
    <d v="2014-12-31T00:00:00"/>
    <n v="4945000000"/>
    <n v="4157000000"/>
    <n v="0"/>
    <n v="0"/>
    <n v="14000000"/>
    <x v="3"/>
    <x v="4"/>
    <n v="0.15935288169868556"/>
    <n v="788000000"/>
    <n v="0.15652173913043479"/>
    <n v="774000000"/>
  </r>
  <r>
    <s v="CINF"/>
    <n v="4"/>
    <x v="3"/>
    <d v="2015-12-31T00:00:00"/>
    <n v="5142000000"/>
    <n v="4195000000"/>
    <n v="0"/>
    <n v="0"/>
    <n v="13000000"/>
    <x v="3"/>
    <x v="4"/>
    <n v="0.18416958381952553"/>
    <n v="947000000"/>
    <n v="0.18164138467522364"/>
    <n v="934000000"/>
  </r>
  <r>
    <s v="APA"/>
    <n v="1"/>
    <x v="0"/>
    <d v="2012-12-31T00:00:00"/>
    <n v="16428000000"/>
    <n v="3079000000"/>
    <n v="1333000000"/>
    <n v="0"/>
    <n v="6881000000"/>
    <x v="8"/>
    <x v="25"/>
    <n v="0.81257608960311667"/>
    <n v="13349000000"/>
    <n v="0.31257608960311661"/>
    <n v="5135000000"/>
  </r>
  <r>
    <s v="APA"/>
    <n v="2"/>
    <x v="1"/>
    <d v="2013-12-31T00:00:00"/>
    <n v="14771000000"/>
    <n v="2938000000"/>
    <n v="1286000000"/>
    <n v="0"/>
    <n v="5866000000"/>
    <x v="8"/>
    <x v="25"/>
    <n v="0.80109674361925398"/>
    <n v="11833000000"/>
    <n v="0.31690474578566108"/>
    <n v="4681000000"/>
  </r>
  <r>
    <s v="APA"/>
    <n v="3"/>
    <x v="2"/>
    <d v="2014-12-31T00:00:00"/>
    <n v="12691000000"/>
    <n v="2511000000"/>
    <n v="1095000000"/>
    <n v="0"/>
    <n v="9720000000"/>
    <x v="8"/>
    <x v="25"/>
    <n v="0.80214325112284302"/>
    <n v="10180000000"/>
    <n v="-5.0035458198723508E-2"/>
    <n v="-635000000"/>
  </r>
  <r>
    <s v="APA"/>
    <n v="4"/>
    <x v="3"/>
    <d v="2015-12-31T00:00:00"/>
    <n v="6383000000"/>
    <n v="2065000000"/>
    <n v="791000000"/>
    <n v="0"/>
    <n v="29372000000"/>
    <x v="8"/>
    <x v="25"/>
    <n v="0.67648441171862761"/>
    <n v="4318000000"/>
    <n v="-4.0490365032116555"/>
    <n v="-25845000000"/>
  </r>
  <r>
    <s v="APC"/>
    <n v="1"/>
    <x v="1"/>
    <d v="2013-12-31T00:00:00"/>
    <n v="14581000000"/>
    <n v="2942000000"/>
    <n v="2256000000"/>
    <n v="0"/>
    <n v="3927000000"/>
    <x v="8"/>
    <x v="25"/>
    <n v="0.79823057403470266"/>
    <n v="11639000000"/>
    <n v="0.37418558397915097"/>
    <n v="5456000000"/>
  </r>
  <r>
    <s v="APC"/>
    <n v="2"/>
    <x v="2"/>
    <d v="2014-12-31T00:00:00"/>
    <n v="18470000000"/>
    <n v="3317000000"/>
    <n v="2725000000"/>
    <n v="0"/>
    <n v="4550000000"/>
    <x v="8"/>
    <x v="25"/>
    <n v="0.8204114780725501"/>
    <n v="15153000000"/>
    <n v="0.42652950730914996"/>
    <n v="7878000000"/>
  </r>
  <r>
    <s v="APC"/>
    <n v="3"/>
    <x v="3"/>
    <d v="2015-12-31T00:00:00"/>
    <n v="8698000000"/>
    <n v="3185000000"/>
    <n v="2000000000"/>
    <n v="0"/>
    <n v="4603000000"/>
    <x v="8"/>
    <x v="25"/>
    <n v="0.63382386755575992"/>
    <n v="5513000000"/>
    <n v="-0.1253161646355484"/>
    <n v="-1090000000"/>
  </r>
  <r>
    <s v="APC"/>
    <n v="4"/>
    <x v="4"/>
    <d v="2016-12-31T00:00:00"/>
    <n v="7869000000"/>
    <n v="2900000000"/>
    <n v="2094000000"/>
    <n v="0"/>
    <n v="4301000000"/>
    <x v="8"/>
    <x v="25"/>
    <n v="0.6314652433600203"/>
    <n v="4969000000"/>
    <n v="-0.18121743550641758"/>
    <n v="-1426000000"/>
  </r>
  <r>
    <s v="APD"/>
    <n v="1"/>
    <x v="1"/>
    <d v="2013-09-30T00:00:00"/>
    <n v="10180400000"/>
    <n v="7472100000"/>
    <n v="1018600000"/>
    <n v="133700000"/>
    <n v="0"/>
    <x v="7"/>
    <x v="26"/>
    <n v="0.26603080429059767"/>
    <n v="2708300000"/>
    <n v="0.152842717378492"/>
    <n v="1556000000"/>
  </r>
  <r>
    <s v="APD"/>
    <n v="2"/>
    <x v="2"/>
    <d v="2014-09-30T00:00:00"/>
    <n v="10439000000"/>
    <n v="7629900000"/>
    <n v="1007400000"/>
    <n v="139800000"/>
    <n v="0"/>
    <x v="7"/>
    <x v="26"/>
    <n v="0.26909665676788963"/>
    <n v="2809100000"/>
    <n v="0.15920107289970303"/>
    <n v="1661900000"/>
  </r>
  <r>
    <s v="APD"/>
    <n v="3"/>
    <x v="3"/>
    <d v="2015-09-30T00:00:00"/>
    <n v="9894900000"/>
    <n v="6939000000"/>
    <n v="895300000"/>
    <n v="137100000"/>
    <n v="0"/>
    <x v="7"/>
    <x v="26"/>
    <n v="0.29872964860685813"/>
    <n v="2955900000"/>
    <n v="0.19439307117808163"/>
    <n v="1923500000"/>
  </r>
  <r>
    <s v="APD"/>
    <n v="4"/>
    <x v="4"/>
    <d v="2016-09-30T00:00:00"/>
    <n v="9524400000"/>
    <n v="6402700000"/>
    <n v="797600000"/>
    <n v="132000000"/>
    <n v="0"/>
    <x v="7"/>
    <x v="26"/>
    <n v="0.32775817899290249"/>
    <n v="3121700000"/>
    <n v="0.23015623031372054"/>
    <n v="2192100000"/>
  </r>
  <r>
    <s v="APH"/>
    <n v="1"/>
    <x v="0"/>
    <d v="2012-12-31T00:00:00"/>
    <n v="4292100000"/>
    <n v="2948900000"/>
    <n v="512900000"/>
    <n v="0"/>
    <n v="0"/>
    <x v="2"/>
    <x v="27"/>
    <n v="0.31294704224039516"/>
    <n v="1343200000"/>
    <n v="0.19344842850818947"/>
    <n v="830300000"/>
  </r>
  <r>
    <s v="APH"/>
    <n v="2"/>
    <x v="1"/>
    <d v="2013-12-31T00:00:00"/>
    <n v="4614700000"/>
    <n v="3163900000"/>
    <n v="548000000"/>
    <n v="0"/>
    <n v="0"/>
    <x v="2"/>
    <x v="27"/>
    <n v="0.31438663401737921"/>
    <n v="1450800000"/>
    <n v="0.19563568596008407"/>
    <n v="902800000"/>
  </r>
  <r>
    <s v="APH"/>
    <n v="3"/>
    <x v="2"/>
    <d v="2014-12-31T00:00:00"/>
    <n v="5345500000"/>
    <n v="3651700000"/>
    <n v="645100000"/>
    <n v="0"/>
    <n v="0"/>
    <x v="2"/>
    <x v="27"/>
    <n v="0.31686465251145823"/>
    <n v="1693800000"/>
    <n v="0.19618370592086801"/>
    <n v="1048700000"/>
  </r>
  <r>
    <s v="APH"/>
    <n v="4"/>
    <x v="3"/>
    <d v="2015-12-31T00:00:00"/>
    <n v="5568700000"/>
    <n v="3789200000"/>
    <n v="669100000"/>
    <n v="0"/>
    <n v="0"/>
    <x v="2"/>
    <x v="27"/>
    <n v="0.31955393538886989"/>
    <n v="1779500000"/>
    <n v="0.19940021908165281"/>
    <n v="1110400000"/>
  </r>
  <r>
    <s v="ARNC"/>
    <n v="1"/>
    <x v="0"/>
    <d v="2012-12-31T00:00:00"/>
    <n v="23700000000"/>
    <n v="20401000000"/>
    <n v="997000000"/>
    <n v="197000000"/>
    <n v="1460000000"/>
    <x v="0"/>
    <x v="28"/>
    <n v="0.13919831223628687"/>
    <n v="3299000000"/>
    <n v="2.7215189873417721E-2"/>
    <n v="645000000"/>
  </r>
  <r>
    <s v="ARNC"/>
    <n v="2"/>
    <x v="1"/>
    <d v="2013-12-31T00:00:00"/>
    <n v="23032000000"/>
    <n v="19286000000"/>
    <n v="1008000000"/>
    <n v="192000000"/>
    <n v="1421000000"/>
    <x v="0"/>
    <x v="28"/>
    <n v="0.16264327891629038"/>
    <n v="3746000000"/>
    <n v="4.8845085098992706E-2"/>
    <n v="1125000000"/>
  </r>
  <r>
    <s v="ARNC"/>
    <n v="3"/>
    <x v="2"/>
    <d v="2014-12-31T00:00:00"/>
    <n v="23906000000"/>
    <n v="19137000000"/>
    <n v="995000000"/>
    <n v="218000000"/>
    <n v="1371000000"/>
    <x v="0"/>
    <x v="28"/>
    <n v="0.1994896678658078"/>
    <n v="4769000000"/>
    <n v="9.1399648623776461E-2"/>
    <n v="2185000000"/>
  </r>
  <r>
    <s v="ARNC"/>
    <n v="4"/>
    <x v="3"/>
    <d v="2015-12-31T00:00:00"/>
    <n v="22534000000"/>
    <n v="18069000000"/>
    <n v="979000000"/>
    <n v="238000000"/>
    <n v="1280000000"/>
    <x v="0"/>
    <x v="28"/>
    <n v="0.19814502529510958"/>
    <n v="4465000000"/>
    <n v="8.7334694239815394E-2"/>
    <n v="1968000000"/>
  </r>
  <r>
    <s v="ATVI"/>
    <n v="1"/>
    <x v="0"/>
    <d v="2012-12-31T00:00:00"/>
    <n v="4856000000"/>
    <n v="1662000000"/>
    <n v="1139000000"/>
    <n v="604000000"/>
    <n v="0"/>
    <x v="2"/>
    <x v="29"/>
    <n v="0.65774299835255357"/>
    <n v="3194000000"/>
    <n v="0.29880560131795719"/>
    <n v="1451000000"/>
  </r>
  <r>
    <s v="ATVI"/>
    <n v="2"/>
    <x v="1"/>
    <d v="2013-12-31T00:00:00"/>
    <n v="4583000000"/>
    <n v="1531000000"/>
    <n v="1096000000"/>
    <n v="584000000"/>
    <n v="0"/>
    <x v="2"/>
    <x v="29"/>
    <n v="0.66593934104298502"/>
    <n v="3052000000"/>
    <n v="0.29936722670739691"/>
    <n v="1372000000"/>
  </r>
  <r>
    <s v="ATVI"/>
    <n v="3"/>
    <x v="2"/>
    <d v="2014-12-31T00:00:00"/>
    <n v="4408000000"/>
    <n v="1525000000"/>
    <n v="1129000000"/>
    <n v="571000000"/>
    <n v="0"/>
    <x v="2"/>
    <x v="29"/>
    <n v="0.65403811252268595"/>
    <n v="2883000000"/>
    <n v="0.26837568058076228"/>
    <n v="1183000000"/>
  </r>
  <r>
    <s v="ATVI"/>
    <n v="4"/>
    <x v="3"/>
    <d v="2015-12-31T00:00:00"/>
    <n v="4664000000"/>
    <n v="1585000000"/>
    <n v="1114000000"/>
    <n v="646000000"/>
    <n v="0"/>
    <x v="2"/>
    <x v="29"/>
    <n v="0.66016295025728988"/>
    <n v="3079000000"/>
    <n v="0.28280445969125212"/>
    <n v="1319000000"/>
  </r>
  <r>
    <s v="AVGO"/>
    <n v="1"/>
    <x v="3"/>
    <d v="2015-11-01T00:00:00"/>
    <n v="6824000000"/>
    <n v="3271000000"/>
    <n v="486000000"/>
    <n v="1049000000"/>
    <n v="249000000"/>
    <x v="2"/>
    <x v="7"/>
    <n v="0.52066236811254396"/>
    <n v="3553000000"/>
    <n v="0.25923212192262601"/>
    <n v="1769000000"/>
  </r>
  <r>
    <s v="AVGO"/>
    <n v="2"/>
    <x v="4"/>
    <d v="2016-10-30T00:00:00"/>
    <n v="13240000000"/>
    <n v="7300000000"/>
    <n v="806000000"/>
    <n v="2674000000"/>
    <n v="1873000000"/>
    <x v="2"/>
    <x v="7"/>
    <n v="0.44864048338368578"/>
    <n v="5940000000"/>
    <n v="4.4335347432024171E-2"/>
    <n v="587000000"/>
  </r>
  <r>
    <s v="AVY"/>
    <n v="1"/>
    <x v="0"/>
    <d v="2012-12-31T00:00:00"/>
    <n v="5863500000"/>
    <n v="4335300000"/>
    <n v="1148900000"/>
    <n v="0"/>
    <n v="0"/>
    <x v="7"/>
    <x v="30"/>
    <n v="0.26062931696085956"/>
    <n v="1528200000"/>
    <n v="6.4688326085102749E-2"/>
    <n v="379300000"/>
  </r>
  <r>
    <s v="AVY"/>
    <n v="2"/>
    <x v="1"/>
    <d v="2013-12-28T00:00:00"/>
    <n v="6140000000"/>
    <n v="4502300000"/>
    <n v="1174200000"/>
    <n v="0"/>
    <n v="0"/>
    <x v="7"/>
    <x v="30"/>
    <n v="0.26672638436482088"/>
    <n v="1637700000"/>
    <n v="7.5488599348534205E-2"/>
    <n v="463500000"/>
  </r>
  <r>
    <s v="AVY"/>
    <n v="3"/>
    <x v="3"/>
    <d v="2015-01-03T00:00:00"/>
    <n v="6330300000"/>
    <n v="4679100000"/>
    <n v="1158900000"/>
    <n v="0"/>
    <n v="0"/>
    <x v="7"/>
    <x v="30"/>
    <n v="0.26084071844936263"/>
    <n v="1651200000"/>
    <n v="7.7768826121984741E-2"/>
    <n v="492300000"/>
  </r>
  <r>
    <s v="AVY"/>
    <n v="4"/>
    <x v="4"/>
    <d v="2016-01-02T00:00:00"/>
    <n v="5966900000"/>
    <n v="4321100000"/>
    <n v="1108100000"/>
    <n v="0"/>
    <n v="0"/>
    <x v="7"/>
    <x v="30"/>
    <n v="0.27582161591446142"/>
    <n v="1645800000"/>
    <n v="9.0113794432619951E-2"/>
    <n v="537700000"/>
  </r>
  <r>
    <s v="AWK"/>
    <n v="1"/>
    <x v="0"/>
    <d v="2012-12-31T00:00:00"/>
    <n v="2853926000"/>
    <n v="1329500000"/>
    <n v="220758000"/>
    <n v="0"/>
    <n v="380402000"/>
    <x v="5"/>
    <x v="31"/>
    <n v="0.53415050004800402"/>
    <n v="1524426000"/>
    <n v="0.32350733691062766"/>
    <n v="923266000"/>
  </r>
  <r>
    <s v="AWK"/>
    <n v="2"/>
    <x v="1"/>
    <d v="2013-12-31T00:00:00"/>
    <n v="2879000000"/>
    <n v="1289000000"/>
    <n v="234000000"/>
    <n v="0"/>
    <n v="407000000"/>
    <x v="5"/>
    <x v="31"/>
    <n v="0.55227509551927745"/>
    <n v="1590000000"/>
    <n v="0.32962834317471346"/>
    <n v="949000000"/>
  </r>
  <r>
    <s v="AWK"/>
    <n v="3"/>
    <x v="2"/>
    <d v="2014-12-31T00:00:00"/>
    <n v="3011000000"/>
    <n v="1350000000"/>
    <n v="236000000"/>
    <n v="0"/>
    <n v="424000000"/>
    <x v="5"/>
    <x v="31"/>
    <n v="0.55164397210229166"/>
    <n v="1661000000"/>
    <n v="0.33244769179674527"/>
    <n v="1001000000"/>
  </r>
  <r>
    <s v="AWK"/>
    <n v="4"/>
    <x v="3"/>
    <d v="2015-12-31T00:00:00"/>
    <n v="3159000000"/>
    <n v="1404000000"/>
    <n v="243000000"/>
    <n v="0"/>
    <n v="440000000"/>
    <x v="5"/>
    <x v="31"/>
    <n v="0.55555555555555558"/>
    <n v="1755000000"/>
    <n v="0.33934789490345046"/>
    <n v="1072000000"/>
  </r>
  <r>
    <s v="CMA"/>
    <n v="1"/>
    <x v="1"/>
    <d v="2013-12-31T00:00:00"/>
    <n v="2666000000"/>
    <n v="55000000"/>
    <n v="1670000000"/>
    <n v="0"/>
    <n v="46000000"/>
    <x v="3"/>
    <x v="21"/>
    <n v="0.9793698424606152"/>
    <n v="2611000000"/>
    <n v="0.33570892723180795"/>
    <n v="895000000"/>
  </r>
  <r>
    <s v="CMA"/>
    <n v="2"/>
    <x v="2"/>
    <d v="2014-12-31T00:00:00"/>
    <n v="2607000000"/>
    <n v="45000000"/>
    <n v="1611000000"/>
    <n v="0"/>
    <n v="27000000"/>
    <x v="3"/>
    <x v="21"/>
    <n v="0.98273878020713468"/>
    <n v="2562000000"/>
    <n v="0.35443037974683544"/>
    <n v="924000000"/>
  </r>
  <r>
    <s v="CMA"/>
    <n v="3"/>
    <x v="3"/>
    <d v="2015-12-31T00:00:00"/>
    <n v="2819000000"/>
    <n v="43000000"/>
    <n v="1859000000"/>
    <n v="0"/>
    <n v="147000000"/>
    <x v="3"/>
    <x v="21"/>
    <n v="0.98474636395885062"/>
    <n v="2776000000"/>
    <n v="0.27314650585313943"/>
    <n v="770000000"/>
  </r>
  <r>
    <s v="CMA"/>
    <n v="4"/>
    <x v="4"/>
    <d v="2016-12-31T00:00:00"/>
    <n v="2960000000"/>
    <n v="40000000"/>
    <n v="1836000000"/>
    <n v="0"/>
    <n v="248000000"/>
    <x v="3"/>
    <x v="21"/>
    <n v="0.98648648648648651"/>
    <n v="2920000000"/>
    <n v="0.28243243243243243"/>
    <n v="836000000"/>
  </r>
  <r>
    <s v="AYI"/>
    <n v="1"/>
    <x v="1"/>
    <d v="2013-08-31T00:00:00"/>
    <n v="2089100000"/>
    <n v="1251500000"/>
    <n v="607600000"/>
    <n v="0"/>
    <n v="0"/>
    <x v="0"/>
    <x v="20"/>
    <n v="0.40093820305394667"/>
    <n v="837600000"/>
    <n v="0.11009525633047725"/>
    <n v="230000000"/>
  </r>
  <r>
    <s v="AYI"/>
    <n v="2"/>
    <x v="2"/>
    <d v="2014-08-31T00:00:00"/>
    <n v="2393500000"/>
    <n v="1414300000"/>
    <n v="680300000"/>
    <n v="0"/>
    <n v="0"/>
    <x v="0"/>
    <x v="20"/>
    <n v="0.4091080008355964"/>
    <n v="979200000"/>
    <n v="0.12487988301650303"/>
    <n v="298900000"/>
  </r>
  <r>
    <s v="AYI"/>
    <n v="3"/>
    <x v="3"/>
    <d v="2015-08-31T00:00:00"/>
    <n v="2706700000"/>
    <n v="1561100000"/>
    <n v="756900000"/>
    <n v="0"/>
    <n v="0"/>
    <x v="0"/>
    <x v="20"/>
    <n v="0.42324601913769533"/>
    <n v="1145600000"/>
    <n v="0.14360660582997747"/>
    <n v="388700000"/>
  </r>
  <r>
    <s v="AYI"/>
    <n v="4"/>
    <x v="4"/>
    <d v="2016-08-31T00:00:00"/>
    <n v="3291300000"/>
    <n v="1855100000"/>
    <n v="946000000"/>
    <n v="0"/>
    <n v="0"/>
    <x v="0"/>
    <x v="20"/>
    <n v="0.43636253152249871"/>
    <n v="1436200000"/>
    <n v="0.14893810956157141"/>
    <n v="490200000"/>
  </r>
  <r>
    <s v="AZO"/>
    <n v="1"/>
    <x v="1"/>
    <d v="2013-08-31T00:00:00"/>
    <n v="9147530000"/>
    <n v="4406595000"/>
    <n v="2967837000"/>
    <n v="0"/>
    <n v="0"/>
    <x v="1"/>
    <x v="24"/>
    <n v="0.51827487857377896"/>
    <n v="4740935000"/>
    <n v="0.19383352664599077"/>
    <n v="1773098000"/>
  </r>
  <r>
    <s v="AZO"/>
    <n v="2"/>
    <x v="2"/>
    <d v="2014-08-30T00:00:00"/>
    <n v="9475313000"/>
    <n v="4540406000"/>
    <n v="3104684000"/>
    <n v="0"/>
    <n v="0"/>
    <x v="1"/>
    <x v="24"/>
    <n v="0.52081730703777285"/>
    <n v="4934907000"/>
    <n v="0.19315699650238466"/>
    <n v="1830223000"/>
  </r>
  <r>
    <s v="AZO"/>
    <n v="3"/>
    <x v="3"/>
    <d v="2015-08-29T00:00:00"/>
    <n v="10187340000"/>
    <n v="4860309000"/>
    <n v="3373980000"/>
    <n v="0"/>
    <n v="0"/>
    <x v="1"/>
    <x v="24"/>
    <n v="0.52290696099276168"/>
    <n v="5327031000"/>
    <n v="0.19171353856845849"/>
    <n v="1953051000"/>
  </r>
  <r>
    <s v="AZO"/>
    <n v="4"/>
    <x v="4"/>
    <d v="2016-08-27T00:00:00"/>
    <n v="10635676000"/>
    <n v="5026940000"/>
    <n v="3548341000"/>
    <n v="0"/>
    <n v="0"/>
    <x v="1"/>
    <x v="24"/>
    <n v="0.5273511528557282"/>
    <n v="5608736000"/>
    <n v="0.19372487465770863"/>
    <n v="2060395000"/>
  </r>
  <r>
    <s v="BA"/>
    <n v="1"/>
    <x v="1"/>
    <d v="2013-12-31T00:00:00"/>
    <n v="86623000000"/>
    <n v="73268000000"/>
    <n v="3742000000"/>
    <n v="3071000000"/>
    <n v="0"/>
    <x v="0"/>
    <x v="28"/>
    <n v="0.15417383373930715"/>
    <n v="13355000000"/>
    <n v="7.5522667190007275E-2"/>
    <n v="6542000000"/>
  </r>
  <r>
    <s v="BA"/>
    <n v="2"/>
    <x v="2"/>
    <d v="2014-12-31T00:00:00"/>
    <n v="90762000000"/>
    <n v="76752000000"/>
    <n v="3480000000"/>
    <n v="3047000000"/>
    <n v="0"/>
    <x v="0"/>
    <x v="28"/>
    <n v="0.15435975408210489"/>
    <n v="14010000000"/>
    <n v="8.2446398272404756E-2"/>
    <n v="7483000000"/>
  </r>
  <r>
    <s v="BA"/>
    <n v="3"/>
    <x v="3"/>
    <d v="2015-12-31T00:00:00"/>
    <n v="96114000000"/>
    <n v="82088000000"/>
    <n v="3251000000"/>
    <n v="3331000000"/>
    <n v="0"/>
    <x v="0"/>
    <x v="28"/>
    <n v="0.14593087375408365"/>
    <n v="14026000000"/>
    <n v="7.7449695153671685E-2"/>
    <n v="7444000000"/>
  </r>
  <r>
    <s v="BA"/>
    <n v="4"/>
    <x v="4"/>
    <d v="2016-12-31T00:00:00"/>
    <n v="94571000000"/>
    <n v="80790000000"/>
    <n v="3313000000"/>
    <n v="4627000000"/>
    <n v="0"/>
    <x v="0"/>
    <x v="28"/>
    <n v="0.14572120417464129"/>
    <n v="13781000000"/>
    <n v="6.1763119772446098E-2"/>
    <n v="5841000000"/>
  </r>
  <r>
    <s v="COF"/>
    <n v="1"/>
    <x v="0"/>
    <d v="2012-12-31T00:00:00"/>
    <n v="23771000000"/>
    <n v="1403000000"/>
    <n v="11188000000"/>
    <n v="0"/>
    <n v="5024000000"/>
    <x v="3"/>
    <x v="14"/>
    <n v="0.94097850321820709"/>
    <n v="22368000000"/>
    <n v="0.25897101510243575"/>
    <n v="6156000000"/>
  </r>
  <r>
    <s v="COF"/>
    <n v="2"/>
    <x v="1"/>
    <d v="2013-12-31T00:00:00"/>
    <n v="24176000000"/>
    <n v="1241000000"/>
    <n v="11682000000"/>
    <n v="0"/>
    <n v="4124000000"/>
    <x v="3"/>
    <x v="14"/>
    <n v="0.948668100595632"/>
    <n v="22935000000"/>
    <n v="0.29487921906022502"/>
    <n v="7129000000"/>
  </r>
  <r>
    <s v="COF"/>
    <n v="3"/>
    <x v="2"/>
    <d v="2014-12-31T00:00:00"/>
    <n v="23869000000"/>
    <n v="1088000000"/>
    <n v="11648000000"/>
    <n v="0"/>
    <n v="4073000000"/>
    <x v="3"/>
    <x v="14"/>
    <n v="0.95441786417529018"/>
    <n v="22781000000"/>
    <n v="0.29578113871548872"/>
    <n v="7060000000"/>
  </r>
  <r>
    <s v="COF"/>
    <n v="4"/>
    <x v="3"/>
    <d v="2015-12-31T00:00:00"/>
    <n v="25038000000"/>
    <n v="1091000000"/>
    <n v="12566000000"/>
    <n v="0"/>
    <n v="4966000000"/>
    <x v="3"/>
    <x v="14"/>
    <n v="0.95642623212716671"/>
    <n v="23947000000"/>
    <n v="0.2562105599488777"/>
    <n v="6415000000"/>
  </r>
  <r>
    <s v="DFS"/>
    <n v="1"/>
    <x v="0"/>
    <d v="2012-11-30T00:00:00"/>
    <n v="8984000000"/>
    <n v="845000000"/>
    <n v="3052000000"/>
    <n v="0"/>
    <n v="848000000"/>
    <x v="3"/>
    <x v="14"/>
    <n v="0.90594390026714156"/>
    <n v="8139000000"/>
    <n v="0.47183882457702581"/>
    <n v="4239000000"/>
  </r>
  <r>
    <s v="DFS"/>
    <n v="2"/>
    <x v="1"/>
    <d v="2013-12-31T00:00:00"/>
    <n v="9370000000"/>
    <n v="698000000"/>
    <n v="3194000000"/>
    <n v="0"/>
    <n v="1086000000"/>
    <x v="3"/>
    <x v="14"/>
    <n v="0.92550693703308429"/>
    <n v="8672000000"/>
    <n v="0.46872998932764143"/>
    <n v="4392000000"/>
  </r>
  <r>
    <s v="DFS"/>
    <n v="3"/>
    <x v="2"/>
    <d v="2014-12-31T00:00:00"/>
    <n v="9611000000"/>
    <n v="614000000"/>
    <n v="3340000000"/>
    <n v="0"/>
    <n v="1443000000"/>
    <x v="3"/>
    <x v="14"/>
    <n v="0.93611486837998126"/>
    <n v="8997000000"/>
    <n v="0.43845593590677351"/>
    <n v="4214000000"/>
  </r>
  <r>
    <s v="DFS"/>
    <n v="4"/>
    <x v="3"/>
    <d v="2015-12-31T00:00:00"/>
    <n v="10002000000"/>
    <n v="623000000"/>
    <n v="3615000000"/>
    <n v="0"/>
    <n v="1512000000"/>
    <x v="3"/>
    <x v="14"/>
    <n v="0.9377124575084983"/>
    <n v="9379000000"/>
    <n v="0.4251149770045991"/>
    <n v="4252000000"/>
  </r>
  <r>
    <s v="BBBY"/>
    <n v="1"/>
    <x v="1"/>
    <d v="2013-03-02T00:00:00"/>
    <n v="10914585000"/>
    <n v="6525830000"/>
    <n v="2750537000"/>
    <n v="0"/>
    <n v="0"/>
    <x v="1"/>
    <x v="24"/>
    <n v="0.40210003403702477"/>
    <n v="4388755000"/>
    <n v="0.15009439204513961"/>
    <n v="1638218000"/>
  </r>
  <r>
    <s v="BBBY"/>
    <n v="2"/>
    <x v="2"/>
    <d v="2014-03-01T00:00:00"/>
    <n v="11503963000"/>
    <n v="6938381000"/>
    <n v="2950995000"/>
    <n v="0"/>
    <n v="0"/>
    <x v="1"/>
    <x v="24"/>
    <n v="0.3968703654557999"/>
    <n v="4565582000"/>
    <n v="0.14035050356125103"/>
    <n v="1614587000"/>
  </r>
  <r>
    <s v="BBBY"/>
    <n v="3"/>
    <x v="3"/>
    <d v="2015-02-28T00:00:00"/>
    <n v="11881176000"/>
    <n v="7261397000"/>
    <n v="3065486000"/>
    <n v="0"/>
    <n v="0"/>
    <x v="1"/>
    <x v="24"/>
    <n v="0.38883179577509841"/>
    <n v="4619779000"/>
    <n v="0.13081979426952348"/>
    <n v="1554293000"/>
  </r>
  <r>
    <s v="BBBY"/>
    <n v="4"/>
    <x v="4"/>
    <d v="2016-02-27T00:00:00"/>
    <n v="12103887000"/>
    <n v="7483577000"/>
    <n v="3205407000"/>
    <n v="0"/>
    <n v="0"/>
    <x v="1"/>
    <x v="24"/>
    <n v="0.38172117766796732"/>
    <n v="4620310000"/>
    <n v="0.11689658041255672"/>
    <n v="1414903000"/>
  </r>
  <r>
    <s v="ETFC"/>
    <n v="1"/>
    <x v="0"/>
    <d v="2012-12-31T00:00:00"/>
    <n v="1365000000"/>
    <n v="0"/>
    <n v="921000000"/>
    <n v="0"/>
    <n v="471000000"/>
    <x v="3"/>
    <x v="32"/>
    <n v="1"/>
    <n v="1365000000"/>
    <n v="-1.9780219780219779E-2"/>
    <n v="-27000000"/>
  </r>
  <r>
    <s v="ETFC"/>
    <n v="2"/>
    <x v="1"/>
    <d v="2013-12-31T00:00:00"/>
    <n v="1466000000"/>
    <n v="0"/>
    <n v="888000000"/>
    <n v="0"/>
    <n v="256000000"/>
    <x v="3"/>
    <x v="32"/>
    <n v="1"/>
    <n v="1466000000"/>
    <n v="0.21964529331514324"/>
    <n v="322000000"/>
  </r>
  <r>
    <s v="ETFC"/>
    <n v="3"/>
    <x v="2"/>
    <d v="2014-12-31T00:00:00"/>
    <n v="1665000000"/>
    <n v="0"/>
    <n v="958000000"/>
    <n v="0"/>
    <n v="136000000"/>
    <x v="3"/>
    <x v="32"/>
    <n v="1"/>
    <n v="1665000000"/>
    <n v="0.34294294294294292"/>
    <n v="571000000"/>
  </r>
  <r>
    <s v="ETFC"/>
    <n v="4"/>
    <x v="3"/>
    <d v="2015-12-31T00:00:00"/>
    <n v="1403000000"/>
    <n v="0"/>
    <n v="1048000000"/>
    <n v="0"/>
    <n v="61000000"/>
    <x v="3"/>
    <x v="32"/>
    <n v="1"/>
    <n v="1403000000"/>
    <n v="0.20955096222380612"/>
    <n v="294000000"/>
  </r>
  <r>
    <s v="BBY"/>
    <n v="1"/>
    <x v="0"/>
    <d v="2012-03-03T00:00:00"/>
    <n v="45457000000"/>
    <n v="34473000000"/>
    <n v="8755000000"/>
    <n v="0"/>
    <n v="0"/>
    <x v="1"/>
    <x v="33"/>
    <n v="0.24163495171260752"/>
    <n v="10984000000"/>
    <n v="4.9035352090987083E-2"/>
    <n v="2229000000"/>
  </r>
  <r>
    <s v="BBY"/>
    <n v="2"/>
    <x v="2"/>
    <d v="2014-02-01T00:00:00"/>
    <n v="40611000000"/>
    <n v="31212000000"/>
    <n v="8106000000"/>
    <n v="0"/>
    <n v="0"/>
    <x v="1"/>
    <x v="33"/>
    <n v="0.23143975770111547"/>
    <n v="9399000000"/>
    <n v="3.1838664401270589E-2"/>
    <n v="1293000000"/>
  </r>
  <r>
    <s v="BBY"/>
    <n v="3"/>
    <x v="3"/>
    <d v="2015-01-31T00:00:00"/>
    <n v="40339000000"/>
    <n v="31292000000"/>
    <n v="7592000000"/>
    <n v="0"/>
    <n v="0"/>
    <x v="1"/>
    <x v="33"/>
    <n v="0.22427427551501034"/>
    <n v="9047000000"/>
    <n v="3.6069312575919082E-2"/>
    <n v="1455000000"/>
  </r>
  <r>
    <s v="BBY"/>
    <n v="4"/>
    <x v="4"/>
    <d v="2016-01-30T00:00:00"/>
    <n v="39528000000"/>
    <n v="30337000000"/>
    <n v="7618000000"/>
    <n v="0"/>
    <n v="0"/>
    <x v="1"/>
    <x v="33"/>
    <n v="0.23251872090669901"/>
    <n v="9191000000"/>
    <n v="3.979457599676179E-2"/>
    <n v="1573000000"/>
  </r>
  <r>
    <s v="HBAN"/>
    <n v="1"/>
    <x v="0"/>
    <d v="2012-12-31T00:00:00"/>
    <n v="3036584000"/>
    <n v="162167000"/>
    <n v="1789327000"/>
    <n v="0"/>
    <n v="193937000"/>
    <x v="3"/>
    <x v="17"/>
    <n v="0.94659558240443864"/>
    <n v="2874417000"/>
    <n v="0.29347220429271842"/>
    <n v="891153000"/>
  </r>
  <r>
    <s v="HBAN"/>
    <n v="2"/>
    <x v="1"/>
    <d v="2013-12-31T00:00:00"/>
    <n v="2872833000"/>
    <n v="116241000"/>
    <n v="1716639000"/>
    <n v="0"/>
    <n v="131409000"/>
    <x v="3"/>
    <x v="17"/>
    <n v="0.95953784992027036"/>
    <n v="2756592000"/>
    <n v="0.31625367711941488"/>
    <n v="908544000"/>
  </r>
  <r>
    <s v="HBAN"/>
    <n v="3"/>
    <x v="2"/>
    <d v="2014-12-31T00:00:00"/>
    <n v="2955641000"/>
    <n v="86453000"/>
    <n v="1843069000"/>
    <n v="0"/>
    <n v="120266000"/>
    <x v="3"/>
    <x v="17"/>
    <n v="0.97074983057820619"/>
    <n v="2869188000"/>
    <n v="0.30648275619400328"/>
    <n v="905853000"/>
  </r>
  <r>
    <s v="HBAN"/>
    <n v="4"/>
    <x v="3"/>
    <d v="2015-12-31T00:00:00"/>
    <n v="3153251000"/>
    <n v="82175000"/>
    <n v="1948041000"/>
    <n v="0"/>
    <n v="127821000"/>
    <x v="3"/>
    <x v="17"/>
    <n v="0.9739395944059005"/>
    <n v="3071076000"/>
    <n v="0.31561521743749549"/>
    <n v="995214000"/>
  </r>
  <r>
    <s v="HIG"/>
    <n v="1"/>
    <x v="0"/>
    <d v="2012-12-31T00:00:00"/>
    <n v="22086000000"/>
    <n v="13195000000"/>
    <n v="0"/>
    <n v="0"/>
    <n v="7080000000"/>
    <x v="3"/>
    <x v="4"/>
    <n v="0.40256270940867522"/>
    <n v="8891000000"/>
    <n v="8.199764556732772E-2"/>
    <n v="1811000000"/>
  </r>
  <r>
    <s v="HIG"/>
    <n v="2"/>
    <x v="1"/>
    <d v="2013-12-31T00:00:00"/>
    <n v="20673000000"/>
    <n v="11048000000"/>
    <n v="0"/>
    <n v="0"/>
    <n v="5970000000"/>
    <x v="3"/>
    <x v="4"/>
    <n v="0.46558312775117305"/>
    <n v="9625000000"/>
    <n v="0.17680065786291299"/>
    <n v="3655000000"/>
  </r>
  <r>
    <s v="HIG"/>
    <n v="3"/>
    <x v="2"/>
    <d v="2014-12-31T00:00:00"/>
    <n v="18614000000"/>
    <n v="10805000000"/>
    <n v="0"/>
    <n v="0"/>
    <n v="5757000000"/>
    <x v="3"/>
    <x v="4"/>
    <n v="0.41952293972278931"/>
    <n v="7809000000"/>
    <n v="0.11023960459868916"/>
    <n v="2052000000"/>
  </r>
  <r>
    <s v="HIG"/>
    <n v="4"/>
    <x v="3"/>
    <d v="2015-12-31T00:00:00"/>
    <n v="18377000000"/>
    <n v="10775000000"/>
    <n v="0"/>
    <n v="0"/>
    <n v="5274000000"/>
    <x v="3"/>
    <x v="4"/>
    <n v="0.41366926048865427"/>
    <n v="7602000000"/>
    <n v="0.12668008924198726"/>
    <n v="2328000000"/>
  </r>
  <r>
    <s v="BHI"/>
    <n v="1"/>
    <x v="1"/>
    <d v="2013-12-31T00:00:00"/>
    <n v="22364000000"/>
    <n v="18553000000"/>
    <n v="1306000000"/>
    <n v="556000000"/>
    <n v="0"/>
    <x v="8"/>
    <x v="34"/>
    <n v="0.170407798247183"/>
    <n v="3811000000"/>
    <n v="8.7148989447326061E-2"/>
    <n v="1949000000"/>
  </r>
  <r>
    <s v="BHI"/>
    <n v="2"/>
    <x v="2"/>
    <d v="2014-12-31T00:00:00"/>
    <n v="24551000000"/>
    <n v="19746000000"/>
    <n v="1333000000"/>
    <n v="613000000"/>
    <n v="0"/>
    <x v="8"/>
    <x v="34"/>
    <n v="0.1957150421571423"/>
    <n v="4805000000"/>
    <n v="0.11645146837196041"/>
    <n v="2859000000"/>
  </r>
  <r>
    <s v="BHI"/>
    <n v="3"/>
    <x v="3"/>
    <d v="2015-12-31T00:00:00"/>
    <n v="15742000000"/>
    <n v="14415000000"/>
    <n v="969000000"/>
    <n v="466000000"/>
    <n v="0"/>
    <x v="8"/>
    <x v="34"/>
    <n v="8.4296785668911189E-2"/>
    <n v="1327000000"/>
    <n v="-6.8606276203786046E-3"/>
    <n v="-108000000"/>
  </r>
  <r>
    <s v="BHI"/>
    <n v="4"/>
    <x v="4"/>
    <d v="2016-12-31T00:00:00"/>
    <n v="9841000000"/>
    <n v="9973000000"/>
    <n v="815000000"/>
    <n v="384000000"/>
    <n v="0"/>
    <x v="8"/>
    <x v="34"/>
    <n v="-1.341327100904377E-2"/>
    <n v="-132000000"/>
    <n v="-0.13525048267452494"/>
    <n v="-1331000000"/>
  </r>
  <r>
    <s v="HRB"/>
    <n v="1"/>
    <x v="1"/>
    <d v="2013-04-30T00:00:00"/>
    <n v="2807114000"/>
    <n v="1123773000"/>
    <n v="828095000"/>
    <n v="0"/>
    <n v="92407000"/>
    <x v="3"/>
    <x v="14"/>
    <n v="0.59966962510250743"/>
    <n v="1683341000"/>
    <n v="0.27175205566998706"/>
    <n v="762839000"/>
  </r>
  <r>
    <s v="HRB"/>
    <n v="2"/>
    <x v="2"/>
    <d v="2014-04-30T00:00:00"/>
    <n v="3024295000"/>
    <n v="1179405000"/>
    <n v="830789000"/>
    <n v="0"/>
    <n v="115604000"/>
    <x v="3"/>
    <x v="14"/>
    <n v="0.61002316242297794"/>
    <n v="1844890000"/>
    <n v="0.2970930415187672"/>
    <n v="898497000"/>
  </r>
  <r>
    <s v="HRB"/>
    <n v="3"/>
    <x v="3"/>
    <d v="2015-04-30T00:00:00"/>
    <n v="3078658000"/>
    <n v="1231104000"/>
    <n v="818091000"/>
    <n v="0"/>
    <n v="159804000"/>
    <x v="3"/>
    <x v="14"/>
    <n v="0.60011667421324488"/>
    <n v="1847554000"/>
    <n v="0.28247989870911289"/>
    <n v="869659000"/>
  </r>
  <r>
    <s v="HRB"/>
    <n v="4"/>
    <x v="4"/>
    <d v="2016-04-30T00:00:00"/>
    <n v="3038153000"/>
    <n v="1250320000"/>
    <n v="905648000"/>
    <n v="0"/>
    <n v="173598000"/>
    <x v="3"/>
    <x v="14"/>
    <n v="0.58846048898788172"/>
    <n v="1787833000"/>
    <n v="0.23322953123163975"/>
    <n v="708587000"/>
  </r>
  <r>
    <s v="BLL"/>
    <n v="1"/>
    <x v="0"/>
    <d v="2012-12-31T00:00:00"/>
    <n v="8735700000"/>
    <n v="7174000000"/>
    <n v="488300000"/>
    <n v="0"/>
    <n v="282900000"/>
    <x v="7"/>
    <x v="35"/>
    <n v="0.17877216479503644"/>
    <n v="1561700000"/>
    <n v="9.0490744874480583E-2"/>
    <n v="790500000"/>
  </r>
  <r>
    <s v="BLL"/>
    <n v="2"/>
    <x v="1"/>
    <d v="2013-12-31T00:00:00"/>
    <n v="8468100000"/>
    <n v="6875400000"/>
    <n v="497400000"/>
    <n v="0"/>
    <n v="299900000"/>
    <x v="7"/>
    <x v="35"/>
    <n v="0.1880823325185107"/>
    <n v="1592700000"/>
    <n v="9.3928980526918671E-2"/>
    <n v="795400000"/>
  </r>
  <r>
    <s v="BLL"/>
    <n v="3"/>
    <x v="2"/>
    <d v="2014-12-31T00:00:00"/>
    <n v="8570000000"/>
    <n v="6903500000"/>
    <n v="547000000"/>
    <n v="0"/>
    <n v="280900000"/>
    <x v="7"/>
    <x v="35"/>
    <n v="0.19445740956826141"/>
    <n v="1666500000"/>
    <n v="9.7852975495915984E-2"/>
    <n v="838600000"/>
  </r>
  <r>
    <s v="BLL"/>
    <n v="4"/>
    <x v="3"/>
    <d v="2015-12-31T00:00:00"/>
    <n v="7997000000"/>
    <n v="6460300000"/>
    <n v="646000000"/>
    <n v="0"/>
    <n v="285500000"/>
    <x v="7"/>
    <x v="35"/>
    <n v="0.19215955983493815"/>
    <n v="1536700000"/>
    <n v="7.5678379392272108E-2"/>
    <n v="605200000"/>
  </r>
  <r>
    <s v="IVZ"/>
    <n v="1"/>
    <x v="0"/>
    <d v="2012-12-31T00:00:00"/>
    <n v="4050400000"/>
    <n v="0"/>
    <n v="3207800000"/>
    <n v="0"/>
    <n v="0"/>
    <x v="3"/>
    <x v="12"/>
    <n v="1"/>
    <n v="4050400000"/>
    <n v="0.20802883665810784"/>
    <n v="842600000"/>
  </r>
  <r>
    <s v="IVZ"/>
    <n v="2"/>
    <x v="1"/>
    <d v="2013-12-31T00:00:00"/>
    <n v="4644600000"/>
    <n v="0"/>
    <n v="3524400000"/>
    <n v="0"/>
    <n v="0"/>
    <x v="3"/>
    <x v="12"/>
    <n v="1"/>
    <n v="4644600000"/>
    <n v="0.24118330964991602"/>
    <n v="1120200000"/>
  </r>
  <r>
    <s v="IVZ"/>
    <n v="3"/>
    <x v="2"/>
    <d v="2014-12-31T00:00:00"/>
    <n v="5147100000"/>
    <n v="0"/>
    <n v="3870200000"/>
    <n v="0"/>
    <n v="0"/>
    <x v="3"/>
    <x v="12"/>
    <n v="1"/>
    <n v="5147100000"/>
    <n v="0.24808144391987721"/>
    <n v="1276900000"/>
  </r>
  <r>
    <s v="IVZ"/>
    <n v="4"/>
    <x v="3"/>
    <d v="2015-12-31T00:00:00"/>
    <n v="5122900000"/>
    <n v="0"/>
    <n v="3764500000"/>
    <n v="0"/>
    <n v="0"/>
    <x v="3"/>
    <x v="12"/>
    <n v="1"/>
    <n v="5122900000"/>
    <n v="0.26516231041011928"/>
    <n v="1358400000"/>
  </r>
  <r>
    <s v="JPM"/>
    <n v="1"/>
    <x v="0"/>
    <d v="2012-12-31T00:00:00"/>
    <n v="93646000000"/>
    <n v="0"/>
    <n v="64729000000"/>
    <n v="0"/>
    <n v="3385000000"/>
    <x v="3"/>
    <x v="17"/>
    <n v="1"/>
    <n v="93646000000"/>
    <n v="0.27264378617346174"/>
    <n v="25532000000"/>
  </r>
  <r>
    <s v="JPM"/>
    <n v="2"/>
    <x v="1"/>
    <d v="2013-12-31T00:00:00"/>
    <n v="97142000000"/>
    <n v="0"/>
    <n v="70467000000"/>
    <n v="0"/>
    <n v="225000000"/>
    <x v="3"/>
    <x v="17"/>
    <n v="1"/>
    <n v="97142000000"/>
    <n v="0.27228181425130221"/>
    <n v="26450000000"/>
  </r>
  <r>
    <s v="JPM"/>
    <n v="3"/>
    <x v="2"/>
    <d v="2014-12-31T00:00:00"/>
    <n v="91973000000"/>
    <n v="0"/>
    <n v="61274000000"/>
    <n v="0"/>
    <n v="3139000000"/>
    <x v="3"/>
    <x v="17"/>
    <n v="1"/>
    <n v="91973000000"/>
    <n v="0.29965315907929502"/>
    <n v="27560000000"/>
  </r>
  <r>
    <s v="JPM"/>
    <n v="4"/>
    <x v="3"/>
    <d v="2015-12-31T00:00:00"/>
    <n v="89716000000"/>
    <n v="0"/>
    <n v="59014000000"/>
    <n v="0"/>
    <n v="3827000000"/>
    <x v="3"/>
    <x v="17"/>
    <n v="1"/>
    <n v="89716000000"/>
    <n v="0.29955637790360695"/>
    <n v="26875000000"/>
  </r>
  <r>
    <s v="BWA"/>
    <n v="1"/>
    <x v="1"/>
    <d v="2013-12-31T00:00:00"/>
    <n v="7436600000"/>
    <n v="5879100000"/>
    <n v="702300000"/>
    <n v="0"/>
    <n v="0"/>
    <x v="1"/>
    <x v="36"/>
    <n v="0.20943710835596907"/>
    <n v="1557500000"/>
    <n v="0.11499878976951833"/>
    <n v="855200000"/>
  </r>
  <r>
    <s v="BWA"/>
    <n v="2"/>
    <x v="2"/>
    <d v="2014-12-31T00:00:00"/>
    <n v="8305100000"/>
    <n v="6548700000"/>
    <n v="792700000"/>
    <n v="0"/>
    <n v="0"/>
    <x v="1"/>
    <x v="36"/>
    <n v="0.21148450951824782"/>
    <n v="1756400000"/>
    <n v="0.11603713380934606"/>
    <n v="963700000"/>
  </r>
  <r>
    <s v="BWA"/>
    <n v="3"/>
    <x v="3"/>
    <d v="2015-12-31T00:00:00"/>
    <n v="8023200000"/>
    <n v="6320100000"/>
    <n v="763400000"/>
    <n v="0"/>
    <n v="0"/>
    <x v="1"/>
    <x v="36"/>
    <n v="0.21227191145677538"/>
    <n v="1703100000"/>
    <n v="0.11712284375311596"/>
    <n v="939700000"/>
  </r>
  <r>
    <s v="BWA"/>
    <n v="4"/>
    <x v="4"/>
    <d v="2016-12-31T00:00:00"/>
    <n v="9071000000"/>
    <n v="7137900000"/>
    <n v="1707200000"/>
    <n v="0"/>
    <n v="0"/>
    <x v="1"/>
    <x v="36"/>
    <n v="0.21310770587586814"/>
    <n v="1933100000"/>
    <n v="2.4903538749862199E-2"/>
    <n v="225900000"/>
  </r>
  <r>
    <s v="BXP"/>
    <n v="1"/>
    <x v="0"/>
    <d v="2012-12-31T00:00:00"/>
    <n v="1847186000"/>
    <n v="667208000"/>
    <n v="93782000"/>
    <n v="0"/>
    <n v="445875000"/>
    <x v="6"/>
    <x v="13"/>
    <n v="0.6387976089034888"/>
    <n v="1179978000"/>
    <n v="0.34664673725331396"/>
    <n v="640321000"/>
  </r>
  <r>
    <s v="BXP"/>
    <n v="2"/>
    <x v="1"/>
    <d v="2013-12-31T00:00:00"/>
    <n v="2135539000"/>
    <n v="771403000"/>
    <n v="117073000"/>
    <n v="0"/>
    <n v="560637000"/>
    <x v="6"/>
    <x v="13"/>
    <n v="0.63877831310971134"/>
    <n v="1364136000"/>
    <n v="0.3214298591596782"/>
    <n v="686426000"/>
  </r>
  <r>
    <s v="BXP"/>
    <n v="3"/>
    <x v="2"/>
    <d v="2014-12-31T00:00:00"/>
    <n v="2396998000"/>
    <n v="864526000"/>
    <n v="102077000"/>
    <n v="0"/>
    <n v="628573000"/>
    <x v="6"/>
    <x v="13"/>
    <n v="0.63932969489336244"/>
    <n v="1532472000"/>
    <n v="0.33451091740585515"/>
    <n v="801822000"/>
  </r>
  <r>
    <s v="BXP"/>
    <n v="4"/>
    <x v="3"/>
    <d v="2015-12-31T00:00:00"/>
    <n v="2490821000"/>
    <n v="904336000"/>
    <n v="97578000"/>
    <n v="0"/>
    <n v="639542000"/>
    <x v="6"/>
    <x v="13"/>
    <n v="0.63693256159314537"/>
    <n v="1586485000"/>
    <n v="0.34099800828722737"/>
    <n v="849365000"/>
  </r>
  <r>
    <s v="CAG"/>
    <n v="1"/>
    <x v="1"/>
    <d v="2013-05-26T00:00:00"/>
    <n v="13469300000"/>
    <n v="10104400000"/>
    <n v="2065900000"/>
    <n v="0"/>
    <n v="0"/>
    <x v="4"/>
    <x v="37"/>
    <n v="0.24981996094823045"/>
    <n v="3364900000"/>
    <n v="9.6441537422137749E-2"/>
    <n v="1299000000"/>
  </r>
  <r>
    <s v="CAG"/>
    <n v="2"/>
    <x v="2"/>
    <d v="2014-05-25T00:00:00"/>
    <n v="11838200000"/>
    <n v="8910800000"/>
    <n v="1778900000"/>
    <n v="0"/>
    <n v="0"/>
    <x v="4"/>
    <x v="37"/>
    <n v="0.24728421550573565"/>
    <n v="2927400000"/>
    <n v="9.7016438309878189E-2"/>
    <n v="1148500000"/>
  </r>
  <r>
    <s v="CAG"/>
    <n v="3"/>
    <x v="3"/>
    <d v="2015-05-31T00:00:00"/>
    <n v="11937000000"/>
    <n v="9061400000"/>
    <n v="1545300000"/>
    <n v="0"/>
    <n v="0"/>
    <x v="4"/>
    <x v="37"/>
    <n v="0.24089804808578374"/>
    <n v="2875600000"/>
    <n v="0.1114434112423557"/>
    <n v="1330300000"/>
  </r>
  <r>
    <s v="CAG"/>
    <n v="4"/>
    <x v="4"/>
    <d v="2016-05-29T00:00:00"/>
    <n v="11642900000"/>
    <n v="8552100000"/>
    <n v="2209400000"/>
    <n v="0"/>
    <n v="0"/>
    <x v="4"/>
    <x v="37"/>
    <n v="0.26546650748524847"/>
    <n v="3090800000"/>
    <n v="7.570278882409022E-2"/>
    <n v="881400000"/>
  </r>
  <r>
    <s v="KEY"/>
    <n v="1"/>
    <x v="1"/>
    <d v="2013-09-30T00:00:00"/>
    <n v="1287577000"/>
    <n v="1073447000"/>
    <n v="174085000"/>
    <n v="0"/>
    <n v="12784000"/>
    <x v="3"/>
    <x v="17"/>
    <n v="0.16630461712192746"/>
    <n v="214130000"/>
    <n v="2.1172326004580695E-2"/>
    <n v="27261000"/>
  </r>
  <r>
    <s v="KEY"/>
    <n v="2"/>
    <x v="2"/>
    <d v="2014-09-30T00:00:00"/>
    <n v="1463767000"/>
    <n v="1200308000"/>
    <n v="194491000"/>
    <n v="0"/>
    <n v="13279000"/>
    <x v="3"/>
    <x v="17"/>
    <n v="0.17998697880195413"/>
    <n v="263459000"/>
    <n v="3.8044989400635484E-2"/>
    <n v="55689000"/>
  </r>
  <r>
    <s v="KEY"/>
    <n v="3"/>
    <x v="3"/>
    <d v="2015-09-30T00:00:00"/>
    <n v="1627413000"/>
    <n v="1354969000"/>
    <n v="207519000"/>
    <n v="0"/>
    <n v="13338000"/>
    <x v="3"/>
    <x v="17"/>
    <n v="0.16740925628589665"/>
    <n v="272444000"/>
    <n v="3.1698775909987202E-2"/>
    <n v="51587000"/>
  </r>
  <r>
    <s v="KEY"/>
    <n v="4"/>
    <x v="4"/>
    <d v="2016-09-30T00:00:00"/>
    <n v="1822114000"/>
    <n v="1524907000"/>
    <n v="224088000"/>
    <n v="0"/>
    <n v="13794000"/>
    <x v="3"/>
    <x v="17"/>
    <n v="0.16311108964642174"/>
    <n v="297207000"/>
    <n v="3.2558336086545625E-2"/>
    <n v="59325000"/>
  </r>
  <r>
    <s v="CAT"/>
    <n v="1"/>
    <x v="1"/>
    <d v="2013-12-31T00:00:00"/>
    <n v="55656000000"/>
    <n v="41454000000"/>
    <n v="6528000000"/>
    <n v="2046000000"/>
    <n v="0"/>
    <x v="0"/>
    <x v="38"/>
    <n v="0.25517464424320824"/>
    <n v="14202000000"/>
    <n v="0.10112117291936179"/>
    <n v="5628000000"/>
  </r>
  <r>
    <s v="CAT"/>
    <n v="2"/>
    <x v="2"/>
    <d v="2014-12-31T00:00:00"/>
    <n v="55184000000"/>
    <n v="41342000000"/>
    <n v="8148000000"/>
    <n v="2380000000"/>
    <n v="0"/>
    <x v="0"/>
    <x v="38"/>
    <n v="0.25083357494926062"/>
    <n v="13842000000"/>
    <n v="6.0053638735865465E-2"/>
    <n v="3314000000"/>
  </r>
  <r>
    <s v="CAT"/>
    <n v="3"/>
    <x v="3"/>
    <d v="2015-12-31T00:00:00"/>
    <n v="47011000000"/>
    <n v="34133000000"/>
    <n v="6974000000"/>
    <n v="2119000000"/>
    <n v="0"/>
    <x v="0"/>
    <x v="38"/>
    <n v="0.27393588734551488"/>
    <n v="12878000000"/>
    <n v="8.0513071408819206E-2"/>
    <n v="3785000000"/>
  </r>
  <r>
    <s v="CAT"/>
    <n v="4"/>
    <x v="4"/>
    <d v="2016-12-31T00:00:00"/>
    <n v="38537000000"/>
    <n v="28905000000"/>
    <n v="6588000000"/>
    <n v="1951000000"/>
    <n v="0"/>
    <x v="0"/>
    <x v="38"/>
    <n v="0.2499416145522485"/>
    <n v="9632000000"/>
    <n v="2.8362353063289825E-2"/>
    <n v="1093000000"/>
  </r>
  <r>
    <s v="LUK"/>
    <n v="1"/>
    <x v="0"/>
    <d v="2012-12-31T00:00:00"/>
    <n v="7810610000"/>
    <n v="7479746000"/>
    <n v="360586000"/>
    <n v="0"/>
    <n v="116388000"/>
    <x v="3"/>
    <x v="39"/>
    <n v="4.2360839934396877E-2"/>
    <n v="330864000"/>
    <n v="-1.8706605502003044E-2"/>
    <n v="-146110000"/>
  </r>
  <r>
    <s v="LUK"/>
    <n v="2"/>
    <x v="1"/>
    <d v="2013-12-31T00:00:00"/>
    <n v="9531778000"/>
    <n v="7567707000"/>
    <n v="2177616000"/>
    <n v="0"/>
    <n v="167425000"/>
    <x v="3"/>
    <x v="39"/>
    <n v="0.20605505079954656"/>
    <n v="1964071000"/>
    <n v="-3.9968408832014343E-2"/>
    <n v="-380970000"/>
  </r>
  <r>
    <s v="LUK"/>
    <n v="3"/>
    <x v="2"/>
    <d v="2014-12-31T00:00:00"/>
    <n v="10681897000"/>
    <n v="8024286000"/>
    <n v="2856642000"/>
    <n v="0"/>
    <n v="185993000"/>
    <x v="3"/>
    <x v="39"/>
    <n v="0.24879578973659833"/>
    <n v="2657611000"/>
    <n v="-3.6044534037353103E-2"/>
    <n v="-385024000"/>
  </r>
  <r>
    <s v="LUK"/>
    <n v="4"/>
    <x v="3"/>
    <d v="2015-12-31T00:00:00"/>
    <n v="10116502000"/>
    <n v="7677233000"/>
    <n v="2620072000"/>
    <n v="0"/>
    <n v="224133000"/>
    <x v="3"/>
    <x v="39"/>
    <n v="0.24111782906779433"/>
    <n v="2439269000"/>
    <n v="-4.0027274249538031E-2"/>
    <n v="-404936000"/>
  </r>
  <r>
    <s v="CBG"/>
    <n v="1"/>
    <x v="0"/>
    <d v="2012-12-31T00:00:00"/>
    <n v="6514099000"/>
    <n v="5745428000"/>
    <n v="0"/>
    <n v="0"/>
    <n v="169645000"/>
    <x v="6"/>
    <x v="40"/>
    <n v="0.11800112340939251"/>
    <n v="768671000"/>
    <n v="9.1958381350974241E-2"/>
    <n v="599026000"/>
  </r>
  <r>
    <s v="CBG"/>
    <n v="2"/>
    <x v="1"/>
    <d v="2013-12-31T00:00:00"/>
    <n v="7184794000"/>
    <n v="6293699000"/>
    <n v="0"/>
    <n v="0"/>
    <n v="190390000"/>
    <x v="6"/>
    <x v="40"/>
    <n v="0.12402512862581727"/>
    <n v="891095000"/>
    <n v="9.7526108612160628E-2"/>
    <n v="700705000"/>
  </r>
  <r>
    <s v="CBG"/>
    <n v="3"/>
    <x v="2"/>
    <d v="2014-12-31T00:00:00"/>
    <n v="9049918000"/>
    <n v="8050222000"/>
    <n v="0"/>
    <n v="0"/>
    <n v="265101000"/>
    <x v="6"/>
    <x v="40"/>
    <n v="0.11046464730398664"/>
    <n v="999696000"/>
    <n v="8.1171453708199351E-2"/>
    <n v="734595000"/>
  </r>
  <r>
    <s v="CBG"/>
    <n v="4"/>
    <x v="3"/>
    <d v="2015-12-31T00:00:00"/>
    <n v="10855810000"/>
    <n v="9716541000"/>
    <n v="0"/>
    <n v="0"/>
    <n v="314096000"/>
    <x v="6"/>
    <x v="40"/>
    <n v="0.10494555450030907"/>
    <n v="1139269000"/>
    <n v="7.6012107802181511E-2"/>
    <n v="825173000"/>
  </r>
  <r>
    <s v="CCI"/>
    <n v="1"/>
    <x v="0"/>
    <d v="2012-12-31T00:00:00"/>
    <n v="2432680000"/>
    <n v="728989000"/>
    <n v="212572000"/>
    <n v="0"/>
    <n v="622592000"/>
    <x v="6"/>
    <x v="13"/>
    <n v="0.70033502145781612"/>
    <n v="1703691000"/>
    <n v="0.35702476281302925"/>
    <n v="868527000"/>
  </r>
  <r>
    <s v="CCI"/>
    <n v="2"/>
    <x v="1"/>
    <d v="2013-12-31T00:00:00"/>
    <n v="2865751000"/>
    <n v="991017000"/>
    <n v="213519000"/>
    <n v="0"/>
    <n v="741342000"/>
    <x v="6"/>
    <x v="13"/>
    <n v="0.65418593590301466"/>
    <n v="1874734000"/>
    <n v="0.32098845991853442"/>
    <n v="919873000"/>
  </r>
  <r>
    <s v="CCI"/>
    <n v="3"/>
    <x v="2"/>
    <d v="2014-12-31T00:00:00"/>
    <n v="3538756000"/>
    <n v="1306606000"/>
    <n v="257296000"/>
    <n v="0"/>
    <n v="985781000"/>
    <x v="6"/>
    <x v="13"/>
    <n v="0.63077250875731472"/>
    <n v="2232150000"/>
    <n v="0.2794973713926589"/>
    <n v="989073000"/>
  </r>
  <r>
    <s v="CCI"/>
    <n v="4"/>
    <x v="3"/>
    <d v="2015-12-31T00:00:00"/>
    <n v="3663851000"/>
    <n v="1321426000"/>
    <n v="310921000"/>
    <n v="0"/>
    <n v="1036178000"/>
    <x v="6"/>
    <x v="13"/>
    <n v="0.6393341323105115"/>
    <n v="2342425000"/>
    <n v="0.27166115652628886"/>
    <n v="995326000"/>
  </r>
  <r>
    <s v="CCL"/>
    <n v="1"/>
    <x v="1"/>
    <d v="2013-11-30T00:00:00"/>
    <n v="15456000000"/>
    <n v="10645000000"/>
    <n v="1879000000"/>
    <n v="0"/>
    <n v="1590000000"/>
    <x v="1"/>
    <x v="41"/>
    <n v="0.31127070393374745"/>
    <n v="4811000000"/>
    <n v="8.6827122153209105E-2"/>
    <n v="1342000000"/>
  </r>
  <r>
    <s v="CCL"/>
    <n v="2"/>
    <x v="2"/>
    <d v="2014-11-30T00:00:00"/>
    <n v="15884000000"/>
    <n v="10421000000"/>
    <n v="2054000000"/>
    <n v="0"/>
    <n v="1637000000"/>
    <x v="1"/>
    <x v="41"/>
    <n v="0.34393099974817432"/>
    <n v="5463000000"/>
    <n v="0.11155880130949383"/>
    <n v="1772000000"/>
  </r>
  <r>
    <s v="CCL"/>
    <n v="3"/>
    <x v="3"/>
    <d v="2015-11-30T00:00:00"/>
    <n v="15714000000"/>
    <n v="9447000000"/>
    <n v="2067000000"/>
    <n v="0"/>
    <n v="1626000000"/>
    <x v="1"/>
    <x v="41"/>
    <n v="0.39881634211531114"/>
    <n v="6267000000"/>
    <n v="0.16380297823596793"/>
    <n v="2574000000"/>
  </r>
  <r>
    <s v="CCL"/>
    <n v="4"/>
    <x v="4"/>
    <d v="2016-11-30T00:00:00"/>
    <n v="16389000000"/>
    <n v="9383000000"/>
    <n v="2197000000"/>
    <n v="0"/>
    <n v="1738000000"/>
    <x v="1"/>
    <x v="41"/>
    <n v="0.42748184758069441"/>
    <n v="7006000000"/>
    <n v="0.18738178046250534"/>
    <n v="3071000000"/>
  </r>
  <r>
    <s v="MCO"/>
    <n v="1"/>
    <x v="0"/>
    <d v="2012-12-31T00:00:00"/>
    <n v="2730300000"/>
    <n v="795000000"/>
    <n v="752200000"/>
    <n v="0"/>
    <n v="93500000"/>
    <x v="3"/>
    <x v="42"/>
    <n v="0.70882320624107242"/>
    <n v="1935300000"/>
    <n v="0.39907702450280191"/>
    <n v="1089600000"/>
  </r>
  <r>
    <s v="MCO"/>
    <n v="2"/>
    <x v="1"/>
    <d v="2013-12-31T00:00:00"/>
    <n v="2972500000"/>
    <n v="822400000"/>
    <n v="822100000"/>
    <n v="0"/>
    <n v="93400000"/>
    <x v="3"/>
    <x v="42"/>
    <n v="0.72333052985702273"/>
    <n v="2150100000"/>
    <n v="0.41534062237174096"/>
    <n v="1234600000"/>
  </r>
  <r>
    <s v="MCO"/>
    <n v="3"/>
    <x v="2"/>
    <d v="2014-12-31T00:00:00"/>
    <n v="3334300000"/>
    <n v="930300000"/>
    <n v="869300000"/>
    <n v="0"/>
    <n v="95600000"/>
    <x v="3"/>
    <x v="42"/>
    <n v="0.72099091263533577"/>
    <n v="2404000000"/>
    <n v="0.43160483459796661"/>
    <n v="1439100000"/>
  </r>
  <r>
    <s v="MCO"/>
    <n v="4"/>
    <x v="3"/>
    <d v="2015-12-31T00:00:00"/>
    <n v="3484500000"/>
    <n v="976300000"/>
    <n v="921300000"/>
    <n v="0"/>
    <n v="113500000"/>
    <x v="3"/>
    <x v="42"/>
    <n v="0.71981632945903284"/>
    <n v="2508200000"/>
    <n v="0.42284402353278805"/>
    <n v="1473400000"/>
  </r>
  <r>
    <s v="MET"/>
    <n v="1"/>
    <x v="0"/>
    <d v="2012-12-31T00:00:00"/>
    <n v="68150000000"/>
    <n v="37987000000"/>
    <n v="9098000000"/>
    <n v="0"/>
    <n v="17755000000"/>
    <x v="3"/>
    <x v="3"/>
    <n v="0.44259721203228175"/>
    <n v="30163000000"/>
    <n v="4.8569332355099047E-2"/>
    <n v="3310000000"/>
  </r>
  <r>
    <s v="MET"/>
    <n v="2"/>
    <x v="1"/>
    <d v="2013-12-31T00:00:00"/>
    <n v="68199000000"/>
    <n v="38107000000"/>
    <n v="9438000000"/>
    <n v="0"/>
    <n v="16602000000"/>
    <x v="3"/>
    <x v="3"/>
    <n v="0.44123814132172023"/>
    <n v="30092000000"/>
    <n v="5.9414360914382909E-2"/>
    <n v="4052000000"/>
  </r>
  <r>
    <s v="MET"/>
    <n v="3"/>
    <x v="2"/>
    <d v="2014-12-31T00:00:00"/>
    <n v="73316000000"/>
    <n v="39102000000"/>
    <n v="8319000000"/>
    <n v="0"/>
    <n v="17091000000"/>
    <x v="3"/>
    <x v="3"/>
    <n v="0.46666484805499486"/>
    <n v="34214000000"/>
    <n v="0.12008292869223634"/>
    <n v="8804000000"/>
  </r>
  <r>
    <s v="MET"/>
    <n v="4"/>
    <x v="3"/>
    <d v="2015-12-31T00:00:00"/>
    <n v="69951000000"/>
    <n v="38714000000"/>
    <n v="6998000000"/>
    <n v="0"/>
    <n v="16769000000"/>
    <x v="3"/>
    <x v="3"/>
    <n v="0.44655544595502561"/>
    <n v="31237000000"/>
    <n v="0.10678903804091436"/>
    <n v="7470000000"/>
  </r>
  <r>
    <s v="CF"/>
    <n v="1"/>
    <x v="0"/>
    <d v="2012-12-31T00:00:00"/>
    <n v="6104000000"/>
    <n v="2990700000"/>
    <n v="200900000"/>
    <n v="0"/>
    <n v="0"/>
    <x v="7"/>
    <x v="43"/>
    <n v="0.51004259501965921"/>
    <n v="3113300000"/>
    <n v="0.47712975098296201"/>
    <n v="2912400000"/>
  </r>
  <r>
    <s v="CF"/>
    <n v="2"/>
    <x v="1"/>
    <d v="2013-12-31T00:00:00"/>
    <n v="5474700000"/>
    <n v="2954500000"/>
    <n v="150200000"/>
    <n v="0"/>
    <n v="0"/>
    <x v="7"/>
    <x v="43"/>
    <n v="0.46033572615851093"/>
    <n v="2520200000"/>
    <n v="0.4329004329004329"/>
    <n v="2370000000"/>
  </r>
  <r>
    <s v="CF"/>
    <n v="3"/>
    <x v="2"/>
    <d v="2014-12-31T00:00:00"/>
    <n v="4743200000"/>
    <n v="2964700000"/>
    <n v="205200000"/>
    <n v="0"/>
    <n v="0"/>
    <x v="7"/>
    <x v="43"/>
    <n v="0.37495783437341879"/>
    <n v="1778500000"/>
    <n v="0.33169590150109629"/>
    <n v="1573300000"/>
  </r>
  <r>
    <s v="CF"/>
    <n v="4"/>
    <x v="3"/>
    <d v="2015-12-31T00:00:00"/>
    <n v="4308300000"/>
    <n v="2761200000"/>
    <n v="319000000"/>
    <n v="0"/>
    <n v="0"/>
    <x v="7"/>
    <x v="43"/>
    <n v="0.35909755588050973"/>
    <n v="1547100000"/>
    <n v="0.2850544298215073"/>
    <n v="1228100000"/>
  </r>
  <r>
    <s v="MMC"/>
    <n v="1"/>
    <x v="0"/>
    <d v="2012-12-31T00:00:00"/>
    <n v="11924000000"/>
    <n v="0"/>
    <n v="7134000000"/>
    <n v="0"/>
    <n v="2961000000"/>
    <x v="3"/>
    <x v="44"/>
    <n v="1"/>
    <n v="11924000000"/>
    <n v="0.15338812479033881"/>
    <n v="1829000000"/>
  </r>
  <r>
    <s v="MMC"/>
    <n v="2"/>
    <x v="1"/>
    <d v="2013-12-31T00:00:00"/>
    <n v="12261000000"/>
    <n v="0"/>
    <n v="7226000000"/>
    <n v="0"/>
    <n v="2958000000"/>
    <x v="3"/>
    <x v="44"/>
    <n v="1"/>
    <n v="12261000000"/>
    <n v="0.16939890710382513"/>
    <n v="2077000000"/>
  </r>
  <r>
    <s v="MMC"/>
    <n v="3"/>
    <x v="2"/>
    <d v="2014-12-31T00:00:00"/>
    <n v="12951000000"/>
    <n v="0"/>
    <n v="7515000000"/>
    <n v="0"/>
    <n v="3135000000"/>
    <x v="3"/>
    <x v="44"/>
    <n v="1"/>
    <n v="12951000000"/>
    <n v="0.17766967801714154"/>
    <n v="2301000000"/>
  </r>
  <r>
    <s v="MMC"/>
    <n v="4"/>
    <x v="3"/>
    <d v="2015-12-31T00:00:00"/>
    <n v="12893000000"/>
    <n v="0"/>
    <n v="7334000000"/>
    <n v="0"/>
    <n v="3140000000"/>
    <x v="3"/>
    <x v="44"/>
    <n v="1"/>
    <n v="12893000000"/>
    <n v="0.18762118979291087"/>
    <n v="2419000000"/>
  </r>
  <r>
    <s v="CHD"/>
    <n v="1"/>
    <x v="0"/>
    <d v="2012-12-31T00:00:00"/>
    <n v="2921900000"/>
    <n v="1630500000"/>
    <n v="746300000"/>
    <n v="0"/>
    <n v="0"/>
    <x v="4"/>
    <x v="45"/>
    <n v="0.44197268900373043"/>
    <n v="1291400000"/>
    <n v="0.18655669256305829"/>
    <n v="545100000"/>
  </r>
  <r>
    <s v="CHD"/>
    <n v="2"/>
    <x v="1"/>
    <d v="2013-12-31T00:00:00"/>
    <n v="3194300000"/>
    <n v="1756300000"/>
    <n v="815800000"/>
    <n v="0"/>
    <n v="0"/>
    <x v="4"/>
    <x v="45"/>
    <n v="0.45017687756315938"/>
    <n v="1438000000"/>
    <n v="0.19478445981905268"/>
    <n v="622200000"/>
  </r>
  <r>
    <s v="CHD"/>
    <n v="3"/>
    <x v="2"/>
    <d v="2014-12-31T00:00:00"/>
    <n v="3297600000"/>
    <n v="1844700000"/>
    <n v="811700000"/>
    <n v="0"/>
    <n v="0"/>
    <x v="4"/>
    <x v="45"/>
    <n v="0.44059315866084425"/>
    <n v="1452900000"/>
    <n v="0.19444444444444445"/>
    <n v="641200000"/>
  </r>
  <r>
    <s v="CHD"/>
    <n v="4"/>
    <x v="3"/>
    <d v="2015-12-31T00:00:00"/>
    <n v="3394800000"/>
    <n v="1883000000"/>
    <n v="837600000"/>
    <n v="0"/>
    <n v="0"/>
    <x v="4"/>
    <x v="45"/>
    <n v="0.44532814893366324"/>
    <n v="1511800000"/>
    <n v="0.19859785554377282"/>
    <n v="674200000"/>
  </r>
  <r>
    <s v="CHK"/>
    <n v="1"/>
    <x v="0"/>
    <d v="2012-12-31T00:00:00"/>
    <n v="12316000000"/>
    <n v="7081000000"/>
    <n v="723000000"/>
    <n v="0"/>
    <n v="2811000000"/>
    <x v="8"/>
    <x v="46"/>
    <n v="0.42505683663527116"/>
    <n v="5235000000"/>
    <n v="0.13811302370899642"/>
    <n v="1701000000"/>
  </r>
  <r>
    <s v="CHK"/>
    <n v="2"/>
    <x v="1"/>
    <d v="2013-12-31T00:00:00"/>
    <n v="19080000000"/>
    <n v="12930000000"/>
    <n v="686000000"/>
    <n v="0"/>
    <n v="2903000000"/>
    <x v="8"/>
    <x v="46"/>
    <n v="0.32232704402515722"/>
    <n v="6150000000"/>
    <n v="0.13422431865828091"/>
    <n v="2561000000"/>
  </r>
  <r>
    <s v="CHK"/>
    <n v="3"/>
    <x v="2"/>
    <d v="2014-12-31T00:00:00"/>
    <n v="23125000000"/>
    <n v="16049000000"/>
    <n v="554000000"/>
    <n v="0"/>
    <n v="2915000000"/>
    <x v="8"/>
    <x v="46"/>
    <n v="0.30598918918918916"/>
    <n v="7076000000"/>
    <n v="0.15597837837837839"/>
    <n v="3607000000"/>
  </r>
  <r>
    <s v="CHK"/>
    <n v="4"/>
    <x v="3"/>
    <d v="2015-12-31T00:00:00"/>
    <n v="12764000000"/>
    <n v="10295000000"/>
    <n v="334000000"/>
    <n v="0"/>
    <n v="2229000000"/>
    <x v="8"/>
    <x v="46"/>
    <n v="0.19343465998119713"/>
    <n v="2469000000"/>
    <n v="-7.3644625509244749E-3"/>
    <n v="-94000000"/>
  </r>
  <r>
    <s v="CHRW"/>
    <n v="1"/>
    <x v="0"/>
    <d v="2012-12-31T00:00:00"/>
    <n v="11359113000"/>
    <n v="9641542000"/>
    <n v="1042251000"/>
    <n v="0"/>
    <n v="0"/>
    <x v="0"/>
    <x v="47"/>
    <n v="0.15120643662933897"/>
    <n v="1717571000"/>
    <n v="5.9451825155714184E-2"/>
    <n v="675320000"/>
  </r>
  <r>
    <s v="CHRW"/>
    <n v="2"/>
    <x v="1"/>
    <d v="2013-12-31T00:00:00"/>
    <n v="12752076000"/>
    <n v="10915981000"/>
    <n v="1153445000"/>
    <n v="0"/>
    <n v="0"/>
    <x v="0"/>
    <x v="47"/>
    <n v="0.14398400699619418"/>
    <n v="1836095000"/>
    <n v="5.3532460126492348E-2"/>
    <n v="682650000"/>
  </r>
  <r>
    <s v="CHRW"/>
    <n v="3"/>
    <x v="2"/>
    <d v="2014-12-31T00:00:00"/>
    <n v="13470067000"/>
    <n v="11462415000"/>
    <n v="1259234000"/>
    <n v="0"/>
    <n v="0"/>
    <x v="0"/>
    <x v="47"/>
    <n v="0.14904543533450876"/>
    <n v="2007652000"/>
    <n v="5.5561564764302955E-2"/>
    <n v="748418000"/>
  </r>
  <r>
    <s v="CHRW"/>
    <n v="4"/>
    <x v="3"/>
    <d v="2015-12-31T00:00:00"/>
    <n v="13476084000"/>
    <n v="11207604000"/>
    <n v="1410170000"/>
    <n v="0"/>
    <n v="0"/>
    <x v="0"/>
    <x v="47"/>
    <n v="0.16833376817775847"/>
    <n v="2268480000"/>
    <n v="6.36913512857296E-2"/>
    <n v="858310000"/>
  </r>
  <r>
    <s v="CHTR"/>
    <n v="1"/>
    <x v="1"/>
    <d v="2013-12-31T00:00:00"/>
    <n v="8155000000"/>
    <n v="5345000000"/>
    <n v="47000000"/>
    <n v="0"/>
    <n v="1854000000"/>
    <x v="1"/>
    <x v="48"/>
    <n v="0.34457388105456777"/>
    <n v="2810000000"/>
    <n v="0.1114653586756591"/>
    <n v="909000000"/>
  </r>
  <r>
    <s v="CHTR"/>
    <n v="2"/>
    <x v="2"/>
    <d v="2014-12-31T00:00:00"/>
    <n v="9108000000"/>
    <n v="5973000000"/>
    <n v="62000000"/>
    <n v="0"/>
    <n v="2102000000"/>
    <x v="1"/>
    <x v="48"/>
    <n v="0.34420289855072461"/>
    <n v="3135000000"/>
    <n v="0.10660957400087835"/>
    <n v="971000000"/>
  </r>
  <r>
    <s v="CHTR"/>
    <n v="3"/>
    <x v="3"/>
    <d v="2015-12-31T00:00:00"/>
    <n v="9754000000"/>
    <n v="6426000000"/>
    <n v="89000000"/>
    <n v="0"/>
    <n v="2125000000"/>
    <x v="1"/>
    <x v="48"/>
    <n v="0.34119335657166294"/>
    <n v="3328000000"/>
    <n v="0.11420955505433668"/>
    <n v="1114000000"/>
  </r>
  <r>
    <s v="CHTR"/>
    <n v="4"/>
    <x v="4"/>
    <d v="2016-12-31T00:00:00"/>
    <n v="29003000000"/>
    <n v="18655000000"/>
    <n v="86000000"/>
    <n v="0"/>
    <n v="6907000000"/>
    <x v="1"/>
    <x v="48"/>
    <n v="0.3567906768265352"/>
    <n v="10348000000"/>
    <n v="0.11567768851498121"/>
    <n v="3355000000"/>
  </r>
  <r>
    <s v="MTB"/>
    <n v="1"/>
    <x v="0"/>
    <d v="2012-12-31T00:00:00"/>
    <n v="4608955000"/>
    <n v="116586000"/>
    <n v="2448629000"/>
    <n v="0"/>
    <n v="264631000"/>
    <x v="3"/>
    <x v="17"/>
    <n v="0.97470446120649912"/>
    <n v="4492369000"/>
    <n v="0.38601136266246905"/>
    <n v="1779109000"/>
  </r>
  <r>
    <s v="MTB"/>
    <n v="2"/>
    <x v="1"/>
    <d v="2013-12-31T00:00:00"/>
    <n v="4822539000"/>
    <n v="83692000"/>
    <n v="2540954000"/>
    <n v="0"/>
    <n v="231912000"/>
    <x v="3"/>
    <x v="17"/>
    <n v="0.98264565615747224"/>
    <n v="4738847000"/>
    <n v="0.40766513241261504"/>
    <n v="1965981000"/>
  </r>
  <r>
    <s v="MTB"/>
    <n v="3"/>
    <x v="2"/>
    <d v="2014-12-31T00:00:00"/>
    <n v="4736150000"/>
    <n v="63083000"/>
    <n v="2655650000"/>
    <n v="0"/>
    <n v="157824000"/>
    <x v="3"/>
    <x v="17"/>
    <n v="0.98668053165545855"/>
    <n v="4673067000"/>
    <n v="0.39263811323543385"/>
    <n v="1859593000"/>
  </r>
  <r>
    <s v="MTB"/>
    <n v="4"/>
    <x v="3"/>
    <d v="2015-12-31T00:00:00"/>
    <n v="4995881000"/>
    <n v="73814000"/>
    <n v="2796508000"/>
    <n v="0"/>
    <n v="196424000"/>
    <x v="3"/>
    <x v="17"/>
    <n v="0.98522502837837811"/>
    <n v="4922067000"/>
    <n v="0.38614510633860172"/>
    <n v="1929135000"/>
  </r>
  <r>
    <s v="NDAQ"/>
    <n v="1"/>
    <x v="0"/>
    <d v="2012-12-31T00:00:00"/>
    <n v="3023000000"/>
    <n v="1446000000"/>
    <n v="832000000"/>
    <n v="0"/>
    <n v="104000000"/>
    <x v="3"/>
    <x v="42"/>
    <n v="0.52166721799536886"/>
    <n v="1577000000"/>
    <n v="0.2120410188554416"/>
    <n v="641000000"/>
  </r>
  <r>
    <s v="NDAQ"/>
    <n v="2"/>
    <x v="1"/>
    <d v="2013-12-31T00:00:00"/>
    <n v="3100000000"/>
    <n v="1316000000"/>
    <n v="1054000000"/>
    <n v="0"/>
    <n v="122000000"/>
    <x v="3"/>
    <x v="42"/>
    <n v="0.5754838709677419"/>
    <n v="1784000000"/>
    <n v="0.19612903225806452"/>
    <n v="608000000"/>
  </r>
  <r>
    <s v="NDAQ"/>
    <n v="3"/>
    <x v="2"/>
    <d v="2014-12-31T00:00:00"/>
    <n v="3383000000"/>
    <n v="1433000000"/>
    <n v="1095000000"/>
    <n v="0"/>
    <n v="137000000"/>
    <x v="3"/>
    <x v="42"/>
    <n v="0.57641146911025709"/>
    <n v="1950000000"/>
    <n v="0.21223765888264853"/>
    <n v="718000000"/>
  </r>
  <r>
    <s v="NDAQ"/>
    <n v="4"/>
    <x v="3"/>
    <d v="2015-12-31T00:00:00"/>
    <n v="3292000000"/>
    <n v="1313000000"/>
    <n v="1050000000"/>
    <n v="0"/>
    <n v="138000000"/>
    <x v="3"/>
    <x v="42"/>
    <n v="0.6011543134872418"/>
    <n v="1979000000"/>
    <n v="0.24027946537059539"/>
    <n v="791000000"/>
  </r>
  <r>
    <s v="CL"/>
    <n v="1"/>
    <x v="0"/>
    <d v="2012-12-31T00:00:00"/>
    <n v="17085000000"/>
    <n v="7153000000"/>
    <n v="6043000000"/>
    <n v="0"/>
    <n v="0"/>
    <x v="4"/>
    <x v="45"/>
    <n v="0.58132865086333041"/>
    <n v="9932000000"/>
    <n v="0.2276265730172666"/>
    <n v="3889000000"/>
  </r>
  <r>
    <s v="CL"/>
    <n v="2"/>
    <x v="1"/>
    <d v="2013-12-31T00:00:00"/>
    <n v="17420000000"/>
    <n v="7219000000"/>
    <n v="6645000000"/>
    <n v="0"/>
    <n v="0"/>
    <x v="4"/>
    <x v="45"/>
    <n v="0.58559127439724457"/>
    <n v="10201000000"/>
    <n v="0.20413318025258323"/>
    <n v="3556000000"/>
  </r>
  <r>
    <s v="CL"/>
    <n v="3"/>
    <x v="2"/>
    <d v="2014-12-31T00:00:00"/>
    <n v="17277000000"/>
    <n v="7168000000"/>
    <n v="6552000000"/>
    <n v="0"/>
    <n v="0"/>
    <x v="4"/>
    <x v="45"/>
    <n v="0.58511315621925108"/>
    <n v="10109000000"/>
    <n v="0.20588065057591018"/>
    <n v="3557000000"/>
  </r>
  <r>
    <s v="CL"/>
    <n v="4"/>
    <x v="3"/>
    <d v="2015-12-31T00:00:00"/>
    <n v="16034000000"/>
    <n v="6635000000"/>
    <n v="6610000000"/>
    <n v="0"/>
    <n v="0"/>
    <x v="4"/>
    <x v="45"/>
    <n v="0.58619184233503807"/>
    <n v="9399000000"/>
    <n v="0.17394287139827866"/>
    <n v="2789000000"/>
  </r>
  <r>
    <s v="CLX"/>
    <n v="1"/>
    <x v="1"/>
    <d v="2013-06-30T00:00:00"/>
    <n v="5533000000"/>
    <n v="3142000000"/>
    <n v="1291000000"/>
    <n v="130000000"/>
    <n v="0"/>
    <x v="4"/>
    <x v="45"/>
    <n v="0.43213446593168259"/>
    <n v="2391000000"/>
    <n v="0.17531176576902224"/>
    <n v="970000000"/>
  </r>
  <r>
    <s v="CLX"/>
    <n v="2"/>
    <x v="2"/>
    <d v="2014-06-30T00:00:00"/>
    <n v="5514000000"/>
    <n v="3158000000"/>
    <n v="1254000000"/>
    <n v="125000000"/>
    <n v="0"/>
    <x v="4"/>
    <x v="45"/>
    <n v="0.42727602466449044"/>
    <n v="2356000000"/>
    <n v="0.17718534639100472"/>
    <n v="977000000"/>
  </r>
  <r>
    <s v="CLX"/>
    <n v="3"/>
    <x v="3"/>
    <d v="2015-06-30T00:00:00"/>
    <n v="5655000000"/>
    <n v="3190000000"/>
    <n v="1321000000"/>
    <n v="136000000"/>
    <n v="0"/>
    <x v="4"/>
    <x v="45"/>
    <n v="0.4358974358974359"/>
    <n v="2465000000"/>
    <n v="0.17824933687002653"/>
    <n v="1008000000"/>
  </r>
  <r>
    <s v="CLX"/>
    <n v="4"/>
    <x v="4"/>
    <d v="2016-06-30T00:00:00"/>
    <n v="5761000000"/>
    <n v="3163000000"/>
    <n v="1393000000"/>
    <n v="141000000"/>
    <n v="0"/>
    <x v="4"/>
    <x v="45"/>
    <n v="0.45096337441416423"/>
    <n v="2598000000"/>
    <n v="0.18469015795868773"/>
    <n v="1064000000"/>
  </r>
  <r>
    <s v="PBCT"/>
    <n v="1"/>
    <x v="0"/>
    <d v="2012-12-31T00:00:00"/>
    <n v="1355300000"/>
    <n v="90800000"/>
    <n v="803800000"/>
    <n v="0"/>
    <n v="76000000"/>
    <x v="3"/>
    <x v="49"/>
    <n v="0.93300376300450083"/>
    <n v="1264500000"/>
    <n v="0.28384859440714233"/>
    <n v="384700000"/>
  </r>
  <r>
    <s v="PBCT"/>
    <n v="2"/>
    <x v="1"/>
    <d v="2013-12-31T00:00:00"/>
    <n v="1346100000"/>
    <n v="81100000"/>
    <n v="812800000"/>
    <n v="0"/>
    <n v="69900000"/>
    <x v="3"/>
    <x v="49"/>
    <n v="0.93975187578931729"/>
    <n v="1265000000"/>
    <n v="0.28400564594012334"/>
    <n v="382300000"/>
  </r>
  <r>
    <s v="PBCT"/>
    <n v="3"/>
    <x v="2"/>
    <d v="2014-12-31T00:00:00"/>
    <n v="1381400000"/>
    <n v="80900000"/>
    <n v="816700000"/>
    <n v="0"/>
    <n v="65400000"/>
    <x v="3"/>
    <x v="49"/>
    <n v="0.94143622412045747"/>
    <n v="1300500000"/>
    <n v="0.30288113508035325"/>
    <n v="418400000"/>
  </r>
  <r>
    <s v="PBCT"/>
    <n v="4"/>
    <x v="3"/>
    <d v="2015-12-31T00:00:00"/>
    <n v="1421300000"/>
    <n v="95500000"/>
    <n v="836700000"/>
    <n v="0"/>
    <n v="57300000"/>
    <x v="3"/>
    <x v="49"/>
    <n v="0.93280799268275527"/>
    <n v="1325800000"/>
    <n v="0.30380637444592978"/>
    <n v="431800000"/>
  </r>
  <r>
    <s v="CMG"/>
    <n v="1"/>
    <x v="1"/>
    <d v="2013-12-31T00:00:00"/>
    <n v="3214591000"/>
    <n v="2359822000"/>
    <n v="203733000"/>
    <n v="0"/>
    <n v="96054000"/>
    <x v="1"/>
    <x v="50"/>
    <n v="0.26590287846883165"/>
    <n v="854769000"/>
    <n v="0.1726446692596352"/>
    <n v="554982000"/>
  </r>
  <r>
    <s v="CMG"/>
    <n v="2"/>
    <x v="2"/>
    <d v="2014-12-31T00:00:00"/>
    <n v="4108269000"/>
    <n v="2990513000"/>
    <n v="273897000"/>
    <n v="0"/>
    <n v="110474000"/>
    <x v="1"/>
    <x v="50"/>
    <n v="0.27207468644336585"/>
    <n v="1117756000"/>
    <n v="0.17851435726336323"/>
    <n v="733385000"/>
  </r>
  <r>
    <s v="CMG"/>
    <n v="3"/>
    <x v="3"/>
    <d v="2015-12-31T00:00:00"/>
    <n v="4501223000"/>
    <n v="3326936000"/>
    <n v="250214000"/>
    <n v="0"/>
    <n v="130368000"/>
    <x v="1"/>
    <x v="50"/>
    <n v="0.26088176480036651"/>
    <n v="1174287000"/>
    <n v="0.17633096605078219"/>
    <n v="793705000"/>
  </r>
  <r>
    <s v="CMG"/>
    <n v="4"/>
    <x v="4"/>
    <d v="2016-12-31T00:00:00"/>
    <n v="3904384000"/>
    <n v="3406170000"/>
    <n v="276240000"/>
    <n v="0"/>
    <n v="146368000"/>
    <x v="1"/>
    <x v="50"/>
    <n v="0.12760373979608564"/>
    <n v="498214000"/>
    <n v="1.9364386289873126E-2"/>
    <n v="75606000"/>
  </r>
  <r>
    <s v="CMI"/>
    <n v="1"/>
    <x v="1"/>
    <d v="2013-12-31T00:00:00"/>
    <n v="17301000000"/>
    <n v="13021000000"/>
    <n v="1827000000"/>
    <n v="713000000"/>
    <n v="0"/>
    <x v="0"/>
    <x v="51"/>
    <n v="0.24738454424599732"/>
    <n v="4280000000"/>
    <n v="0.10057222125888678"/>
    <n v="1740000000"/>
  </r>
  <r>
    <s v="CMI"/>
    <n v="2"/>
    <x v="2"/>
    <d v="2014-12-31T00:00:00"/>
    <n v="19221000000"/>
    <n v="14360000000"/>
    <n v="2112000000"/>
    <n v="754000000"/>
    <n v="0"/>
    <x v="0"/>
    <x v="51"/>
    <n v="0.25290047344050781"/>
    <n v="4861000000"/>
    <n v="0.10379272670516622"/>
    <n v="1995000000"/>
  </r>
  <r>
    <s v="CMI"/>
    <n v="3"/>
    <x v="3"/>
    <d v="2015-12-31T00:00:00"/>
    <n v="19110000000"/>
    <n v="14163000000"/>
    <n v="2169000000"/>
    <n v="735000000"/>
    <n v="0"/>
    <x v="0"/>
    <x v="51"/>
    <n v="0.25886970172684454"/>
    <n v="4947000000"/>
    <n v="0.10690737833594977"/>
    <n v="2043000000"/>
  </r>
  <r>
    <s v="CMI"/>
    <n v="4"/>
    <x v="4"/>
    <d v="2016-12-31T00:00:00"/>
    <n v="17509000000"/>
    <n v="13057000000"/>
    <n v="2189000000"/>
    <n v="636000000"/>
    <n v="0"/>
    <x v="0"/>
    <x v="51"/>
    <n v="0.2542692329659032"/>
    <n v="4452000000"/>
    <n v="9.2923639271231942E-2"/>
    <n v="1627000000"/>
  </r>
  <r>
    <s v="CMS"/>
    <n v="1"/>
    <x v="1"/>
    <d v="2013-12-31T00:00:00"/>
    <n v="6566000000"/>
    <n v="4562000000"/>
    <n v="234000000"/>
    <n v="0"/>
    <n v="628000000"/>
    <x v="5"/>
    <x v="10"/>
    <n v="0.30520865062442892"/>
    <n v="2004000000"/>
    <n v="0.17392628693268353"/>
    <n v="1142000000"/>
  </r>
  <r>
    <s v="CMS"/>
    <n v="2"/>
    <x v="2"/>
    <d v="2014-12-31T00:00:00"/>
    <n v="7179000000"/>
    <n v="5090000000"/>
    <n v="252000000"/>
    <n v="0"/>
    <n v="685000000"/>
    <x v="5"/>
    <x v="10"/>
    <n v="0.29098760273018531"/>
    <n v="2089000000"/>
    <n v="0.16046803175929794"/>
    <n v="1152000000"/>
  </r>
  <r>
    <s v="CMS"/>
    <n v="3"/>
    <x v="3"/>
    <d v="2015-12-31T00:00:00"/>
    <n v="6456000000"/>
    <n v="4281000000"/>
    <n v="262000000"/>
    <n v="0"/>
    <n v="750000000"/>
    <x v="5"/>
    <x v="10"/>
    <n v="0.33689591078066916"/>
    <n v="2175000000"/>
    <n v="0.18014250309789342"/>
    <n v="1163000000"/>
  </r>
  <r>
    <s v="CMS"/>
    <n v="4"/>
    <x v="4"/>
    <d v="2016-12-31T00:00:00"/>
    <n v="6399000000"/>
    <n v="4010000000"/>
    <n v="281000000"/>
    <n v="0"/>
    <n v="811000000"/>
    <x v="5"/>
    <x v="10"/>
    <n v="0.37333958431004843"/>
    <n v="2389000000"/>
    <n v="0.20268791998749805"/>
    <n v="1297000000"/>
  </r>
  <r>
    <s v="PFG"/>
    <n v="1"/>
    <x v="1"/>
    <d v="2013-12-31T00:00:00"/>
    <n v="9289500000"/>
    <n v="4683600000"/>
    <n v="189000000"/>
    <n v="0"/>
    <n v="3292900000"/>
    <x v="3"/>
    <x v="42"/>
    <n v="0.49581785887292107"/>
    <n v="4605900000"/>
    <n v="0.12099682437160235"/>
    <n v="1124000000"/>
  </r>
  <r>
    <s v="PFG"/>
    <n v="2"/>
    <x v="2"/>
    <d v="2014-12-31T00:00:00"/>
    <n v="10477600000"/>
    <n v="5231000000"/>
    <n v="177400000"/>
    <n v="0"/>
    <n v="3574300000"/>
    <x v="3"/>
    <x v="42"/>
    <n v="0.50074444529281514"/>
    <n v="5246600000"/>
    <n v="0.14267580361914942"/>
    <n v="1494900000"/>
  </r>
  <r>
    <s v="PFG"/>
    <n v="3"/>
    <x v="3"/>
    <d v="2015-12-31T00:00:00"/>
    <n v="11964400000"/>
    <n v="6697700000"/>
    <n v="163500000"/>
    <n v="0"/>
    <n v="3672400000"/>
    <x v="3"/>
    <x v="42"/>
    <n v="0.44019758617231119"/>
    <n v="5266700000"/>
    <n v="0.11958811139714487"/>
    <n v="1430800000"/>
  </r>
  <r>
    <s v="PFG"/>
    <n v="4"/>
    <x v="4"/>
    <d v="2016-12-31T00:00:00"/>
    <n v="12394100000"/>
    <n v="6913200000"/>
    <n v="156600000"/>
    <n v="0"/>
    <n v="3732600000"/>
    <x v="3"/>
    <x v="42"/>
    <n v="0.44221847491951816"/>
    <n v="5480900000"/>
    <n v="0.12842400819744879"/>
    <n v="1591700000"/>
  </r>
  <r>
    <s v="CNP"/>
    <n v="1"/>
    <x v="0"/>
    <d v="2012-12-31T00:00:00"/>
    <n v="7452000000"/>
    <n v="4747000000"/>
    <n v="365000000"/>
    <n v="0"/>
    <n v="1050000000"/>
    <x v="5"/>
    <x v="10"/>
    <n v="0.36298980139559844"/>
    <n v="2705000000"/>
    <n v="0.17310789049919484"/>
    <n v="1290000000"/>
  </r>
  <r>
    <s v="CNP"/>
    <n v="2"/>
    <x v="1"/>
    <d v="2013-12-31T00:00:00"/>
    <n v="8106000000"/>
    <n v="5755000000"/>
    <n v="387000000"/>
    <n v="0"/>
    <n v="954000000"/>
    <x v="5"/>
    <x v="10"/>
    <n v="0.29003207500616823"/>
    <n v="2351000000"/>
    <n v="0.12459906242289662"/>
    <n v="1010000000"/>
  </r>
  <r>
    <s v="CNP"/>
    <n v="3"/>
    <x v="2"/>
    <d v="2014-12-31T00:00:00"/>
    <n v="9226000000"/>
    <n v="6890000000"/>
    <n v="388000000"/>
    <n v="0"/>
    <n v="1013000000"/>
    <x v="5"/>
    <x v="10"/>
    <n v="0.2531974853674398"/>
    <n v="2336000000"/>
    <n v="0.10134402774766962"/>
    <n v="935000000"/>
  </r>
  <r>
    <s v="CNP"/>
    <n v="4"/>
    <x v="3"/>
    <d v="2015-12-31T00:00:00"/>
    <n v="7386000000"/>
    <n v="5109000000"/>
    <n v="374000000"/>
    <n v="0"/>
    <n v="970000000"/>
    <x v="5"/>
    <x v="10"/>
    <n v="0.3082859463850528"/>
    <n v="2277000000"/>
    <n v="0.12632006498781478"/>
    <n v="933000000"/>
  </r>
  <r>
    <s v="PGR"/>
    <n v="1"/>
    <x v="0"/>
    <d v="2012-12-31T00:00:00"/>
    <n v="17083900000"/>
    <n v="15590900000"/>
    <n v="15400000"/>
    <n v="0"/>
    <n v="36100000"/>
    <x v="3"/>
    <x v="4"/>
    <n v="8.7392223087234155E-2"/>
    <n v="1493000000"/>
    <n v="8.4377688935196302E-2"/>
    <n v="1441500000"/>
  </r>
  <r>
    <s v="PGR"/>
    <n v="2"/>
    <x v="1"/>
    <d v="2013-12-31T00:00:00"/>
    <n v="18170900000"/>
    <n v="16275100000"/>
    <n v="18800000"/>
    <n v="0"/>
    <n v="38800000"/>
    <x v="3"/>
    <x v="4"/>
    <n v="0.10433165115651954"/>
    <n v="1895800000"/>
    <n v="0.10116174762945149"/>
    <n v="1838200000"/>
  </r>
  <r>
    <s v="PGR"/>
    <n v="3"/>
    <x v="2"/>
    <d v="2014-12-31T00:00:00"/>
    <n v="19391400000"/>
    <n v="17297300000"/>
    <n v="18900000"/>
    <n v="0"/>
    <n v="50900000"/>
    <x v="3"/>
    <x v="4"/>
    <n v="0.10799117134399783"/>
    <n v="2094100000"/>
    <n v="0.10439163753003909"/>
    <n v="2024300000"/>
  </r>
  <r>
    <s v="PGR"/>
    <n v="4"/>
    <x v="3"/>
    <d v="2015-12-31T00:00:00"/>
    <n v="20853800000"/>
    <n v="18705900000"/>
    <n v="22800000"/>
    <n v="0"/>
    <n v="77500000"/>
    <x v="3"/>
    <x v="4"/>
    <n v="0.10299801475030934"/>
    <n v="2147900000"/>
    <n v="9.8188339775005032E-2"/>
    <n v="2047600000"/>
  </r>
  <r>
    <s v="COG"/>
    <n v="1"/>
    <x v="0"/>
    <d v="2012-12-31T00:00:00"/>
    <n v="1204546000"/>
    <n v="290054000"/>
    <n v="170113000"/>
    <n v="0"/>
    <n v="451405000"/>
    <x v="8"/>
    <x v="25"/>
    <n v="0.75920056187144369"/>
    <n v="914492000"/>
    <n v="0.2432235879742243"/>
    <n v="292974000"/>
  </r>
  <r>
    <s v="COG"/>
    <n v="2"/>
    <x v="1"/>
    <d v="2013-12-31T00:00:00"/>
    <n v="1746278000"/>
    <n v="400281000"/>
    <n v="147651000"/>
    <n v="0"/>
    <n v="651052000"/>
    <x v="8"/>
    <x v="25"/>
    <n v="0.77078048283263034"/>
    <n v="1345997000"/>
    <n v="0.31340599835764982"/>
    <n v="547294000"/>
  </r>
  <r>
    <s v="COG"/>
    <n v="3"/>
    <x v="2"/>
    <d v="2014-12-31T00:00:00"/>
    <n v="2173011000"/>
    <n v="524880000"/>
    <n v="129602000"/>
    <n v="0"/>
    <n v="632760000"/>
    <x v="8"/>
    <x v="25"/>
    <n v="0.75845497330662381"/>
    <n v="1648131000"/>
    <n v="0.40762287903742778"/>
    <n v="885769000"/>
  </r>
  <r>
    <s v="COG"/>
    <n v="4"/>
    <x v="3"/>
    <d v="2015-12-31T00:00:00"/>
    <n v="1357150000"/>
    <n v="580994000"/>
    <n v="112253000"/>
    <n v="0"/>
    <n v="622211000"/>
    <x v="8"/>
    <x v="25"/>
    <n v="0.57190141104520498"/>
    <n v="776156000"/>
    <n v="3.0720259367055962E-2"/>
    <n v="41692000"/>
  </r>
  <r>
    <s v="COL"/>
    <n v="1"/>
    <x v="1"/>
    <d v="2013-09-30T00:00:00"/>
    <n v="4474000000"/>
    <n v="3103000000"/>
    <n v="495000000"/>
    <n v="0"/>
    <n v="0"/>
    <x v="0"/>
    <x v="52"/>
    <n v="0.3064371926687528"/>
    <n v="1371000000"/>
    <n v="0.19579794367456416"/>
    <n v="876000000"/>
  </r>
  <r>
    <s v="COL"/>
    <n v="2"/>
    <x v="2"/>
    <d v="2014-09-30T00:00:00"/>
    <n v="4979000000"/>
    <n v="3469000000"/>
    <n v="594000000"/>
    <n v="0"/>
    <n v="0"/>
    <x v="0"/>
    <x v="52"/>
    <n v="0.30327374974894561"/>
    <n v="1510000000"/>
    <n v="0.18397268527816832"/>
    <n v="916000000"/>
  </r>
  <r>
    <s v="COL"/>
    <n v="3"/>
    <x v="3"/>
    <d v="2015-09-30T00:00:00"/>
    <n v="5244000000"/>
    <n v="3630000000"/>
    <n v="606000000"/>
    <n v="0"/>
    <n v="0"/>
    <x v="0"/>
    <x v="52"/>
    <n v="0.30778032036613268"/>
    <n v="1614000000"/>
    <n v="0.19221967963386727"/>
    <n v="1008000000"/>
  </r>
  <r>
    <s v="COL"/>
    <n v="4"/>
    <x v="4"/>
    <d v="2016-09-30T00:00:00"/>
    <n v="5259000000"/>
    <n v="3642000000"/>
    <n v="638000000"/>
    <n v="0"/>
    <n v="0"/>
    <x v="0"/>
    <x v="52"/>
    <n v="0.30747290359383916"/>
    <n v="1617000000"/>
    <n v="0.18615706408062369"/>
    <n v="979000000"/>
  </r>
  <r>
    <s v="PNC"/>
    <n v="1"/>
    <x v="0"/>
    <d v="2012-12-31T00:00:00"/>
    <n v="16606000000"/>
    <n v="386000000"/>
    <n v="10486000000"/>
    <n v="0"/>
    <n v="987000000"/>
    <x v="3"/>
    <x v="17"/>
    <n v="0.97675538961821029"/>
    <n v="16220000000"/>
    <n v="0.28586053233770925"/>
    <n v="4747000000"/>
  </r>
  <r>
    <s v="PNC"/>
    <n v="2"/>
    <x v="1"/>
    <d v="2013-12-31T00:00:00"/>
    <n v="16872000000"/>
    <n v="344000000"/>
    <n v="9681000000"/>
    <n v="0"/>
    <n v="643000000"/>
    <x v="3"/>
    <x v="17"/>
    <n v="0.97961119013750597"/>
    <n v="16528000000"/>
    <n v="0.36770981507823614"/>
    <n v="6204000000"/>
  </r>
  <r>
    <s v="PNC"/>
    <n v="3"/>
    <x v="2"/>
    <d v="2014-12-31T00:00:00"/>
    <n v="16281000000"/>
    <n v="325000000"/>
    <n v="9488000000"/>
    <n v="0"/>
    <n v="273000000"/>
    <x v="3"/>
    <x v="17"/>
    <n v="0.98003808119894353"/>
    <n v="15956000000"/>
    <n v="0.38050488299244517"/>
    <n v="6195000000"/>
  </r>
  <r>
    <s v="PNC"/>
    <n v="4"/>
    <x v="3"/>
    <d v="2015-12-31T00:00:00"/>
    <n v="16270000000"/>
    <n v="403000000"/>
    <n v="9463000000"/>
    <n v="0"/>
    <n v="255000000"/>
    <x v="3"/>
    <x v="17"/>
    <n v="0.97523048555623848"/>
    <n v="15867000000"/>
    <n v="0.37793484941610328"/>
    <n v="6149000000"/>
  </r>
  <r>
    <s v="COST"/>
    <n v="1"/>
    <x v="1"/>
    <d v="2013-09-01T00:00:00"/>
    <n v="105156000000"/>
    <n v="91948000000"/>
    <n v="10104000000"/>
    <n v="0"/>
    <n v="0"/>
    <x v="4"/>
    <x v="53"/>
    <n v="0.12560386473429952"/>
    <n v="13208000000"/>
    <n v="2.9518049374263E-2"/>
    <n v="3104000000"/>
  </r>
  <r>
    <s v="COST"/>
    <n v="2"/>
    <x v="2"/>
    <d v="2014-08-31T00:00:00"/>
    <n v="112640000000"/>
    <n v="98458000000"/>
    <n v="10899000000"/>
    <n v="0"/>
    <n v="0"/>
    <x v="4"/>
    <x v="53"/>
    <n v="0.12590553977272723"/>
    <n v="14182000000"/>
    <n v="2.9145951704545453E-2"/>
    <n v="3283000000"/>
  </r>
  <r>
    <s v="COST"/>
    <n v="3"/>
    <x v="3"/>
    <d v="2015-08-30T00:00:00"/>
    <n v="116199000000"/>
    <n v="101065000000"/>
    <n v="11445000000"/>
    <n v="0"/>
    <n v="0"/>
    <x v="4"/>
    <x v="53"/>
    <n v="0.13024208469952414"/>
    <n v="15134000000"/>
    <n v="3.1747261164037553E-2"/>
    <n v="3689000000"/>
  </r>
  <r>
    <s v="COST"/>
    <n v="4"/>
    <x v="4"/>
    <d v="2016-08-28T00:00:00"/>
    <n v="118719000000"/>
    <n v="102901000000"/>
    <n v="12068000000"/>
    <n v="0"/>
    <n v="0"/>
    <x v="4"/>
    <x v="53"/>
    <n v="0.13323899291604546"/>
    <n v="15818000000"/>
    <n v="3.1587193288353167E-2"/>
    <n v="3750000000"/>
  </r>
  <r>
    <s v="COTY"/>
    <n v="1"/>
    <x v="5"/>
    <d v="2003-06-30T00:00:00"/>
    <n v="1577000"/>
    <n v="258000"/>
    <n v="2410000"/>
    <n v="65000"/>
    <n v="0"/>
    <x v="4"/>
    <x v="54"/>
    <n v="0.83639822447685486"/>
    <n v="1319000"/>
    <n v="-0.73303741280913126"/>
    <n v="-1156000"/>
  </r>
  <r>
    <s v="COTY"/>
    <n v="2"/>
    <x v="6"/>
    <d v="2004-06-30T00:00:00"/>
    <n v="1514000"/>
    <n v="142000"/>
    <n v="3940000"/>
    <n v="30000"/>
    <n v="163000"/>
    <x v="4"/>
    <x v="54"/>
    <n v="0.90620871862615582"/>
    <n v="1372000"/>
    <n v="-1.8236459709379129"/>
    <n v="-2761000"/>
  </r>
  <r>
    <s v="COTY"/>
    <n v="3"/>
    <x v="7"/>
    <d v="2006-02-28T00:00:00"/>
    <n v="79562000"/>
    <n v="75508000"/>
    <n v="15359000"/>
    <n v="0"/>
    <n v="0"/>
    <x v="4"/>
    <x v="54"/>
    <n v="5.0953973002186959E-2"/>
    <n v="4054000"/>
    <n v="-0.14209044518740102"/>
    <n v="-11305000"/>
  </r>
  <r>
    <s v="COTY"/>
    <n v="4"/>
    <x v="8"/>
    <d v="2007-02-28T00:00:00"/>
    <n v="99642000"/>
    <n v="84477000"/>
    <n v="25853000"/>
    <n v="0"/>
    <n v="0"/>
    <x v="4"/>
    <x v="54"/>
    <n v="0.15219485759017282"/>
    <n v="15165000"/>
    <n v="-0.10726400513839546"/>
    <n v="-10688000"/>
  </r>
  <r>
    <s v="CPB"/>
    <n v="1"/>
    <x v="1"/>
    <d v="2013-07-28T00:00:00"/>
    <n v="8052000000"/>
    <n v="5140000000"/>
    <n v="1653000000"/>
    <n v="128000000"/>
    <n v="0"/>
    <x v="4"/>
    <x v="37"/>
    <n v="0.36164927968206662"/>
    <n v="2912000000"/>
    <n v="0.14046199701937406"/>
    <n v="1131000000"/>
  </r>
  <r>
    <s v="CPB"/>
    <n v="2"/>
    <x v="2"/>
    <d v="2014-08-03T00:00:00"/>
    <n v="8268000000"/>
    <n v="5297000000"/>
    <n v="1527000000"/>
    <n v="122000000"/>
    <n v="0"/>
    <x v="4"/>
    <x v="37"/>
    <n v="0.35933720367682631"/>
    <n v="2971000000"/>
    <n v="0.15989356555394291"/>
    <n v="1322000000"/>
  </r>
  <r>
    <s v="CPB"/>
    <n v="3"/>
    <x v="3"/>
    <d v="2015-08-02T00:00:00"/>
    <n v="8082000000"/>
    <n v="5300000000"/>
    <n v="1509000000"/>
    <n v="117000000"/>
    <n v="0"/>
    <x v="4"/>
    <x v="37"/>
    <n v="0.34422172729522393"/>
    <n v="2782000000"/>
    <n v="0.14303390249938133"/>
    <n v="1156000000"/>
  </r>
  <r>
    <s v="CPB"/>
    <n v="4"/>
    <x v="4"/>
    <d v="2016-07-31T00:00:00"/>
    <n v="7961000000"/>
    <n v="5181000000"/>
    <n v="1665000000"/>
    <n v="124000000"/>
    <n v="0"/>
    <x v="4"/>
    <x v="37"/>
    <n v="0.34920236151237283"/>
    <n v="2780000000"/>
    <n v="0.12448184901394298"/>
    <n v="991000000"/>
  </r>
  <r>
    <s v="CRM"/>
    <n v="1"/>
    <x v="1"/>
    <d v="2013-01-31T00:00:00"/>
    <n v="3050195000"/>
    <n v="683579000"/>
    <n v="2047847000"/>
    <n v="429479000"/>
    <n v="0"/>
    <x v="2"/>
    <x v="15"/>
    <n v="0.7758900660449578"/>
    <n v="2366616000"/>
    <n v="-3.6296040089240193E-2"/>
    <n v="-110710000"/>
  </r>
  <r>
    <s v="CRM"/>
    <n v="2"/>
    <x v="2"/>
    <d v="2014-01-31T00:00:00"/>
    <n v="4071003000"/>
    <n v="968428000"/>
    <n v="2764851000"/>
    <n v="623798000"/>
    <n v="0"/>
    <x v="2"/>
    <x v="15"/>
    <n v="0.76211562605087735"/>
    <n v="3102575000"/>
    <n v="-7.0271134656496204E-2"/>
    <n v="-286074000"/>
  </r>
  <r>
    <s v="CRM"/>
    <n v="3"/>
    <x v="3"/>
    <d v="2015-01-31T00:00:00"/>
    <n v="5373586000"/>
    <n v="1289270000"/>
    <n v="3437032000"/>
    <n v="792917000"/>
    <n v="0"/>
    <x v="2"/>
    <x v="15"/>
    <n v="0.76007269633350982"/>
    <n v="4084316000"/>
    <n v="-2.7101641250368003E-2"/>
    <n v="-145633000"/>
  </r>
  <r>
    <s v="CRM"/>
    <n v="4"/>
    <x v="4"/>
    <d v="2016-01-31T00:00:00"/>
    <n v="6667216000"/>
    <n v="1654548000"/>
    <n v="3951445000"/>
    <n v="946300000"/>
    <n v="0"/>
    <x v="2"/>
    <x v="15"/>
    <n v="0.75183824852832126"/>
    <n v="5012668000"/>
    <n v="1.7237029668755295E-2"/>
    <n v="114923000"/>
  </r>
  <r>
    <s v="CSCO"/>
    <n v="1"/>
    <x v="1"/>
    <d v="2013-07-27T00:00:00"/>
    <n v="48607000000"/>
    <n v="19167000000"/>
    <n v="11802000000"/>
    <n v="5942000000"/>
    <n v="395000000"/>
    <x v="2"/>
    <x v="55"/>
    <n v="0.60567407986503996"/>
    <n v="29440000000"/>
    <n v="0.2324973769210196"/>
    <n v="11301000000"/>
  </r>
  <r>
    <s v="CSCO"/>
    <n v="2"/>
    <x v="2"/>
    <d v="2014-07-26T00:00:00"/>
    <n v="47142000000"/>
    <n v="19373000000"/>
    <n v="11437000000"/>
    <n v="6294000000"/>
    <n v="275000000"/>
    <x v="2"/>
    <x v="55"/>
    <n v="0.58905010394128376"/>
    <n v="27769000000"/>
    <n v="0.20709770480675407"/>
    <n v="9763000000"/>
  </r>
  <r>
    <s v="CSCO"/>
    <n v="3"/>
    <x v="3"/>
    <d v="2015-07-25T00:00:00"/>
    <n v="49161000000"/>
    <n v="19480000000"/>
    <n v="11861000000"/>
    <n v="6207000000"/>
    <n v="359000000"/>
    <x v="2"/>
    <x v="55"/>
    <n v="0.60375094078639568"/>
    <n v="29681000000"/>
    <n v="0.22892129940399911"/>
    <n v="11254000000"/>
  </r>
  <r>
    <s v="CSCO"/>
    <n v="4"/>
    <x v="4"/>
    <d v="2016-07-30T00:00:00"/>
    <n v="49247000000"/>
    <n v="18287000000"/>
    <n v="11433000000"/>
    <n v="6296000000"/>
    <n v="303000000"/>
    <x v="2"/>
    <x v="55"/>
    <n v="0.62866773610575266"/>
    <n v="30960000000"/>
    <n v="0.26251345259609721"/>
    <n v="12928000000"/>
  </r>
  <r>
    <s v="CSRA"/>
    <n v="1"/>
    <x v="3"/>
    <d v="2015-04-03T00:00:00"/>
    <n v="4069746000"/>
    <n v="3282301000"/>
    <n v="194207000"/>
    <n v="0"/>
    <n v="137058000"/>
    <x v="2"/>
    <x v="56"/>
    <n v="0.19348750511702695"/>
    <n v="787445000"/>
    <n v="0.11209053341412462"/>
    <n v="456180000"/>
  </r>
  <r>
    <s v="CSRA"/>
    <n v="2"/>
    <x v="4"/>
    <d v="2016-04-01T00:00:00"/>
    <n v="4250447000"/>
    <n v="3575631000"/>
    <n v="187244000"/>
    <n v="0"/>
    <n v="182242000"/>
    <x v="2"/>
    <x v="56"/>
    <n v="0.15876353710562674"/>
    <n v="674816000"/>
    <n v="7.1834797610698359E-2"/>
    <n v="305330000"/>
  </r>
  <r>
    <s v="CSX"/>
    <n v="1"/>
    <x v="1"/>
    <d v="2013-12-31T00:00:00"/>
    <n v="12026000000"/>
    <n v="3931000000"/>
    <n v="3518000000"/>
    <n v="0"/>
    <n v="1104000000"/>
    <x v="0"/>
    <x v="57"/>
    <n v="0.67312489605853987"/>
    <n v="8095000000"/>
    <n v="0.28879095293530682"/>
    <n v="3473000000"/>
  </r>
  <r>
    <s v="CSX"/>
    <n v="2"/>
    <x v="2"/>
    <d v="2014-12-26T00:00:00"/>
    <n v="12669000000"/>
    <n v="4100000000"/>
    <n v="3805000000"/>
    <n v="0"/>
    <n v="1151000000"/>
    <x v="0"/>
    <x v="57"/>
    <n v="0.67637540453074441"/>
    <n v="8569000000"/>
    <n v="0.28518430815376117"/>
    <n v="3613000000"/>
  </r>
  <r>
    <s v="CSX"/>
    <n v="3"/>
    <x v="3"/>
    <d v="2015-12-25T00:00:00"/>
    <n v="11811000000"/>
    <n v="3293000000"/>
    <n v="3726000000"/>
    <n v="0"/>
    <n v="1208000000"/>
    <x v="0"/>
    <x v="57"/>
    <n v="0.72119210905088482"/>
    <n v="8518000000"/>
    <n v="0.30344594022521376"/>
    <n v="3584000000"/>
  </r>
  <r>
    <s v="CSX"/>
    <n v="4"/>
    <x v="4"/>
    <d v="2016-12-30T00:00:00"/>
    <n v="11069000000"/>
    <n v="2782000000"/>
    <n v="3597000000"/>
    <n v="0"/>
    <n v="1301000000"/>
    <x v="0"/>
    <x v="57"/>
    <n v="0.74866744963411325"/>
    <n v="8287000000"/>
    <n v="0.30617038576203814"/>
    <n v="3389000000"/>
  </r>
  <r>
    <s v="CTAS"/>
    <n v="1"/>
    <x v="1"/>
    <d v="2013-05-31T00:00:00"/>
    <n v="4245964000"/>
    <n v="2492655000"/>
    <n v="1187331000"/>
    <n v="0"/>
    <n v="0"/>
    <x v="0"/>
    <x v="58"/>
    <n v="0.41293543704091695"/>
    <n v="1753309000"/>
    <n v="0.13329788005739096"/>
    <n v="565978000"/>
  </r>
  <r>
    <s v="CTAS"/>
    <n v="2"/>
    <x v="2"/>
    <d v="2014-05-31T00:00:00"/>
    <n v="4193844000"/>
    <n v="2444085000"/>
    <n v="1147039000"/>
    <n v="0"/>
    <n v="0"/>
    <x v="0"/>
    <x v="58"/>
    <n v="0.41722081221905249"/>
    <n v="1749759000"/>
    <n v="0.14371540763080362"/>
    <n v="602720000"/>
  </r>
  <r>
    <s v="CTAS"/>
    <n v="3"/>
    <x v="3"/>
    <d v="2015-05-31T00:00:00"/>
    <n v="4476886000"/>
    <n v="2555549000"/>
    <n v="1224930000"/>
    <n v="0"/>
    <n v="0"/>
    <x v="0"/>
    <x v="58"/>
    <n v="0.42916817627252513"/>
    <n v="1921337000"/>
    <n v="0.15555611646130815"/>
    <n v="696407000"/>
  </r>
  <r>
    <s v="CTAS"/>
    <n v="4"/>
    <x v="4"/>
    <d v="2016-05-31T00:00:00"/>
    <n v="4905458000"/>
    <n v="2775588000"/>
    <n v="1348122000"/>
    <n v="0"/>
    <n v="0"/>
    <x v="0"/>
    <x v="58"/>
    <n v="0.43418371944067202"/>
    <n v="2129870000"/>
    <n v="0.15936289740937543"/>
    <n v="781748000"/>
  </r>
  <r>
    <s v="CTL"/>
    <n v="1"/>
    <x v="0"/>
    <d v="2012-12-31T00:00:00"/>
    <n v="18376000000"/>
    <n v="7639000000"/>
    <n v="3244000000"/>
    <n v="0"/>
    <n v="4780000000"/>
    <x v="9"/>
    <x v="59"/>
    <n v="0.58429473225946893"/>
    <n v="10737000000"/>
    <n v="0.14763822377013497"/>
    <n v="2713000000"/>
  </r>
  <r>
    <s v="CTL"/>
    <n v="2"/>
    <x v="1"/>
    <d v="2013-12-31T00:00:00"/>
    <n v="18095000000"/>
    <n v="7507000000"/>
    <n v="3502000000"/>
    <n v="0"/>
    <n v="4541000000"/>
    <x v="9"/>
    <x v="59"/>
    <n v="0.58513401492124895"/>
    <n v="10588000000"/>
    <n v="0.14064658745509809"/>
    <n v="2545000000"/>
  </r>
  <r>
    <s v="CTL"/>
    <n v="3"/>
    <x v="2"/>
    <d v="2014-12-31T00:00:00"/>
    <n v="18031000000"/>
    <n v="7846000000"/>
    <n v="3347000000"/>
    <n v="0"/>
    <n v="4428000000"/>
    <x v="9"/>
    <x v="59"/>
    <n v="0.56486051799678338"/>
    <n v="10185000000"/>
    <n v="0.1336586989074372"/>
    <n v="2410000000"/>
  </r>
  <r>
    <s v="CTL"/>
    <n v="4"/>
    <x v="3"/>
    <d v="2015-12-31T00:00:00"/>
    <n v="17900000000"/>
    <n v="7778000000"/>
    <n v="3328000000"/>
    <n v="0"/>
    <n v="4189000000"/>
    <x v="9"/>
    <x v="59"/>
    <n v="0.56547486033519556"/>
    <n v="10122000000"/>
    <n v="0.14553072625698324"/>
    <n v="2605000000"/>
  </r>
  <r>
    <s v="CTSH"/>
    <n v="1"/>
    <x v="0"/>
    <d v="2012-12-31T00:00:00"/>
    <n v="7346472000"/>
    <n v="4278241000"/>
    <n v="1557646000"/>
    <n v="0"/>
    <n v="149089000"/>
    <x v="2"/>
    <x v="56"/>
    <n v="0.4176468650530486"/>
    <n v="3068231000"/>
    <n v="0.18532650774412535"/>
    <n v="1361496000"/>
  </r>
  <r>
    <s v="CTSH"/>
    <n v="2"/>
    <x v="1"/>
    <d v="2013-12-31T00:00:00"/>
    <n v="8843200000"/>
    <n v="5265500000"/>
    <n v="1727600000"/>
    <n v="0"/>
    <n v="172200000"/>
    <x v="2"/>
    <x v="56"/>
    <n v="0.40457074362221823"/>
    <n v="3577700000"/>
    <n v="0.18973900850370906"/>
    <n v="1677900000"/>
  </r>
  <r>
    <s v="CTSH"/>
    <n v="3"/>
    <x v="2"/>
    <d v="2014-12-31T00:00:00"/>
    <n v="10262700000"/>
    <n v="6141100000"/>
    <n v="2037000000"/>
    <n v="0"/>
    <n v="199700000"/>
    <x v="2"/>
    <x v="56"/>
    <n v="0.4016097128435987"/>
    <n v="4121600000"/>
    <n v="0.18366511736677482"/>
    <n v="1884900000"/>
  </r>
  <r>
    <s v="CTSH"/>
    <n v="4"/>
    <x v="3"/>
    <d v="2015-12-31T00:00:00"/>
    <n v="12416000000"/>
    <n v="7440200000"/>
    <n v="2508600000"/>
    <n v="0"/>
    <n v="325200000"/>
    <x v="2"/>
    <x v="56"/>
    <n v="0.40075708762886597"/>
    <n v="4975800000"/>
    <n v="0.17251932989690721"/>
    <n v="2142000000"/>
  </r>
  <r>
    <s v="CTXS"/>
    <n v="1"/>
    <x v="1"/>
    <d v="2013-12-31T00:00:00"/>
    <n v="2918434000"/>
    <n v="502795000"/>
    <n v="1476916000"/>
    <n v="516338000"/>
    <n v="41668000"/>
    <x v="2"/>
    <x v="15"/>
    <n v="0.82771753618550226"/>
    <n v="2415639000"/>
    <n v="0.13045249609893525"/>
    <n v="380717000"/>
  </r>
  <r>
    <s v="CTXS"/>
    <n v="2"/>
    <x v="2"/>
    <d v="2014-12-31T00:00:00"/>
    <n v="3142856000"/>
    <n v="620219000"/>
    <n v="1600187000"/>
    <n v="553817000"/>
    <n v="39577000"/>
    <x v="2"/>
    <x v="15"/>
    <n v="0.80265751914818884"/>
    <n v="2522637000"/>
    <n v="0.10469967443624525"/>
    <n v="329056000"/>
  </r>
  <r>
    <s v="CTXS"/>
    <n v="3"/>
    <x v="3"/>
    <d v="2015-12-31T00:00:00"/>
    <n v="3275594000"/>
    <n v="614364000"/>
    <n v="1538027000"/>
    <n v="563975000"/>
    <n v="41595000"/>
    <x v="2"/>
    <x v="15"/>
    <n v="0.81244195709236244"/>
    <n v="2661230000"/>
    <n v="0.1580272158271141"/>
    <n v="517633000"/>
  </r>
  <r>
    <s v="CTXS"/>
    <n v="4"/>
    <x v="4"/>
    <d v="2016-12-31T00:00:00"/>
    <n v="3418265000"/>
    <n v="559541000"/>
    <n v="1620006000"/>
    <n v="489265000"/>
    <n v="29173000"/>
    <x v="2"/>
    <x v="15"/>
    <n v="0.83630847813144971"/>
    <n v="2858724000"/>
    <n v="0.21071508499194766"/>
    <n v="720280000"/>
  </r>
  <r>
    <s v="CVS"/>
    <n v="1"/>
    <x v="1"/>
    <d v="2013-12-31T00:00:00"/>
    <n v="126761000000"/>
    <n v="102978000000"/>
    <n v="0"/>
    <n v="0"/>
    <n v="0"/>
    <x v="4"/>
    <x v="60"/>
    <n v="0.18762079819502842"/>
    <n v="23783000000"/>
    <n v="0.18762079819502844"/>
    <n v="23783000000"/>
  </r>
  <r>
    <s v="CVS"/>
    <n v="2"/>
    <x v="2"/>
    <d v="2014-12-31T00:00:00"/>
    <n v="139367000000"/>
    <n v="114000000000"/>
    <n v="0"/>
    <n v="0"/>
    <n v="0"/>
    <x v="4"/>
    <x v="60"/>
    <n v="0.18201582871124444"/>
    <n v="25367000000"/>
    <n v="0.18201582871124442"/>
    <n v="25367000000"/>
  </r>
  <r>
    <s v="CVS"/>
    <n v="3"/>
    <x v="3"/>
    <d v="2015-12-31T00:00:00"/>
    <n v="153290000000"/>
    <n v="126762000000"/>
    <n v="0"/>
    <n v="0"/>
    <n v="0"/>
    <x v="4"/>
    <x v="60"/>
    <n v="0.17305760323569708"/>
    <n v="26528000000"/>
    <n v="0.17305760323569705"/>
    <n v="26528000000"/>
  </r>
  <r>
    <s v="CVS"/>
    <n v="4"/>
    <x v="4"/>
    <d v="2016-12-31T00:00:00"/>
    <n v="177526000000"/>
    <n v="148669000000"/>
    <n v="0"/>
    <n v="0"/>
    <n v="0"/>
    <x v="4"/>
    <x v="60"/>
    <n v="0.16255083762378464"/>
    <n v="28857000000"/>
    <n v="0.16255083762378469"/>
    <n v="28857000000"/>
  </r>
  <r>
    <s v="CVX"/>
    <n v="1"/>
    <x v="0"/>
    <d v="2012-12-31T00:00:00"/>
    <n v="230590000000"/>
    <n v="163336000000"/>
    <n v="17100000000"/>
    <n v="0"/>
    <n v="13413000000"/>
    <x v="8"/>
    <x v="46"/>
    <n v="0.29166052300620149"/>
    <n v="67254000000"/>
    <n v="0.15933474998915825"/>
    <n v="36741000000"/>
  </r>
  <r>
    <s v="CVX"/>
    <n v="2"/>
    <x v="1"/>
    <d v="2013-12-31T00:00:00"/>
    <n v="220156000000"/>
    <n v="159323000000"/>
    <n v="17573000000"/>
    <n v="0"/>
    <n v="14186000000"/>
    <x v="8"/>
    <x v="46"/>
    <n v="0.2763177019931321"/>
    <n v="60833000000"/>
    <n v="0.13206090226929995"/>
    <n v="29074000000"/>
  </r>
  <r>
    <s v="CVX"/>
    <n v="3"/>
    <x v="2"/>
    <d v="2014-12-31T00:00:00"/>
    <n v="200494000000"/>
    <n v="144956000000"/>
    <n v="17034000000"/>
    <n v="0"/>
    <n v="16793000000"/>
    <x v="8"/>
    <x v="46"/>
    <n v="0.27700579568465888"/>
    <n v="55538000000"/>
    <n v="0.10828752980139056"/>
    <n v="21711000000"/>
  </r>
  <r>
    <s v="CVX"/>
    <n v="4"/>
    <x v="3"/>
    <d v="2015-12-31T00:00:00"/>
    <n v="129925000000"/>
    <n v="92785000000"/>
    <n v="16473000000"/>
    <n v="0"/>
    <n v="21037000000"/>
    <x v="8"/>
    <x v="46"/>
    <n v="0.28585722532230129"/>
    <n v="37140000000"/>
    <n v="-2.8477968058495287E-3"/>
    <n v="-370000000"/>
  </r>
  <r>
    <s v="CXO"/>
    <n v="1"/>
    <x v="0"/>
    <d v="2012-12-31T00:00:00"/>
    <n v="1819814000"/>
    <n v="343743000"/>
    <n v="133796000"/>
    <n v="0"/>
    <n v="579315000"/>
    <x v="8"/>
    <x v="25"/>
    <n v="0.81111091573094829"/>
    <n v="1476071000"/>
    <n v="0.41925163780474267"/>
    <n v="762960000"/>
  </r>
  <r>
    <s v="CXO"/>
    <n v="2"/>
    <x v="1"/>
    <d v="2013-12-31T00:00:00"/>
    <n v="2319919000"/>
    <n v="455436000"/>
    <n v="169815000"/>
    <n v="0"/>
    <n v="778655000"/>
    <x v="8"/>
    <x v="25"/>
    <n v="0.80368452519247435"/>
    <n v="1864483000"/>
    <n v="0.39484697526077417"/>
    <n v="916013000"/>
  </r>
  <r>
    <s v="CXO"/>
    <n v="3"/>
    <x v="2"/>
    <d v="2014-12-31T00:00:00"/>
    <n v="2660147000"/>
    <n v="538374000"/>
    <n v="204161000"/>
    <n v="0"/>
    <n v="986812000"/>
    <x v="8"/>
    <x v="25"/>
    <n v="0.79761494383581055"/>
    <n v="2121773000"/>
    <n v="0.3499054751485538"/>
    <n v="930800000"/>
  </r>
  <r>
    <s v="CXO"/>
    <n v="4"/>
    <x v="3"/>
    <d v="2015-12-31T00:00:00"/>
    <n v="1803573000"/>
    <n v="541359000"/>
    <n v="230734000"/>
    <n v="0"/>
    <n v="1230853000"/>
    <x v="8"/>
    <x v="25"/>
    <n v="0.69984081598027914"/>
    <n v="1262214000"/>
    <n v="-0.11054334922955711"/>
    <n v="-199373000"/>
  </r>
  <r>
    <s v="D"/>
    <n v="1"/>
    <x v="0"/>
    <d v="2012-12-31T00:00:00"/>
    <n v="12835000000"/>
    <n v="8300000000"/>
    <n v="550000000"/>
    <n v="0"/>
    <n v="1127000000"/>
    <x v="5"/>
    <x v="11"/>
    <n v="0.35333073626801714"/>
    <n v="4535000000"/>
    <n v="0.22267238021036229"/>
    <n v="2858000000"/>
  </r>
  <r>
    <s v="D"/>
    <n v="2"/>
    <x v="1"/>
    <d v="2013-12-31T00:00:00"/>
    <n v="13120000000"/>
    <n v="8033000000"/>
    <n v="563000000"/>
    <n v="0"/>
    <n v="1208000000"/>
    <x v="5"/>
    <x v="11"/>
    <n v="0.38772865853658534"/>
    <n v="5087000000"/>
    <n v="0.25274390243902439"/>
    <n v="3316000000"/>
  </r>
  <r>
    <s v="D"/>
    <n v="3"/>
    <x v="2"/>
    <d v="2014-12-31T00:00:00"/>
    <n v="12436000000"/>
    <n v="7881000000"/>
    <n v="542000000"/>
    <n v="0"/>
    <n v="1292000000"/>
    <x v="5"/>
    <x v="11"/>
    <n v="0.36627532968800258"/>
    <n v="4555000000"/>
    <n v="0.21880025731746541"/>
    <n v="2721000000"/>
  </r>
  <r>
    <s v="D"/>
    <n v="4"/>
    <x v="3"/>
    <d v="2015-12-31T00:00:00"/>
    <n v="11683000000"/>
    <n v="6201000000"/>
    <n v="551000000"/>
    <n v="0"/>
    <n v="1395000000"/>
    <x v="5"/>
    <x v="11"/>
    <n v="0.46922879397415052"/>
    <n v="5482000000"/>
    <n v="0.30266198750320977"/>
    <n v="3536000000"/>
  </r>
  <r>
    <s v="DAL"/>
    <n v="1"/>
    <x v="1"/>
    <d v="2013-12-31T00:00:00"/>
    <n v="37773000000"/>
    <n v="20964000000"/>
    <n v="11349000000"/>
    <n v="0"/>
    <n v="1658000000"/>
    <x v="0"/>
    <x v="0"/>
    <n v="0.44500039710904615"/>
    <n v="16809000000"/>
    <n v="0.10065390622931723"/>
    <n v="3802000000"/>
  </r>
  <r>
    <s v="DAL"/>
    <n v="2"/>
    <x v="2"/>
    <d v="2014-12-31T00:00:00"/>
    <n v="40362000000"/>
    <n v="22967000000"/>
    <n v="12702000000"/>
    <n v="0"/>
    <n v="1771000000"/>
    <x v="0"/>
    <x v="0"/>
    <n v="0.43097467915365939"/>
    <n v="17395000000"/>
    <n v="7.2394826817303401E-2"/>
    <n v="2922000000"/>
  </r>
  <r>
    <s v="DAL"/>
    <n v="3"/>
    <x v="3"/>
    <d v="2015-12-31T00:00:00"/>
    <n v="40704000000"/>
    <n v="17096000000"/>
    <n v="13936000000"/>
    <n v="0"/>
    <n v="1835000000"/>
    <x v="0"/>
    <x v="0"/>
    <n v="0.57999213836477992"/>
    <n v="23608000000"/>
    <n v="0.19253636006289307"/>
    <n v="7837000000"/>
  </r>
  <r>
    <s v="DAL"/>
    <n v="4"/>
    <x v="4"/>
    <d v="2016-12-31T00:00:00"/>
    <n v="39639000000"/>
    <n v="15940000000"/>
    <n v="14845000000"/>
    <n v="0"/>
    <n v="1902000000"/>
    <x v="0"/>
    <x v="0"/>
    <n v="0.59787078382401171"/>
    <n v="23699000000"/>
    <n v="0.17538283004112112"/>
    <n v="6952000000"/>
  </r>
  <r>
    <s v="DD"/>
    <n v="1"/>
    <x v="1"/>
    <d v="2013-12-31T00:00:00"/>
    <n v="28998000000"/>
    <n v="17642000000"/>
    <n v="6564000000"/>
    <n v="2037000000"/>
    <n v="0"/>
    <x v="7"/>
    <x v="61"/>
    <n v="0.39161321470446242"/>
    <n v="11356000000"/>
    <n v="9.5006552176012143E-2"/>
    <n v="2755000000"/>
  </r>
  <r>
    <s v="DD"/>
    <n v="2"/>
    <x v="2"/>
    <d v="2014-12-31T00:00:00"/>
    <n v="28406000000"/>
    <n v="17023000000"/>
    <n v="5536000000"/>
    <n v="1958000000"/>
    <n v="0"/>
    <x v="7"/>
    <x v="61"/>
    <n v="0.40072519890164049"/>
    <n v="11383000000"/>
    <n v="0.13690769555727664"/>
    <n v="3889000000"/>
  </r>
  <r>
    <s v="DD"/>
    <n v="3"/>
    <x v="3"/>
    <d v="2015-12-31T00:00:00"/>
    <n v="25130000000"/>
    <n v="15112000000"/>
    <n v="5074000000"/>
    <n v="1898000000"/>
    <n v="0"/>
    <x v="7"/>
    <x v="61"/>
    <n v="0.39864703541583768"/>
    <n v="10018000000"/>
    <n v="0.12120970951054516"/>
    <n v="3046000000"/>
  </r>
  <r>
    <s v="DD"/>
    <n v="4"/>
    <x v="4"/>
    <d v="2016-12-31T00:00:00"/>
    <n v="24594000000"/>
    <n v="14469000000"/>
    <n v="5005000000"/>
    <n v="1641000000"/>
    <n v="0"/>
    <x v="7"/>
    <x v="61"/>
    <n v="0.41168577701878506"/>
    <n v="10125000000"/>
    <n v="0.14145726599983735"/>
    <n v="3479000000"/>
  </r>
  <r>
    <s v="DE"/>
    <n v="1"/>
    <x v="1"/>
    <d v="2013-10-31T00:00:00"/>
    <n v="37795400000"/>
    <n v="25667300000"/>
    <n v="4426100000"/>
    <n v="1477300000"/>
    <n v="0"/>
    <x v="0"/>
    <x v="38"/>
    <n v="0.32088825624282324"/>
    <n v="12128100000"/>
    <n v="0.16469464538012563"/>
    <n v="6224700000"/>
  </r>
  <r>
    <s v="DE"/>
    <n v="2"/>
    <x v="2"/>
    <d v="2014-10-31T00:00:00"/>
    <n v="36066900000"/>
    <n v="24775800000"/>
    <n v="4377700000"/>
    <n v="1452000000"/>
    <n v="0"/>
    <x v="0"/>
    <x v="38"/>
    <n v="0.31305989702469572"/>
    <n v="11291100000"/>
    <n v="0.15142415899342609"/>
    <n v="5461400000"/>
  </r>
  <r>
    <s v="DE"/>
    <n v="3"/>
    <x v="3"/>
    <d v="2015-10-31T00:00:00"/>
    <n v="28862800000"/>
    <n v="20143200000"/>
    <n v="3834400000"/>
    <n v="1425100000"/>
    <n v="0"/>
    <x v="0"/>
    <x v="38"/>
    <n v="0.30210513186523835"/>
    <n v="8719600000"/>
    <n v="0.11988095403079396"/>
    <n v="3460100000"/>
  </r>
  <r>
    <s v="DE"/>
    <n v="4"/>
    <x v="4"/>
    <d v="2016-10-31T00:00:00"/>
    <n v="26644000000"/>
    <n v="18248900000"/>
    <n v="4018300000"/>
    <n v="1389100000"/>
    <n v="0"/>
    <x v="0"/>
    <x v="38"/>
    <n v="0.31508407146074158"/>
    <n v="8395100000"/>
    <n v="0.11213406395436121"/>
    <n v="2987700000"/>
  </r>
  <r>
    <s v="PRU"/>
    <n v="1"/>
    <x v="0"/>
    <d v="2012-12-31T00:00:00"/>
    <n v="84847000000"/>
    <n v="66635000000"/>
    <n v="17504000000"/>
    <n v="0"/>
    <n v="0"/>
    <x v="3"/>
    <x v="42"/>
    <n v="0.21464518486216366"/>
    <n v="18212000000"/>
    <n v="8.3444317418411972E-3"/>
    <n v="708000000"/>
  </r>
  <r>
    <s v="PRU"/>
    <n v="2"/>
    <x v="1"/>
    <d v="2013-12-31T00:00:00"/>
    <n v="41461000000"/>
    <n v="26973000000"/>
    <n v="16172000000"/>
    <n v="0"/>
    <n v="0"/>
    <x v="3"/>
    <x v="42"/>
    <n v="0.34943682014423194"/>
    <n v="14488000000"/>
    <n v="-4.0616482959890017E-2"/>
    <n v="-1684000000"/>
  </r>
  <r>
    <s v="PRU"/>
    <n v="3"/>
    <x v="2"/>
    <d v="2014-12-31T00:00:00"/>
    <n v="54105000000"/>
    <n v="33560000000"/>
    <n v="18786000000"/>
    <n v="0"/>
    <n v="0"/>
    <x v="3"/>
    <x v="42"/>
    <n v="0.37972460955549392"/>
    <n v="20545000000"/>
    <n v="3.2510858515848812E-2"/>
    <n v="1759000000"/>
  </r>
  <r>
    <s v="PRU"/>
    <n v="4"/>
    <x v="3"/>
    <d v="2015-12-31T00:00:00"/>
    <n v="57119000000"/>
    <n v="32747000000"/>
    <n v="16603000000"/>
    <n v="0"/>
    <n v="0"/>
    <x v="3"/>
    <x v="42"/>
    <n v="0.42668814229940999"/>
    <n v="24372000000"/>
    <n v="0.13601428596439014"/>
    <n v="7769000000"/>
  </r>
  <r>
    <s v="DG"/>
    <n v="1"/>
    <x v="1"/>
    <d v="2013-02-01T00:00:00"/>
    <n v="16022128000"/>
    <n v="10936727000"/>
    <n v="3430125000"/>
    <n v="0"/>
    <n v="0"/>
    <x v="1"/>
    <x v="62"/>
    <n v="0.31739860023587374"/>
    <n v="5085401000"/>
    <n v="0.10331186968422672"/>
    <n v="1655276000"/>
  </r>
  <r>
    <s v="DG"/>
    <n v="2"/>
    <x v="2"/>
    <d v="2014-01-31T00:00:00"/>
    <n v="17504167000"/>
    <n v="12068425000"/>
    <n v="3699557000"/>
    <n v="0"/>
    <n v="0"/>
    <x v="1"/>
    <x v="62"/>
    <n v="0.31053988458862392"/>
    <n v="5435742000"/>
    <n v="9.918695359796327E-2"/>
    <n v="1736185000"/>
  </r>
  <r>
    <s v="DG"/>
    <n v="3"/>
    <x v="3"/>
    <d v="2015-01-30T00:00:00"/>
    <n v="18909588000"/>
    <n v="13107081000"/>
    <n v="4033414000"/>
    <n v="0"/>
    <n v="0"/>
    <x v="1"/>
    <x v="62"/>
    <n v="0.30685528420820163"/>
    <n v="5802507000"/>
    <n v="9.3555343458567156E-2"/>
    <n v="1769093000"/>
  </r>
  <r>
    <s v="DG"/>
    <n v="4"/>
    <x v="4"/>
    <d v="2016-01-29T00:00:00"/>
    <n v="20368562000"/>
    <n v="14062471000"/>
    <n v="4365797000"/>
    <n v="0"/>
    <n v="0"/>
    <x v="1"/>
    <x v="62"/>
    <n v="0.30959922453043076"/>
    <n v="6306091000"/>
    <n v="9.5259252960518279E-2"/>
    <n v="1940294000"/>
  </r>
  <r>
    <s v="STI"/>
    <n v="1"/>
    <x v="0"/>
    <d v="2012-12-31T00:00:00"/>
    <n v="11240000000"/>
    <n v="429000000"/>
    <n v="6073000000"/>
    <n v="0"/>
    <n v="1441000000"/>
    <x v="3"/>
    <x v="17"/>
    <n v="0.96183274021352316"/>
    <n v="10811000000"/>
    <n v="0.29332740213523134"/>
    <n v="3297000000"/>
  </r>
  <r>
    <s v="STI"/>
    <n v="2"/>
    <x v="1"/>
    <d v="2013-12-31T00:00:00"/>
    <n v="8602000000"/>
    <n v="291000000"/>
    <n v="5808000000"/>
    <n v="0"/>
    <n v="576000000"/>
    <x v="3"/>
    <x v="17"/>
    <n v="0.9661706579865148"/>
    <n v="8311000000"/>
    <n v="0.22401767030923042"/>
    <n v="1927000000"/>
  </r>
  <r>
    <s v="STI"/>
    <n v="3"/>
    <x v="2"/>
    <d v="2014-12-31T00:00:00"/>
    <n v="8707000000"/>
    <n v="235000000"/>
    <n v="5518000000"/>
    <n v="0"/>
    <n v="367000000"/>
    <x v="3"/>
    <x v="17"/>
    <n v="0.9730102216607327"/>
    <n v="8472000000"/>
    <n v="0.29711726197312505"/>
    <n v="2587000000"/>
  </r>
  <r>
    <s v="STI"/>
    <n v="4"/>
    <x v="3"/>
    <d v="2015-12-31T00:00:00"/>
    <n v="8533000000"/>
    <n v="219000000"/>
    <n v="5120000000"/>
    <n v="0"/>
    <n v="205000000"/>
    <x v="3"/>
    <x v="17"/>
    <n v="0.97433493495839685"/>
    <n v="8314000000"/>
    <n v="0.35028712059064809"/>
    <n v="2989000000"/>
  </r>
  <r>
    <s v="DHI"/>
    <n v="1"/>
    <x v="1"/>
    <d v="2013-09-30T00:00:00"/>
    <n v="6259300000"/>
    <n v="4853500000"/>
    <n v="649900000"/>
    <n v="0"/>
    <n v="0"/>
    <x v="1"/>
    <x v="63"/>
    <n v="0.22459380441902455"/>
    <n v="1405800000"/>
    <n v="0.12076430271755628"/>
    <n v="755900000"/>
  </r>
  <r>
    <s v="DHI"/>
    <n v="2"/>
    <x v="2"/>
    <d v="2014-09-30T00:00:00"/>
    <n v="8024900000"/>
    <n v="6268600000"/>
    <n v="826900000"/>
    <n v="0"/>
    <n v="0"/>
    <x v="1"/>
    <x v="63"/>
    <n v="0.21885630973594683"/>
    <n v="1756300000"/>
    <n v="0.11581452728382909"/>
    <n v="929400000"/>
  </r>
  <r>
    <s v="DHI"/>
    <n v="3"/>
    <x v="3"/>
    <d v="2015-09-30T00:00:00"/>
    <n v="10824000000"/>
    <n v="8535700000"/>
    <n v="1003000000"/>
    <n v="0"/>
    <n v="0"/>
    <x v="1"/>
    <x v="63"/>
    <n v="0.211409830007391"/>
    <n v="2288300000"/>
    <n v="0.11874538063562454"/>
    <n v="1285300000"/>
  </r>
  <r>
    <s v="DHI"/>
    <n v="4"/>
    <x v="4"/>
    <d v="2016-09-30T00:00:00"/>
    <n v="12157400000"/>
    <n v="9502600000"/>
    <n v="1100300000"/>
    <n v="0"/>
    <n v="0"/>
    <x v="1"/>
    <x v="63"/>
    <n v="0.21836905917383653"/>
    <n v="2654800000"/>
    <n v="0.12786451050389064"/>
    <n v="1554500000"/>
  </r>
  <r>
    <s v="DHR"/>
    <n v="1"/>
    <x v="0"/>
    <d v="2012-12-31T00:00:00"/>
    <n v="18260400000"/>
    <n v="8846100000"/>
    <n v="5181200000"/>
    <n v="1137900000"/>
    <n v="0"/>
    <x v="0"/>
    <x v="52"/>
    <n v="0.51555825721232829"/>
    <n v="9414300000"/>
    <n v="0.1695034062780662"/>
    <n v="3095200000"/>
  </r>
  <r>
    <s v="DHR"/>
    <n v="2"/>
    <x v="1"/>
    <d v="2013-12-31T00:00:00"/>
    <n v="18283100000"/>
    <n v="8941100000"/>
    <n v="5117100000"/>
    <n v="1104400000"/>
    <n v="0"/>
    <x v="0"/>
    <x v="52"/>
    <n v="0.5109636768381729"/>
    <n v="9342000000"/>
    <n v="0.17067674519091403"/>
    <n v="3120500000"/>
  </r>
  <r>
    <s v="DHR"/>
    <n v="3"/>
    <x v="2"/>
    <d v="2014-12-31T00:00:00"/>
    <n v="19154000000"/>
    <n v="9261400000"/>
    <n v="5389000000"/>
    <n v="1157000000"/>
    <n v="0"/>
    <x v="0"/>
    <x v="52"/>
    <n v="0.51647697608854548"/>
    <n v="9892600000"/>
    <n v="0.17472068497441787"/>
    <n v="3346600000"/>
  </r>
  <r>
    <s v="DHR"/>
    <n v="4"/>
    <x v="3"/>
    <d v="2015-12-31T00:00:00"/>
    <n v="20563100000"/>
    <n v="9800600000"/>
    <n v="6054300000"/>
    <n v="1239100000"/>
    <n v="0"/>
    <x v="0"/>
    <x v="52"/>
    <n v="0.52338898317860627"/>
    <n v="10762500000"/>
    <n v="0.16870510769290623"/>
    <n v="3469100000"/>
  </r>
  <r>
    <s v="DIS"/>
    <n v="1"/>
    <x v="1"/>
    <d v="2013-09-28T00:00:00"/>
    <n v="45041000000"/>
    <n v="25034000000"/>
    <n v="8365000000"/>
    <n v="0"/>
    <n v="2192000000"/>
    <x v="1"/>
    <x v="64"/>
    <n v="0.4441952887369286"/>
    <n v="20007000000"/>
    <n v="0.20980884083390688"/>
    <n v="9450000000"/>
  </r>
  <r>
    <s v="DIS"/>
    <n v="2"/>
    <x v="2"/>
    <d v="2014-09-27T00:00:00"/>
    <n v="48813000000"/>
    <n v="26420000000"/>
    <n v="8565000000"/>
    <n v="0"/>
    <n v="2288000000"/>
    <x v="1"/>
    <x v="64"/>
    <n v="0.45875074263003712"/>
    <n v="22393000000"/>
    <n v="0.23641243111466209"/>
    <n v="11540000000"/>
  </r>
  <r>
    <s v="DIS"/>
    <n v="3"/>
    <x v="3"/>
    <d v="2015-10-03T00:00:00"/>
    <n v="52465000000"/>
    <n v="28364000000"/>
    <n v="8523000000"/>
    <n v="0"/>
    <n v="2354000000"/>
    <x v="1"/>
    <x v="64"/>
    <n v="0.4593729152768512"/>
    <n v="24101000000"/>
    <n v="0.25205375011912706"/>
    <n v="13224000000"/>
  </r>
  <r>
    <s v="DIS"/>
    <n v="4"/>
    <x v="4"/>
    <d v="2016-10-01T00:00:00"/>
    <n v="55632000000"/>
    <n v="29993000000"/>
    <n v="8754000000"/>
    <n v="0"/>
    <n v="2527000000"/>
    <x v="1"/>
    <x v="64"/>
    <n v="0.46086784584411844"/>
    <n v="25639000000"/>
    <n v="0.25808886971527178"/>
    <n v="14358000000"/>
  </r>
  <r>
    <s v="DISCA"/>
    <n v="1"/>
    <x v="1"/>
    <d v="2013-12-31T00:00:00"/>
    <n v="5535000000"/>
    <n v="1689000000"/>
    <n v="1598000000"/>
    <n v="0"/>
    <n v="276000000"/>
    <x v="1"/>
    <x v="48"/>
    <n v="0.69485094850948514"/>
    <n v="3846000000"/>
    <n v="0.35627822944896115"/>
    <n v="1972000000"/>
  </r>
  <r>
    <s v="DISCA"/>
    <n v="2"/>
    <x v="2"/>
    <d v="2014-12-31T00:00:00"/>
    <n v="6265000000"/>
    <n v="2124000000"/>
    <n v="1692000000"/>
    <n v="0"/>
    <n v="329000000"/>
    <x v="1"/>
    <x v="48"/>
    <n v="0.66097366320830009"/>
    <n v="4141000000"/>
    <n v="0.33838786911412611"/>
    <n v="2120000000"/>
  </r>
  <r>
    <s v="DISCA"/>
    <n v="3"/>
    <x v="3"/>
    <d v="2015-12-31T00:00:00"/>
    <n v="6394000000"/>
    <n v="2343000000"/>
    <n v="1669000000"/>
    <n v="0"/>
    <n v="330000000"/>
    <x v="1"/>
    <x v="48"/>
    <n v="0.633562715045355"/>
    <n v="4051000000"/>
    <n v="0.32092586800125117"/>
    <n v="2052000000"/>
  </r>
  <r>
    <s v="DISCA"/>
    <n v="4"/>
    <x v="4"/>
    <d v="2016-12-31T00:00:00"/>
    <n v="6497000000"/>
    <n v="2432000000"/>
    <n v="1690000000"/>
    <n v="0"/>
    <n v="322000000"/>
    <x v="1"/>
    <x v="48"/>
    <n v="0.6256733877174081"/>
    <n v="4065000000"/>
    <n v="0.3159919963059874"/>
    <n v="2053000000"/>
  </r>
  <r>
    <s v="DISCK"/>
    <n v="1"/>
    <x v="1"/>
    <d v="2013-12-31T00:00:00"/>
    <n v="5535000000"/>
    <n v="1689000000"/>
    <n v="1598000000"/>
    <n v="0"/>
    <n v="276000000"/>
    <x v="1"/>
    <x v="48"/>
    <n v="0.69485094850948514"/>
    <n v="3846000000"/>
    <n v="0.35627822944896115"/>
    <n v="1972000000"/>
  </r>
  <r>
    <s v="DISCK"/>
    <n v="2"/>
    <x v="2"/>
    <d v="2014-12-31T00:00:00"/>
    <n v="6265000000"/>
    <n v="2124000000"/>
    <n v="1692000000"/>
    <n v="0"/>
    <n v="329000000"/>
    <x v="1"/>
    <x v="48"/>
    <n v="0.66097366320830009"/>
    <n v="4141000000"/>
    <n v="0.33838786911412611"/>
    <n v="2120000000"/>
  </r>
  <r>
    <s v="DISCK"/>
    <n v="3"/>
    <x v="3"/>
    <d v="2015-12-31T00:00:00"/>
    <n v="6394000000"/>
    <n v="2343000000"/>
    <n v="1669000000"/>
    <n v="0"/>
    <n v="330000000"/>
    <x v="1"/>
    <x v="48"/>
    <n v="0.633562715045355"/>
    <n v="4051000000"/>
    <n v="0.32092586800125117"/>
    <n v="2052000000"/>
  </r>
  <r>
    <s v="DISCK"/>
    <n v="4"/>
    <x v="4"/>
    <d v="2016-12-31T00:00:00"/>
    <n v="6497000000"/>
    <n v="2432000000"/>
    <n v="1690000000"/>
    <n v="0"/>
    <n v="322000000"/>
    <x v="1"/>
    <x v="48"/>
    <n v="0.6256733877174081"/>
    <n v="4065000000"/>
    <n v="0.3159919963059874"/>
    <n v="2053000000"/>
  </r>
  <r>
    <s v="DLPH"/>
    <n v="1"/>
    <x v="1"/>
    <d v="2013-12-31T00:00:00"/>
    <n v="15051000000"/>
    <n v="12274000000"/>
    <n v="916000000"/>
    <n v="0"/>
    <n v="97000000"/>
    <x v="1"/>
    <x v="36"/>
    <n v="0.18450601288950896"/>
    <n v="2777000000"/>
    <n v="0.11720151484951166"/>
    <n v="1764000000"/>
  </r>
  <r>
    <s v="DLPH"/>
    <n v="2"/>
    <x v="2"/>
    <d v="2014-12-31T00:00:00"/>
    <n v="15499000000"/>
    <n v="12471000000"/>
    <n v="1036000000"/>
    <n v="0"/>
    <n v="94000000"/>
    <x v="1"/>
    <x v="36"/>
    <n v="0.19536744306084264"/>
    <n v="3028000000"/>
    <n v="0.1224595135170011"/>
    <n v="1898000000"/>
  </r>
  <r>
    <s v="DLPH"/>
    <n v="3"/>
    <x v="3"/>
    <d v="2015-12-31T00:00:00"/>
    <n v="15165000000"/>
    <n v="12155000000"/>
    <n v="1017000000"/>
    <n v="0"/>
    <n v="93000000"/>
    <x v="1"/>
    <x v="36"/>
    <n v="0.19848334981866134"/>
    <n v="3010000000"/>
    <n v="0.12528849324101549"/>
    <n v="1900000000"/>
  </r>
  <r>
    <s v="DLPH"/>
    <n v="4"/>
    <x v="4"/>
    <d v="2016-12-31T00:00:00"/>
    <n v="16661000000"/>
    <n v="13107000000"/>
    <n v="1145000000"/>
    <n v="0"/>
    <n v="134000000"/>
    <x v="1"/>
    <x v="36"/>
    <n v="0.21331252625892805"/>
    <n v="3554000000"/>
    <n v="0.13654642578476683"/>
    <n v="2275000000"/>
  </r>
  <r>
    <s v="DLR"/>
    <n v="1"/>
    <x v="0"/>
    <d v="2012-12-31T00:00:00"/>
    <n v="1279067000"/>
    <n v="461898000"/>
    <n v="68538000"/>
    <n v="0"/>
    <n v="382553000"/>
    <x v="6"/>
    <x v="22"/>
    <n v="0.63887896411994061"/>
    <n v="817169000"/>
    <n v="0.2862070556116294"/>
    <n v="366078000"/>
  </r>
  <r>
    <s v="DLR"/>
    <n v="2"/>
    <x v="1"/>
    <d v="2013-12-31T00:00:00"/>
    <n v="1482259000"/>
    <n v="555660000"/>
    <n v="69323000"/>
    <n v="0"/>
    <n v="475464000"/>
    <x v="6"/>
    <x v="22"/>
    <n v="0.62512624311945486"/>
    <n v="926599000"/>
    <n v="0.2575879114243867"/>
    <n v="381812000"/>
  </r>
  <r>
    <s v="DLR"/>
    <n v="3"/>
    <x v="2"/>
    <d v="2014-12-31T00:00:00"/>
    <n v="1616438000"/>
    <n v="603321000"/>
    <n v="89468000"/>
    <n v="0"/>
    <n v="538513000"/>
    <x v="6"/>
    <x v="22"/>
    <n v="0.62675896013333021"/>
    <n v="1013117000"/>
    <n v="0.238262154193356"/>
    <n v="385136000"/>
  </r>
  <r>
    <s v="DLR"/>
    <n v="4"/>
    <x v="3"/>
    <d v="2015-12-31T00:00:00"/>
    <n v="1763336000"/>
    <n v="651282000"/>
    <n v="139616000"/>
    <n v="0"/>
    <n v="570527000"/>
    <x v="6"/>
    <x v="22"/>
    <n v="0.630653488614762"/>
    <n v="1112054000"/>
    <n v="0.22792649840983228"/>
    <n v="401911000"/>
  </r>
  <r>
    <s v="DLTR"/>
    <n v="1"/>
    <x v="1"/>
    <d v="2013-02-02T00:00:00"/>
    <n v="7394500000"/>
    <n v="4741800000"/>
    <n v="1732600000"/>
    <n v="0"/>
    <n v="0"/>
    <x v="1"/>
    <x v="62"/>
    <n v="0.35873960375955105"/>
    <n v="2652700000"/>
    <n v="0.12443031983230779"/>
    <n v="920100000"/>
  </r>
  <r>
    <s v="DLTR"/>
    <n v="2"/>
    <x v="2"/>
    <d v="2014-02-01T00:00:00"/>
    <n v="7840300000"/>
    <n v="5050500000"/>
    <n v="1819500000"/>
    <n v="0"/>
    <n v="0"/>
    <x v="1"/>
    <x v="62"/>
    <n v="0.35582822085889576"/>
    <n v="2789800000"/>
    <n v="0.12375801946354094"/>
    <n v="970300000"/>
  </r>
  <r>
    <s v="DLTR"/>
    <n v="3"/>
    <x v="3"/>
    <d v="2015-01-31T00:00:00"/>
    <n v="8602200000"/>
    <n v="5568200000"/>
    <n v="1993800000"/>
    <n v="0"/>
    <n v="0"/>
    <x v="1"/>
    <x v="62"/>
    <n v="0.35270047197228616"/>
    <n v="3034000000"/>
    <n v="0.12092255469531051"/>
    <n v="1040200000"/>
  </r>
  <r>
    <s v="DLTR"/>
    <n v="4"/>
    <x v="4"/>
    <d v="2016-01-30T00:00:00"/>
    <n v="15498400000"/>
    <n v="10841700000"/>
    <n v="3607000000"/>
    <n v="0"/>
    <n v="0"/>
    <x v="1"/>
    <x v="62"/>
    <n v="0.30046327362824554"/>
    <n v="4656700000"/>
    <n v="6.7729572084860371E-2"/>
    <n v="1049700000"/>
  </r>
  <r>
    <s v="DNB"/>
    <n v="1"/>
    <x v="0"/>
    <d v="2012-12-31T00:00:00"/>
    <n v="1663000000"/>
    <n v="0"/>
    <n v="1123200000"/>
    <n v="0"/>
    <n v="78300000"/>
    <x v="0"/>
    <x v="65"/>
    <n v="1"/>
    <n v="1663000000"/>
    <n v="0.27751052315093205"/>
    <n v="461500000"/>
  </r>
  <r>
    <s v="DNB"/>
    <n v="2"/>
    <x v="1"/>
    <d v="2013-12-31T00:00:00"/>
    <n v="1558400000"/>
    <n v="0"/>
    <n v="1058000000"/>
    <n v="0"/>
    <n v="60400000"/>
    <x v="0"/>
    <x v="65"/>
    <n v="1"/>
    <n v="1558400000"/>
    <n v="0.28234086242299794"/>
    <n v="440000000"/>
  </r>
  <r>
    <s v="DNB"/>
    <n v="3"/>
    <x v="2"/>
    <d v="2014-12-31T00:00:00"/>
    <n v="1584500000"/>
    <n v="0"/>
    <n v="1105700000"/>
    <n v="0"/>
    <n v="52500000"/>
    <x v="0"/>
    <x v="65"/>
    <n v="1"/>
    <n v="1584500000"/>
    <n v="0.26904386241716632"/>
    <n v="426300000"/>
  </r>
  <r>
    <s v="DNB"/>
    <n v="4"/>
    <x v="3"/>
    <d v="2015-12-31T00:00:00"/>
    <n v="1637100000"/>
    <n v="0"/>
    <n v="1209100000"/>
    <n v="0"/>
    <n v="58700000"/>
    <x v="0"/>
    <x v="65"/>
    <n v="1"/>
    <n v="1637100000"/>
    <n v="0.22558182151365219"/>
    <n v="369300000"/>
  </r>
  <r>
    <s v="DOV"/>
    <n v="1"/>
    <x v="1"/>
    <d v="2013-12-31T00:00:00"/>
    <n v="7155096000"/>
    <n v="4376505000"/>
    <n v="1616921000"/>
    <n v="0"/>
    <n v="0"/>
    <x v="0"/>
    <x v="51"/>
    <n v="0.38833734725571811"/>
    <n v="2778591000"/>
    <n v="0.16235561339777971"/>
    <n v="1161670000"/>
  </r>
  <r>
    <s v="DOV"/>
    <n v="2"/>
    <x v="2"/>
    <d v="2014-12-31T00:00:00"/>
    <n v="7752728000"/>
    <n v="4778479000"/>
    <n v="1758765000"/>
    <n v="0"/>
    <n v="0"/>
    <x v="0"/>
    <x v="51"/>
    <n v="0.38363902357982893"/>
    <n v="2974249000"/>
    <n v="0.15678145808804334"/>
    <n v="1215484000"/>
  </r>
  <r>
    <s v="DOV"/>
    <n v="3"/>
    <x v="3"/>
    <d v="2015-12-31T00:00:00"/>
    <n v="6956311000"/>
    <n v="4388167000"/>
    <n v="1647382000"/>
    <n v="0"/>
    <n v="0"/>
    <x v="0"/>
    <x v="51"/>
    <n v="0.36918188390369555"/>
    <n v="2568144000"/>
    <n v="0.13236354728821068"/>
    <n v="920762000"/>
  </r>
  <r>
    <s v="DOV"/>
    <n v="4"/>
    <x v="4"/>
    <d v="2016-12-31T00:00:00"/>
    <n v="6794342000"/>
    <n v="4322373000"/>
    <n v="1757523000"/>
    <n v="0"/>
    <n v="0"/>
    <x v="0"/>
    <x v="51"/>
    <n v="0.36382757888843398"/>
    <n v="2471969000"/>
    <n v="0.10515308178481449"/>
    <n v="714446000"/>
  </r>
  <r>
    <s v="DPS"/>
    <n v="1"/>
    <x v="1"/>
    <d v="2013-12-31T00:00:00"/>
    <n v="5997000000"/>
    <n v="2499000000"/>
    <n v="2337000000"/>
    <n v="0"/>
    <n v="115000000"/>
    <x v="4"/>
    <x v="66"/>
    <n v="0.58329164582291138"/>
    <n v="3498000000"/>
    <n v="0.1744205436051359"/>
    <n v="1046000000"/>
  </r>
  <r>
    <s v="DPS"/>
    <n v="2"/>
    <x v="2"/>
    <d v="2014-12-31T00:00:00"/>
    <n v="6121000000"/>
    <n v="2491000000"/>
    <n v="2335000000"/>
    <n v="0"/>
    <n v="115000000"/>
    <x v="4"/>
    <x v="66"/>
    <n v="0.59304035288351575"/>
    <n v="3630000000"/>
    <n v="0.19277895768665251"/>
    <n v="1180000000"/>
  </r>
  <r>
    <s v="DPS"/>
    <n v="3"/>
    <x v="3"/>
    <d v="2015-12-31T00:00:00"/>
    <n v="6282000000"/>
    <n v="2559000000"/>
    <n v="2320000000"/>
    <n v="0"/>
    <n v="105000000"/>
    <x v="4"/>
    <x v="66"/>
    <n v="0.59264565425023874"/>
    <n v="3723000000"/>
    <n v="0.20662209487424388"/>
    <n v="1298000000"/>
  </r>
  <r>
    <s v="DPS"/>
    <n v="4"/>
    <x v="4"/>
    <d v="2016-12-31T00:00:00"/>
    <n v="6440000000"/>
    <n v="2582000000"/>
    <n v="2326000000"/>
    <n v="0"/>
    <n v="99000000"/>
    <x v="4"/>
    <x v="66"/>
    <n v="0.59906832298136647"/>
    <n v="3858000000"/>
    <n v="0.22251552795031057"/>
    <n v="1433000000"/>
  </r>
  <r>
    <s v="DRI"/>
    <n v="1"/>
    <x v="1"/>
    <d v="2013-05-26T00:00:00"/>
    <n v="5921000000"/>
    <n v="4616600000"/>
    <n v="625200000"/>
    <n v="0"/>
    <n v="278300000"/>
    <x v="1"/>
    <x v="50"/>
    <n v="0.22030062489444346"/>
    <n v="1304400000"/>
    <n v="6.7708157405843614E-2"/>
    <n v="400900000"/>
  </r>
  <r>
    <s v="DRI"/>
    <n v="2"/>
    <x v="2"/>
    <d v="2014-05-25T00:00:00"/>
    <n v="6285600000"/>
    <n v="4990500000"/>
    <n v="665400000"/>
    <n v="0"/>
    <n v="304400000"/>
    <x v="1"/>
    <x v="50"/>
    <n v="0.20604238258877439"/>
    <n v="1295100000"/>
    <n v="5.175321369479445E-2"/>
    <n v="325300000"/>
  </r>
  <r>
    <s v="DRI"/>
    <n v="3"/>
    <x v="3"/>
    <d v="2015-05-31T00:00:00"/>
    <n v="6764000000"/>
    <n v="5341500000"/>
    <n v="673500000"/>
    <n v="0"/>
    <n v="319300000"/>
    <x v="1"/>
    <x v="50"/>
    <n v="0.21030455351862798"/>
    <n v="1422500000"/>
    <n v="6.352749852158486E-2"/>
    <n v="429700000"/>
  </r>
  <r>
    <s v="DRI"/>
    <n v="4"/>
    <x v="4"/>
    <d v="2016-05-29T00:00:00"/>
    <n v="6933500000"/>
    <n v="5392400000"/>
    <n v="622900000"/>
    <n v="0"/>
    <n v="290200000"/>
    <x v="1"/>
    <x v="50"/>
    <n v="0.22226869546405137"/>
    <n v="1541100000"/>
    <n v="9.0574745799379824E-2"/>
    <n v="628000000"/>
  </r>
  <r>
    <s v="DUK"/>
    <n v="1"/>
    <x v="0"/>
    <d v="2012-12-31T00:00:00"/>
    <n v="17912000000"/>
    <n v="11235000000"/>
    <n v="965000000"/>
    <n v="0"/>
    <n v="2145000000"/>
    <x v="5"/>
    <x v="11"/>
    <n v="0.37276686020544891"/>
    <n v="6677000000"/>
    <n v="0.19914024117909782"/>
    <n v="3567000000"/>
  </r>
  <r>
    <s v="DUK"/>
    <n v="2"/>
    <x v="1"/>
    <d v="2013-12-31T00:00:00"/>
    <n v="22756000000"/>
    <n v="13545000000"/>
    <n v="1274000000"/>
    <n v="0"/>
    <n v="2668000000"/>
    <x v="5"/>
    <x v="11"/>
    <n v="0.40477236772719283"/>
    <n v="9211000000"/>
    <n v="0.23154332923185095"/>
    <n v="5269000000"/>
  </r>
  <r>
    <s v="DUK"/>
    <n v="3"/>
    <x v="2"/>
    <d v="2014-12-31T00:00:00"/>
    <n v="23925000000"/>
    <n v="14323000000"/>
    <n v="1213000000"/>
    <n v="0"/>
    <n v="3066000000"/>
    <x v="5"/>
    <x v="11"/>
    <n v="0.401337513061651"/>
    <n v="9602000000"/>
    <n v="0.22248693834900732"/>
    <n v="5323000000"/>
  </r>
  <r>
    <s v="DUK"/>
    <n v="4"/>
    <x v="3"/>
    <d v="2015-12-31T00:00:00"/>
    <n v="23459000000"/>
    <n v="13728000000"/>
    <n v="1135000000"/>
    <n v="0"/>
    <n v="3144000000"/>
    <x v="5"/>
    <x v="11"/>
    <n v="0.41480881538002468"/>
    <n v="9731000000"/>
    <n v="0.23240547337908693"/>
    <n v="5452000000"/>
  </r>
  <r>
    <s v="SYF"/>
    <n v="1"/>
    <x v="0"/>
    <d v="2012-12-31T00:00:00"/>
    <n v="10793000000"/>
    <n v="362000000"/>
    <n v="2123000000"/>
    <n v="0"/>
    <n v="4549000000"/>
    <x v="3"/>
    <x v="14"/>
    <n v="0.96645974242564625"/>
    <n v="10431000000"/>
    <n v="0.34828129343092745"/>
    <n v="3759000000"/>
  </r>
  <r>
    <s v="SYF"/>
    <n v="2"/>
    <x v="1"/>
    <d v="2013-12-31T00:00:00"/>
    <n v="11813000000"/>
    <n v="374000000"/>
    <n v="2484000000"/>
    <n v="0"/>
    <n v="5445000000"/>
    <x v="3"/>
    <x v="14"/>
    <n v="0.96833996444594939"/>
    <n v="11439000000"/>
    <n v="0.29713028019977988"/>
    <n v="3510000000"/>
  </r>
  <r>
    <s v="SYF"/>
    <n v="3"/>
    <x v="2"/>
    <d v="2014-12-31T00:00:00"/>
    <n v="12727000000"/>
    <n v="470000000"/>
    <n v="2927000000"/>
    <n v="0"/>
    <n v="5492000000"/>
    <x v="3"/>
    <x v="14"/>
    <n v="0.96307063722794062"/>
    <n v="12257000000"/>
    <n v="0.30156360493439144"/>
    <n v="3838000000"/>
  </r>
  <r>
    <s v="SYF"/>
    <n v="4"/>
    <x v="3"/>
    <d v="2015-12-31T00:00:00"/>
    <n v="13620000000"/>
    <n v="607000000"/>
    <n v="3264000000"/>
    <n v="0"/>
    <n v="5690000000"/>
    <x v="3"/>
    <x v="14"/>
    <n v="0.95543318649045517"/>
    <n v="13013000000"/>
    <n v="0.29801762114537445"/>
    <n v="4059000000"/>
  </r>
  <r>
    <s v="DVN"/>
    <n v="1"/>
    <x v="1"/>
    <d v="2013-12-31T00:00:00"/>
    <n v="10397000000"/>
    <n v="2268000000"/>
    <n v="2743000000"/>
    <n v="0"/>
    <n v="2780000000"/>
    <x v="8"/>
    <x v="25"/>
    <n v="0.7818601519669135"/>
    <n v="8129000000"/>
    <n v="0.2506492257381937"/>
    <n v="2606000000"/>
  </r>
  <r>
    <s v="DVN"/>
    <n v="2"/>
    <x v="2"/>
    <d v="2014-12-31T00:00:00"/>
    <n v="20638000000"/>
    <n v="2332000000"/>
    <n v="8290000000"/>
    <n v="0"/>
    <n v="3319000000"/>
    <x v="8"/>
    <x v="25"/>
    <n v="0.88700455470491324"/>
    <n v="18306000000"/>
    <n v="0.32449849791646479"/>
    <n v="6697000000"/>
  </r>
  <r>
    <s v="DVN"/>
    <n v="3"/>
    <x v="3"/>
    <d v="2015-12-31T00:00:00"/>
    <n v="13145000000"/>
    <n v="2104000000"/>
    <n v="7741000000"/>
    <n v="0"/>
    <n v="3129000000"/>
    <x v="8"/>
    <x v="25"/>
    <n v="0.83993914035755046"/>
    <n v="11041000000"/>
    <n v="1.300874857360213E-2"/>
    <n v="171000000"/>
  </r>
  <r>
    <s v="DVN"/>
    <n v="4"/>
    <x v="4"/>
    <d v="2016-12-31T00:00:00"/>
    <n v="12197000000"/>
    <n v="1582000000"/>
    <n v="6476000000"/>
    <n v="0"/>
    <n v="1792000000"/>
    <x v="8"/>
    <x v="25"/>
    <n v="0.87029597441993933"/>
    <n v="10615000000"/>
    <n v="0.19242436664753629"/>
    <n v="2347000000"/>
  </r>
  <r>
    <s v="EA"/>
    <n v="1"/>
    <x v="1"/>
    <d v="2013-03-31T00:00:00"/>
    <n v="3797000000"/>
    <n v="1388000000"/>
    <n v="1078000000"/>
    <n v="1153000000"/>
    <n v="30000000"/>
    <x v="2"/>
    <x v="29"/>
    <n v="0.63444824861732951"/>
    <n v="2409000000"/>
    <n v="3.8978140637345275E-2"/>
    <n v="148000000"/>
  </r>
  <r>
    <s v="EA"/>
    <n v="2"/>
    <x v="2"/>
    <d v="2014-03-31T00:00:00"/>
    <n v="3575000000"/>
    <n v="1347000000"/>
    <n v="1055000000"/>
    <n v="1125000000"/>
    <n v="16000000"/>
    <x v="2"/>
    <x v="29"/>
    <n v="0.6232167832167832"/>
    <n v="2228000000"/>
    <n v="8.951048951048951E-3"/>
    <n v="32000000"/>
  </r>
  <r>
    <s v="EA"/>
    <n v="3"/>
    <x v="3"/>
    <d v="2015-03-31T00:00:00"/>
    <n v="4515000000"/>
    <n v="1429000000"/>
    <n v="1030000000"/>
    <n v="1094000000"/>
    <n v="14000000"/>
    <x v="2"/>
    <x v="29"/>
    <n v="0.68349944629014403"/>
    <n v="3086000000"/>
    <n v="0.20996677740863787"/>
    <n v="948000000"/>
  </r>
  <r>
    <s v="EA"/>
    <n v="4"/>
    <x v="4"/>
    <d v="2016-03-31T00:00:00"/>
    <n v="4396000000"/>
    <n v="1354000000"/>
    <n v="1028000000"/>
    <n v="1109000000"/>
    <n v="7000000"/>
    <x v="2"/>
    <x v="29"/>
    <n v="0.69199272065514106"/>
    <n v="3042000000"/>
    <n v="0.20427661510464057"/>
    <n v="898000000"/>
  </r>
  <r>
    <s v="EBAY"/>
    <n v="1"/>
    <x v="1"/>
    <d v="2013-12-31T00:00:00"/>
    <n v="8257000000"/>
    <n v="1492000000"/>
    <n v="3260000000"/>
    <n v="915000000"/>
    <n v="136000000"/>
    <x v="2"/>
    <x v="15"/>
    <n v="0.81930483226353401"/>
    <n v="6765000000"/>
    <n v="0.29720237374349034"/>
    <n v="2454000000"/>
  </r>
  <r>
    <s v="EBAY"/>
    <n v="2"/>
    <x v="2"/>
    <d v="2014-12-31T00:00:00"/>
    <n v="8790000000"/>
    <n v="1663000000"/>
    <n v="3593000000"/>
    <n v="983000000"/>
    <n v="75000000"/>
    <x v="2"/>
    <x v="15"/>
    <n v="0.81080773606370871"/>
    <n v="7127000000"/>
    <n v="0.28168373151308307"/>
    <n v="2476000000"/>
  </r>
  <r>
    <s v="EBAY"/>
    <n v="3"/>
    <x v="3"/>
    <d v="2015-12-31T00:00:00"/>
    <n v="8592000000"/>
    <n v="1771000000"/>
    <n v="3660000000"/>
    <n v="923000000"/>
    <n v="41000000"/>
    <x v="2"/>
    <x v="15"/>
    <n v="0.79387802607076352"/>
    <n v="6821000000"/>
    <n v="0.25570297951582865"/>
    <n v="2197000000"/>
  </r>
  <r>
    <s v="EBAY"/>
    <n v="4"/>
    <x v="4"/>
    <d v="2016-12-31T00:00:00"/>
    <n v="8979000000"/>
    <n v="2007000000"/>
    <n v="3499000000"/>
    <n v="1114000000"/>
    <n v="34000000"/>
    <x v="2"/>
    <x v="15"/>
    <n v="0.77647844971600399"/>
    <n v="6972000000"/>
    <n v="0.25893752088205813"/>
    <n v="2325000000"/>
  </r>
  <r>
    <s v="ECL"/>
    <n v="1"/>
    <x v="0"/>
    <d v="2012-12-31T00:00:00"/>
    <n v="11838700000"/>
    <n v="6385400000"/>
    <n v="4018300000"/>
    <n v="0"/>
    <n v="0"/>
    <x v="7"/>
    <x v="16"/>
    <n v="0.46063334656676835"/>
    <n v="5453300000"/>
    <n v="0.12121263314384181"/>
    <n v="1435000000"/>
  </r>
  <r>
    <s v="ECL"/>
    <n v="2"/>
    <x v="1"/>
    <d v="2013-12-31T00:00:00"/>
    <n v="13253400000"/>
    <n v="7161200000"/>
    <n v="4360300000"/>
    <n v="0"/>
    <n v="0"/>
    <x v="7"/>
    <x v="16"/>
    <n v="0.45967072600238434"/>
    <n v="6092200000"/>
    <n v="0.13067590203268595"/>
    <n v="1731900000"/>
  </r>
  <r>
    <s v="ECL"/>
    <n v="3"/>
    <x v="2"/>
    <d v="2014-12-31T00:00:00"/>
    <n v="14280500000"/>
    <n v="7679100000"/>
    <n v="4577600000"/>
    <n v="0"/>
    <n v="0"/>
    <x v="7"/>
    <x v="16"/>
    <n v="0.4622667273554848"/>
    <n v="6601400000"/>
    <n v="0.14171772697034418"/>
    <n v="2023800000"/>
  </r>
  <r>
    <s v="ECL"/>
    <n v="4"/>
    <x v="3"/>
    <d v="2015-12-31T00:00:00"/>
    <n v="13545100000"/>
    <n v="7223500000"/>
    <n v="4345500000"/>
    <n v="0"/>
    <n v="0"/>
    <x v="7"/>
    <x v="16"/>
    <n v="0.46670751784778264"/>
    <n v="6321600000"/>
    <n v="0.14589039578888308"/>
    <n v="1976100000"/>
  </r>
  <r>
    <s v="ED"/>
    <n v="1"/>
    <x v="1"/>
    <d v="2013-12-31T00:00:00"/>
    <n v="12354000000"/>
    <n v="7191000000"/>
    <n v="1895000000"/>
    <n v="0"/>
    <n v="1024000000"/>
    <x v="5"/>
    <x v="11"/>
    <n v="0.41792132102962598"/>
    <n v="5163000000"/>
    <n v="0.18164157357940747"/>
    <n v="2244000000"/>
  </r>
  <r>
    <s v="ED"/>
    <n v="2"/>
    <x v="2"/>
    <d v="2014-12-31T00:00:00"/>
    <n v="12919000000"/>
    <n v="7807000000"/>
    <n v="1877000000"/>
    <n v="0"/>
    <n v="1071000000"/>
    <x v="5"/>
    <x v="11"/>
    <n v="0.39569626132053559"/>
    <n v="5112000000"/>
    <n v="0.16750522486260547"/>
    <n v="2164000000"/>
  </r>
  <r>
    <s v="ED"/>
    <n v="3"/>
    <x v="3"/>
    <d v="2015-12-31T00:00:00"/>
    <n v="12554000000"/>
    <n v="7060000000"/>
    <n v="1937000000"/>
    <n v="0"/>
    <n v="1130000000"/>
    <x v="5"/>
    <x v="11"/>
    <n v="0.43762944081567623"/>
    <n v="5494000000"/>
    <n v="0.19332483670543252"/>
    <n v="2427000000"/>
  </r>
  <r>
    <s v="ED"/>
    <n v="4"/>
    <x v="4"/>
    <d v="2016-12-31T00:00:00"/>
    <n v="12075000000"/>
    <n v="6357000000"/>
    <n v="2031000000"/>
    <n v="0"/>
    <n v="1216000000"/>
    <x v="5"/>
    <x v="11"/>
    <n v="0.47354037267080751"/>
    <n v="5718000000"/>
    <n v="0.2046376811594203"/>
    <n v="2471000000"/>
  </r>
  <r>
    <s v="EFX"/>
    <n v="1"/>
    <x v="0"/>
    <d v="2012-12-31T00:00:00"/>
    <n v="2073000000"/>
    <n v="759500000"/>
    <n v="673500000"/>
    <n v="0"/>
    <n v="160000000"/>
    <x v="0"/>
    <x v="65"/>
    <n v="0.63362276893391223"/>
    <n v="1313500000"/>
    <n v="0.23154848046309695"/>
    <n v="480000000"/>
  </r>
  <r>
    <s v="EFX"/>
    <n v="2"/>
    <x v="1"/>
    <d v="2013-12-31T00:00:00"/>
    <n v="2303900000"/>
    <n v="787300000"/>
    <n v="715800000"/>
    <n v="0"/>
    <n v="189600000"/>
    <x v="0"/>
    <x v="65"/>
    <n v="0.6582750987456053"/>
    <n v="1516600000"/>
    <n v="0.26528929206996832"/>
    <n v="611200000"/>
  </r>
  <r>
    <s v="EFX"/>
    <n v="3"/>
    <x v="2"/>
    <d v="2014-12-31T00:00:00"/>
    <n v="2436400000"/>
    <n v="844700000"/>
    <n v="751700000"/>
    <n v="0"/>
    <n v="201800000"/>
    <x v="0"/>
    <x v="65"/>
    <n v="0.65329995074700375"/>
    <n v="1591700000"/>
    <n v="0.26194385158430472"/>
    <n v="638200000"/>
  </r>
  <r>
    <s v="EFX"/>
    <n v="4"/>
    <x v="3"/>
    <d v="2015-12-31T00:00:00"/>
    <n v="2663600000"/>
    <n v="887400000"/>
    <n v="884300000"/>
    <n v="0"/>
    <n v="198000000"/>
    <x v="0"/>
    <x v="65"/>
    <n v="0.66684186814837065"/>
    <n v="1776200000"/>
    <n v="0.26051208890223759"/>
    <n v="693900000"/>
  </r>
  <r>
    <s v="EIX"/>
    <n v="1"/>
    <x v="0"/>
    <d v="2012-12-31T00:00:00"/>
    <n v="11862000000"/>
    <n v="7747000000"/>
    <n v="296000000"/>
    <n v="0"/>
    <n v="1562000000"/>
    <x v="5"/>
    <x v="11"/>
    <n v="0.34690608666329459"/>
    <n v="4115000000"/>
    <n v="0.19027145506659923"/>
    <n v="2257000000"/>
  </r>
  <r>
    <s v="EIX"/>
    <n v="2"/>
    <x v="1"/>
    <d v="2013-12-31T00:00:00"/>
    <n v="12581000000"/>
    <n v="8364000000"/>
    <n v="309000000"/>
    <n v="0"/>
    <n v="1622000000"/>
    <x v="5"/>
    <x v="11"/>
    <n v="0.33518798187743426"/>
    <n v="4217000000"/>
    <n v="0.18170256736348461"/>
    <n v="2286000000"/>
  </r>
  <r>
    <s v="EIX"/>
    <n v="3"/>
    <x v="2"/>
    <d v="2014-12-31T00:00:00"/>
    <n v="13413000000"/>
    <n v="8742000000"/>
    <n v="322000000"/>
    <n v="0"/>
    <n v="1720000000"/>
    <x v="5"/>
    <x v="11"/>
    <n v="0.34824424066204429"/>
    <n v="4671000000"/>
    <n v="0.19600387683590548"/>
    <n v="2629000000"/>
  </r>
  <r>
    <s v="EIX"/>
    <n v="4"/>
    <x v="3"/>
    <d v="2015-12-31T00:00:00"/>
    <n v="11524000000"/>
    <n v="7256000000"/>
    <n v="336000000"/>
    <n v="0"/>
    <n v="1919000000"/>
    <x v="5"/>
    <x v="11"/>
    <n v="0.37035751475182233"/>
    <n v="4268000000"/>
    <n v="0.17467893092676154"/>
    <n v="2013000000"/>
  </r>
  <r>
    <s v="EL"/>
    <n v="1"/>
    <x v="1"/>
    <d v="2013-06-30T00:00:00"/>
    <n v="10181700000"/>
    <n v="2025900000"/>
    <n v="6597000000"/>
    <n v="0"/>
    <n v="0"/>
    <x v="4"/>
    <x v="54"/>
    <n v="0.80102536904446209"/>
    <n v="8155800000"/>
    <n v="0.1530982056041722"/>
    <n v="1558800000"/>
  </r>
  <r>
    <s v="EL"/>
    <n v="2"/>
    <x v="2"/>
    <d v="2014-06-30T00:00:00"/>
    <n v="10968800000"/>
    <n v="2158200000"/>
    <n v="6985900000"/>
    <n v="0"/>
    <n v="0"/>
    <x v="4"/>
    <x v="54"/>
    <n v="0.80324192254394289"/>
    <n v="8810600000"/>
    <n v="0.16635365764714463"/>
    <n v="1824700000"/>
  </r>
  <r>
    <s v="EL"/>
    <n v="3"/>
    <x v="3"/>
    <d v="2015-06-30T00:00:00"/>
    <n v="10780400000"/>
    <n v="2100600000"/>
    <n v="7073500000"/>
    <n v="0"/>
    <n v="0"/>
    <x v="4"/>
    <x v="54"/>
    <n v="0.80514637675781975"/>
    <n v="8679800000"/>
    <n v="0.1490018923231049"/>
    <n v="1606300000"/>
  </r>
  <r>
    <s v="EL"/>
    <n v="4"/>
    <x v="4"/>
    <d v="2016-06-30T00:00:00"/>
    <n v="11262300000"/>
    <n v="2181100000"/>
    <n v="7337800000"/>
    <n v="0"/>
    <n v="0"/>
    <x v="4"/>
    <x v="54"/>
    <n v="0.80633618355042924"/>
    <n v="9081200000"/>
    <n v="0.15479964128108822"/>
    <n v="1743400000"/>
  </r>
  <r>
    <s v="EMN"/>
    <n v="1"/>
    <x v="0"/>
    <d v="2012-12-31T00:00:00"/>
    <n v="8102000000"/>
    <n v="6340000000"/>
    <n v="644000000"/>
    <n v="198000000"/>
    <n v="0"/>
    <x v="7"/>
    <x v="61"/>
    <n v="0.21747716613181933"/>
    <n v="1762000000"/>
    <n v="0.11355220933102937"/>
    <n v="920000000"/>
  </r>
  <r>
    <s v="EMN"/>
    <n v="2"/>
    <x v="1"/>
    <d v="2013-12-31T00:00:00"/>
    <n v="9350000000"/>
    <n v="6574000000"/>
    <n v="645000000"/>
    <n v="193000000"/>
    <n v="0"/>
    <x v="7"/>
    <x v="61"/>
    <n v="0.29689839572192511"/>
    <n v="2776000000"/>
    <n v="0.20727272727272728"/>
    <n v="1938000000"/>
  </r>
  <r>
    <s v="EMN"/>
    <n v="3"/>
    <x v="2"/>
    <d v="2014-12-31T00:00:00"/>
    <n v="9527000000"/>
    <n v="7306000000"/>
    <n v="755000000"/>
    <n v="227000000"/>
    <n v="0"/>
    <x v="7"/>
    <x v="61"/>
    <n v="0.23312690248766665"/>
    <n v="2221000000"/>
    <n v="0.13005143277002204"/>
    <n v="1239000000"/>
  </r>
  <r>
    <s v="EMN"/>
    <n v="4"/>
    <x v="3"/>
    <d v="2015-12-31T00:00:00"/>
    <n v="9648000000"/>
    <n v="7068000000"/>
    <n v="762000000"/>
    <n v="251000000"/>
    <n v="0"/>
    <x v="7"/>
    <x v="61"/>
    <n v="0.26741293532338306"/>
    <n v="2580000000"/>
    <n v="0.16241708126036483"/>
    <n v="1567000000"/>
  </r>
  <r>
    <s v="EMR"/>
    <n v="1"/>
    <x v="1"/>
    <d v="2013-09-30T00:00:00"/>
    <n v="24669000000"/>
    <n v="14717000000"/>
    <n v="6010000000"/>
    <n v="0"/>
    <n v="0"/>
    <x v="0"/>
    <x v="52"/>
    <n v="0.40342129798532567"/>
    <n v="9952000000"/>
    <n v="0.15979569500182414"/>
    <n v="3942000000"/>
  </r>
  <r>
    <s v="EMR"/>
    <n v="2"/>
    <x v="2"/>
    <d v="2014-09-30T00:00:00"/>
    <n v="17733000000"/>
    <n v="9971000000"/>
    <n v="4375000000"/>
    <n v="0"/>
    <n v="0"/>
    <x v="0"/>
    <x v="52"/>
    <n v="0.43771499464275643"/>
    <n v="7762000000"/>
    <n v="0.19099983082388766"/>
    <n v="3387000000"/>
  </r>
  <r>
    <s v="EMR"/>
    <n v="3"/>
    <x v="3"/>
    <d v="2015-09-30T00:00:00"/>
    <n v="16249000000"/>
    <n v="9241000000"/>
    <n v="4065000000"/>
    <n v="0"/>
    <n v="0"/>
    <x v="0"/>
    <x v="52"/>
    <n v="0.43128807926641644"/>
    <n v="7008000000"/>
    <n v="0.18111883808234353"/>
    <n v="2943000000"/>
  </r>
  <r>
    <s v="EMR"/>
    <n v="4"/>
    <x v="4"/>
    <d v="2016-09-30T00:00:00"/>
    <n v="14522000000"/>
    <n v="8260000000"/>
    <n v="3758000000"/>
    <n v="0"/>
    <n v="0"/>
    <x v="0"/>
    <x v="52"/>
    <n v="0.43120782261396506"/>
    <n v="6262000000"/>
    <n v="0.17242804021484645"/>
    <n v="2504000000"/>
  </r>
  <r>
    <s v="EOG"/>
    <n v="1"/>
    <x v="0"/>
    <d v="2012-12-31T00:00:00"/>
    <n v="11682636000"/>
    <n v="1699428000"/>
    <n v="3862434000"/>
    <n v="0"/>
    <n v="3169703000"/>
    <x v="8"/>
    <x v="25"/>
    <n v="0.85453385691379924"/>
    <n v="9983208000"/>
    <n v="0.25260317962487233"/>
    <n v="2951071000"/>
  </r>
  <r>
    <s v="EOG"/>
    <n v="2"/>
    <x v="1"/>
    <d v="2013-12-31T00:00:00"/>
    <n v="14487118000"/>
    <n v="2066893000"/>
    <n v="4621096000"/>
    <n v="0"/>
    <n v="3600976000"/>
    <x v="8"/>
    <x v="25"/>
    <n v="0.85732890420303054"/>
    <n v="12420225000"/>
    <n v="0.28978524230975411"/>
    <n v="4198153000"/>
  </r>
  <r>
    <s v="EOG"/>
    <n v="3"/>
    <x v="2"/>
    <d v="2014-12-31T00:00:00"/>
    <n v="18035340000"/>
    <n v="2534389000"/>
    <n v="5285634000"/>
    <n v="0"/>
    <n v="3997041000"/>
    <x v="8"/>
    <x v="25"/>
    <n v="0.85947650557183841"/>
    <n v="15500951000"/>
    <n v="0.34478285410754661"/>
    <n v="6218276000"/>
  </r>
  <r>
    <s v="EOG"/>
    <n v="4"/>
    <x v="3"/>
    <d v="2015-12-31T00:00:00"/>
    <n v="8757428000"/>
    <n v="2177757000"/>
    <n v="3174320000"/>
    <n v="0"/>
    <n v="3313644000"/>
    <x v="8"/>
    <x v="25"/>
    <n v="0.75132458982249128"/>
    <n v="6579671000"/>
    <n v="1.0471910245793628E-2"/>
    <n v="91707000"/>
  </r>
  <r>
    <s v="EQIX"/>
    <n v="1"/>
    <x v="0"/>
    <d v="2012-12-31T00:00:00"/>
    <n v="1887376000"/>
    <n v="944617000"/>
    <n v="531180000"/>
    <n v="0"/>
    <n v="0"/>
    <x v="6"/>
    <x v="13"/>
    <n v="0.49950778223311099"/>
    <n v="942759000"/>
    <n v="0.21806942548808506"/>
    <n v="411579000"/>
  </r>
  <r>
    <s v="EQIX"/>
    <n v="2"/>
    <x v="1"/>
    <d v="2013-12-31T00:00:00"/>
    <n v="2152766000"/>
    <n v="1064403000"/>
    <n v="621413000"/>
    <n v="0"/>
    <n v="0"/>
    <x v="6"/>
    <x v="13"/>
    <n v="0.505564933671379"/>
    <n v="1088363000"/>
    <n v="0.2169069931427754"/>
    <n v="466950000"/>
  </r>
  <r>
    <s v="EQIX"/>
    <n v="3"/>
    <x v="2"/>
    <d v="2014-12-31T00:00:00"/>
    <n v="2443776000"/>
    <n v="1197885000"/>
    <n v="734119000"/>
    <n v="0"/>
    <n v="0"/>
    <x v="6"/>
    <x v="13"/>
    <n v="0.50982209498742925"/>
    <n v="1245891000"/>
    <n v="0.20941853917871359"/>
    <n v="511772000"/>
  </r>
  <r>
    <s v="EQIX"/>
    <n v="4"/>
    <x v="3"/>
    <d v="2015-12-31T00:00:00"/>
    <n v="2725867000"/>
    <n v="1291506000"/>
    <n v="825296000"/>
    <n v="0"/>
    <n v="0"/>
    <x v="6"/>
    <x v="13"/>
    <n v="0.52620358953683355"/>
    <n v="1434361000"/>
    <n v="0.22343900124254046"/>
    <n v="609065000"/>
  </r>
  <r>
    <s v="EQR"/>
    <n v="1"/>
    <x v="0"/>
    <d v="2012-12-31T00:00:00"/>
    <n v="1747502000"/>
    <n v="625507000"/>
    <n v="47233000"/>
    <n v="0"/>
    <n v="560669000"/>
    <x v="6"/>
    <x v="13"/>
    <n v="0.64205648977798024"/>
    <n v="1121995000"/>
    <n v="0.29418736001446638"/>
    <n v="514093000"/>
  </r>
  <r>
    <s v="EQR"/>
    <n v="2"/>
    <x v="1"/>
    <d v="2013-12-31T00:00:00"/>
    <n v="2387702000"/>
    <n v="834228000"/>
    <n v="62179000"/>
    <n v="0"/>
    <n v="978973000"/>
    <x v="6"/>
    <x v="13"/>
    <n v="0.65061469144809525"/>
    <n v="1553474000"/>
    <n v="0.21456697695106006"/>
    <n v="512322000"/>
  </r>
  <r>
    <s v="EQR"/>
    <n v="3"/>
    <x v="2"/>
    <d v="2014-12-31T00:00:00"/>
    <n v="2614748000"/>
    <n v="883564000"/>
    <n v="50948000"/>
    <n v="0"/>
    <n v="758861000"/>
    <x v="6"/>
    <x v="13"/>
    <n v="0.66208445326280008"/>
    <n v="1731184000"/>
    <n v="0.35237621369248584"/>
    <n v="921375000"/>
  </r>
  <r>
    <s v="EQR"/>
    <n v="4"/>
    <x v="3"/>
    <d v="2015-12-31T00:00:00"/>
    <n v="2744965000"/>
    <n v="905168000"/>
    <n v="65082000"/>
    <n v="0"/>
    <n v="765895000"/>
    <x v="6"/>
    <x v="13"/>
    <n v="0.67024424719440867"/>
    <n v="1839797000"/>
    <n v="0.36751652571162108"/>
    <n v="1008820000"/>
  </r>
  <r>
    <s v="EQT"/>
    <n v="1"/>
    <x v="1"/>
    <d v="2013-12-31T00:00:00"/>
    <n v="1859177000"/>
    <n v="354561000"/>
    <n v="200849000"/>
    <n v="0"/>
    <n v="653132000"/>
    <x v="8"/>
    <x v="25"/>
    <n v="0.8092914230328796"/>
    <n v="1504616000"/>
    <n v="0.34995861071861367"/>
    <n v="650635000"/>
  </r>
  <r>
    <s v="EQT"/>
    <n v="2"/>
    <x v="2"/>
    <d v="2014-12-31T00:00:00"/>
    <n v="2388768000"/>
    <n v="443974000"/>
    <n v="238134000"/>
    <n v="0"/>
    <n v="679298000"/>
    <x v="8"/>
    <x v="25"/>
    <n v="0.81414101327546251"/>
    <n v="1944794000"/>
    <n v="0.43008027569023027"/>
    <n v="1027362000"/>
  </r>
  <r>
    <s v="EQT"/>
    <n v="3"/>
    <x v="3"/>
    <d v="2015-12-31T00:00:00"/>
    <n v="1954000000"/>
    <n v="523043000"/>
    <n v="249925000"/>
    <n v="0"/>
    <n v="819216000"/>
    <x v="8"/>
    <x v="25"/>
    <n v="0.73232190378710338"/>
    <n v="1430957000"/>
    <n v="0.18516683725690891"/>
    <n v="361816000"/>
  </r>
  <r>
    <s v="EQT"/>
    <n v="4"/>
    <x v="4"/>
    <d v="2016-12-31T00:00:00"/>
    <n v="1857339000"/>
    <n v="613909000"/>
    <n v="272747000"/>
    <n v="0"/>
    <n v="927920000"/>
    <x v="8"/>
    <x v="25"/>
    <n v="0.66946852459351791"/>
    <n v="1243430000"/>
    <n v="2.3023799101833321E-2"/>
    <n v="42763000"/>
  </r>
  <r>
    <s v="ES"/>
    <n v="1"/>
    <x v="0"/>
    <d v="2012-12-31T00:00:00"/>
    <n v="6273787000"/>
    <n v="3667434000"/>
    <n v="747356000"/>
    <n v="0"/>
    <n v="740791000"/>
    <x v="5"/>
    <x v="10"/>
    <n v="0.41543536623095434"/>
    <n v="2606353000"/>
    <n v="0.17823461332047136"/>
    <n v="1118206000"/>
  </r>
  <r>
    <s v="ES"/>
    <n v="2"/>
    <x v="1"/>
    <d v="2013-12-31T00:00:00"/>
    <n v="7301204000"/>
    <n v="3997940000"/>
    <n v="914149000"/>
    <n v="0"/>
    <n v="859680000"/>
    <x v="5"/>
    <x v="10"/>
    <n v="0.4524272982921721"/>
    <n v="3303264000"/>
    <n v="0.20947709446277626"/>
    <n v="1529435000"/>
  </r>
  <r>
    <s v="ES"/>
    <n v="3"/>
    <x v="2"/>
    <d v="2014-12-31T00:00:00"/>
    <n v="7741856000"/>
    <n v="4449139000"/>
    <n v="1034507000"/>
    <n v="0"/>
    <n v="625361000"/>
    <x v="5"/>
    <x v="10"/>
    <n v="0.42531364572009611"/>
    <n v="3292717000"/>
    <n v="0.2109118278614327"/>
    <n v="1632849000"/>
  </r>
  <r>
    <s v="ES"/>
    <n v="4"/>
    <x v="3"/>
    <d v="2015-12-31T00:00:00"/>
    <n v="7954827000"/>
    <n v="4416194000"/>
    <n v="1086274000"/>
    <n v="0"/>
    <n v="688195000"/>
    <x v="5"/>
    <x v="10"/>
    <n v="0.4448409751714274"/>
    <n v="3538633000"/>
    <n v="0.22177276765415516"/>
    <n v="1764164000"/>
  </r>
  <r>
    <s v="ESS"/>
    <n v="1"/>
    <x v="0"/>
    <d v="2012-12-31T00:00:00"/>
    <n v="535153000"/>
    <n v="172167000"/>
    <n v="24573000"/>
    <n v="0"/>
    <n v="169173000"/>
    <x v="6"/>
    <x v="67"/>
    <n v="0.6782845279761115"/>
    <n v="362986000"/>
    <n v="0.31624600815094001"/>
    <n v="169240000"/>
  </r>
  <r>
    <s v="ESS"/>
    <n v="2"/>
    <x v="1"/>
    <d v="2013-12-31T00:00:00"/>
    <n v="610590000"/>
    <n v="197336000"/>
    <n v="26684000"/>
    <n v="0"/>
    <n v="192420000"/>
    <x v="6"/>
    <x v="67"/>
    <n v="0.67681095334021191"/>
    <n v="413254000"/>
    <n v="0.31797114266529097"/>
    <n v="194150000"/>
  </r>
  <r>
    <s v="ESS"/>
    <n v="3"/>
    <x v="2"/>
    <d v="2014-12-31T00:00:00"/>
    <n v="970938000"/>
    <n v="312546000"/>
    <n v="40878000"/>
    <n v="0"/>
    <n v="360592000"/>
    <x v="6"/>
    <x v="67"/>
    <n v="0.67809891053805704"/>
    <n v="658392000"/>
    <n v="0.2646121585518334"/>
    <n v="256922000"/>
  </r>
  <r>
    <s v="ESS"/>
    <n v="4"/>
    <x v="3"/>
    <d v="2015-12-31T00:00:00"/>
    <n v="1194407000"/>
    <n v="363508000"/>
    <n v="40090000"/>
    <n v="0"/>
    <n v="453423000"/>
    <x v="6"/>
    <x v="67"/>
    <n v="0.69565818016806669"/>
    <n v="830899000"/>
    <n v="0.28247155282914449"/>
    <n v="337386000"/>
  </r>
  <r>
    <s v="TMK"/>
    <n v="1"/>
    <x v="0"/>
    <d v="2012-12-31T00:00:00"/>
    <n v="3589516000"/>
    <n v="1955682000"/>
    <n v="0"/>
    <n v="0"/>
    <n v="787329000"/>
    <x v="3"/>
    <x v="3"/>
    <n v="0.45516832910063643"/>
    <n v="1633834000"/>
    <n v="0.23582705857837102"/>
    <n v="846505000"/>
  </r>
  <r>
    <s v="TMK"/>
    <n v="2"/>
    <x v="1"/>
    <d v="2013-12-31T00:00:00"/>
    <n v="3494253000"/>
    <n v="1838766000"/>
    <n v="0"/>
    <n v="0"/>
    <n v="819711000"/>
    <x v="3"/>
    <x v="3"/>
    <n v="0.47377422298843275"/>
    <n v="1655487000"/>
    <n v="0.23918588608208965"/>
    <n v="835776000"/>
  </r>
  <r>
    <s v="TMK"/>
    <n v="3"/>
    <x v="2"/>
    <d v="2014-12-31T00:00:00"/>
    <n v="3620095000"/>
    <n v="1903384000"/>
    <n v="0"/>
    <n v="0"/>
    <n v="855908000"/>
    <x v="3"/>
    <x v="3"/>
    <n v="0.47421711308681125"/>
    <n v="1716711000"/>
    <n v="0.23778464377316064"/>
    <n v="860803000"/>
  </r>
  <r>
    <s v="TMK"/>
    <n v="4"/>
    <x v="3"/>
    <d v="2015-12-31T00:00:00"/>
    <n v="3766065000"/>
    <n v="2016212000"/>
    <n v="0"/>
    <n v="0"/>
    <n v="907024000"/>
    <x v="3"/>
    <x v="3"/>
    <n v="0.46463696192179371"/>
    <n v="1749853000"/>
    <n v="0.22379565939515117"/>
    <n v="842829000"/>
  </r>
  <r>
    <s v="ETN"/>
    <n v="1"/>
    <x v="0"/>
    <d v="2012-12-31T00:00:00"/>
    <n v="16311000000"/>
    <n v="11448000000"/>
    <n v="2894000000"/>
    <n v="439000000"/>
    <n v="0"/>
    <x v="0"/>
    <x v="52"/>
    <n v="0.2981423579179695"/>
    <n v="4863000000"/>
    <n v="9.3801728894610997E-2"/>
    <n v="1530000000"/>
  </r>
  <r>
    <s v="ETN"/>
    <n v="2"/>
    <x v="1"/>
    <d v="2013-12-31T00:00:00"/>
    <n v="22046000000"/>
    <n v="15369000000"/>
    <n v="3886000000"/>
    <n v="644000000"/>
    <n v="0"/>
    <x v="0"/>
    <x v="52"/>
    <n v="0.3028667331942303"/>
    <n v="6677000000"/>
    <n v="9.7387281139435719E-2"/>
    <n v="2147000000"/>
  </r>
  <r>
    <s v="ETN"/>
    <n v="3"/>
    <x v="2"/>
    <d v="2014-12-31T00:00:00"/>
    <n v="22552000000"/>
    <n v="15646000000"/>
    <n v="3810000000"/>
    <n v="647000000"/>
    <n v="0"/>
    <x v="0"/>
    <x v="52"/>
    <n v="0.30622561191912023"/>
    <n v="6906000000"/>
    <n v="0.10859347286271727"/>
    <n v="2449000000"/>
  </r>
  <r>
    <s v="ETN"/>
    <n v="4"/>
    <x v="3"/>
    <d v="2015-12-31T00:00:00"/>
    <n v="20855000000"/>
    <n v="14292000000"/>
    <n v="3596000000"/>
    <n v="625000000"/>
    <n v="0"/>
    <x v="0"/>
    <x v="52"/>
    <n v="0.31469671541596744"/>
    <n v="6563000000"/>
    <n v="0.11229920882282426"/>
    <n v="2342000000"/>
  </r>
  <r>
    <s v="ETR"/>
    <n v="1"/>
    <x v="0"/>
    <d v="2012-12-31T00:00:00"/>
    <n v="10302079000"/>
    <n v="6583627000"/>
    <n v="917162000"/>
    <n v="0"/>
    <n v="1144585000"/>
    <x v="5"/>
    <x v="11"/>
    <n v="0.36094190308577523"/>
    <n v="3718452000"/>
    <n v="0.16081268644901675"/>
    <n v="1656705000"/>
  </r>
  <r>
    <s v="ETR"/>
    <n v="2"/>
    <x v="1"/>
    <d v="2013-12-31T00:00:00"/>
    <n v="11390947000"/>
    <n v="7588885000"/>
    <n v="888051000"/>
    <n v="0"/>
    <n v="1261044000"/>
    <x v="5"/>
    <x v="11"/>
    <n v="0.33377927225892634"/>
    <n v="3802062000"/>
    <n v="0.14511234228374514"/>
    <n v="1652967000"/>
  </r>
  <r>
    <s v="ETR"/>
    <n v="3"/>
    <x v="2"/>
    <d v="2014-12-31T00:00:00"/>
    <n v="12494921000"/>
    <n v="8126187000"/>
    <n v="863455000"/>
    <n v="0"/>
    <n v="1318638000"/>
    <x v="5"/>
    <x v="11"/>
    <n v="0.34964078604418547"/>
    <n v="4368734000"/>
    <n v="0.17500238696987361"/>
    <n v="2186641000"/>
  </r>
  <r>
    <s v="ETR"/>
    <n v="4"/>
    <x v="3"/>
    <d v="2015-12-31T00:00:00"/>
    <n v="11513251000"/>
    <n v="7449273000"/>
    <n v="1074998000"/>
    <n v="0"/>
    <n v="1337276000"/>
    <x v="5"/>
    <x v="11"/>
    <n v="0.35298266319391458"/>
    <n v="4063978000"/>
    <n v="0.14346113013604933"/>
    <n v="1651704000"/>
  </r>
  <r>
    <s v="TRV"/>
    <n v="1"/>
    <x v="1"/>
    <d v="2013-12-31T00:00:00"/>
    <n v="26191000000"/>
    <n v="13307000000"/>
    <n v="3757000000"/>
    <n v="0"/>
    <n v="3821000000"/>
    <x v="3"/>
    <x v="4"/>
    <n v="0.49192470696040624"/>
    <n v="12884000000"/>
    <n v="0.2025886754992173"/>
    <n v="5306000000"/>
  </r>
  <r>
    <s v="TRV"/>
    <n v="2"/>
    <x v="2"/>
    <d v="2014-12-31T00:00:00"/>
    <n v="27174000000"/>
    <n v="13870000000"/>
    <n v="3964000000"/>
    <n v="0"/>
    <n v="3882000000"/>
    <x v="3"/>
    <x v="4"/>
    <n v="0.48958563332597338"/>
    <n v="13304000000"/>
    <n v="0.20085375726797675"/>
    <n v="5458000000"/>
  </r>
  <r>
    <s v="TRV"/>
    <n v="3"/>
    <x v="3"/>
    <d v="2015-12-31T00:00:00"/>
    <n v="26815000000"/>
    <n v="13723000000"/>
    <n v="4094000000"/>
    <n v="0"/>
    <n v="3885000000"/>
    <x v="3"/>
    <x v="4"/>
    <n v="0.48823419727764306"/>
    <n v="13092000000"/>
    <n v="0.19067685996643668"/>
    <n v="5113000000"/>
  </r>
  <r>
    <s v="TRV"/>
    <n v="4"/>
    <x v="4"/>
    <d v="2016-12-31T00:00:00"/>
    <n v="27625000000"/>
    <n v="15070000000"/>
    <n v="4154000000"/>
    <n v="0"/>
    <n v="3985000000"/>
    <x v="3"/>
    <x v="4"/>
    <n v="0.45447963800904978"/>
    <n v="12555000000"/>
    <n v="0.15985520361990951"/>
    <n v="4416000000"/>
  </r>
  <r>
    <s v="EXC"/>
    <n v="1"/>
    <x v="1"/>
    <d v="2013-12-31T00:00:00"/>
    <n v="24888000000"/>
    <n v="17994000000"/>
    <n v="1095000000"/>
    <n v="0"/>
    <n v="2153000000"/>
    <x v="5"/>
    <x v="10"/>
    <n v="0.27700096432015431"/>
    <n v="6894000000"/>
    <n v="0.14649630343940856"/>
    <n v="3646000000"/>
  </r>
  <r>
    <s v="EXC"/>
    <n v="2"/>
    <x v="2"/>
    <d v="2014-12-31T00:00:00"/>
    <n v="27429000000"/>
    <n v="21571000000"/>
    <n v="1154000000"/>
    <n v="0"/>
    <n v="2314000000"/>
    <x v="5"/>
    <x v="10"/>
    <n v="0.21356957964198475"/>
    <n v="5858000000"/>
    <n v="8.7134055197054208E-2"/>
    <n v="2390000000"/>
  </r>
  <r>
    <s v="EXC"/>
    <n v="3"/>
    <x v="3"/>
    <d v="2015-12-31T00:00:00"/>
    <n v="29447000000"/>
    <n v="21406000000"/>
    <n v="1200000000"/>
    <n v="0"/>
    <n v="2450000000"/>
    <x v="5"/>
    <x v="10"/>
    <n v="0.27306686589465823"/>
    <n v="8041000000"/>
    <n v="0.14911535979896084"/>
    <n v="4391000000"/>
  </r>
  <r>
    <s v="EXC"/>
    <n v="4"/>
    <x v="4"/>
    <d v="2016-12-31T00:00:00"/>
    <n v="31360000000"/>
    <n v="22688000000"/>
    <n v="1576000000"/>
    <n v="0"/>
    <n v="3936000000"/>
    <x v="5"/>
    <x v="10"/>
    <n v="0.27653061224489794"/>
    <n v="8672000000"/>
    <n v="0.10076530612244898"/>
    <n v="3160000000"/>
  </r>
  <r>
    <s v="EXPD"/>
    <n v="1"/>
    <x v="0"/>
    <d v="2012-12-31T00:00:00"/>
    <n v="5992215000"/>
    <n v="4156845000"/>
    <n v="1264632000"/>
    <n v="0"/>
    <n v="39940000"/>
    <x v="0"/>
    <x v="47"/>
    <n v="0.30629241440769395"/>
    <n v="1835370000"/>
    <n v="8.8581267527950855E-2"/>
    <n v="530798000"/>
  </r>
  <r>
    <s v="EXPD"/>
    <n v="2"/>
    <x v="1"/>
    <d v="2013-12-31T00:00:00"/>
    <n v="6080257000"/>
    <n v="4197404000"/>
    <n v="1282709000"/>
    <n v="0"/>
    <n v="48071000"/>
    <x v="0"/>
    <x v="47"/>
    <n v="0.309666680207761"/>
    <n v="1882853000"/>
    <n v="9.0797642270713227E-2"/>
    <n v="552073000"/>
  </r>
  <r>
    <s v="EXPD"/>
    <n v="3"/>
    <x v="2"/>
    <d v="2014-12-31T00:00:00"/>
    <n v="6564721000"/>
    <n v="4583294000"/>
    <n v="1337487000"/>
    <n v="0"/>
    <n v="49292000"/>
    <x v="0"/>
    <x v="47"/>
    <n v="0.3018295827042764"/>
    <n v="1981427000"/>
    <n v="9.058237204597118E-2"/>
    <n v="594648000"/>
  </r>
  <r>
    <s v="EXPD"/>
    <n v="4"/>
    <x v="3"/>
    <d v="2015-12-31T00:00:00"/>
    <n v="6616632000"/>
    <n v="4428855000"/>
    <n v="1420281000"/>
    <n v="0"/>
    <n v="46012000"/>
    <x v="0"/>
    <x v="47"/>
    <n v="0.33064813034788698"/>
    <n v="2187777000"/>
    <n v="0.10904097432047"/>
    <n v="721484000"/>
  </r>
  <r>
    <s v="EXPE"/>
    <n v="1"/>
    <x v="1"/>
    <d v="2013-12-31T00:00:00"/>
    <n v="4771259000"/>
    <n v="1038034000"/>
    <n v="3151043000"/>
    <n v="0"/>
    <n v="71731000"/>
    <x v="1"/>
    <x v="23"/>
    <n v="0.78244023223220538"/>
    <n v="3733225000"/>
    <n v="0.10698455061861031"/>
    <n v="510451000"/>
  </r>
  <r>
    <s v="EXPE"/>
    <n v="2"/>
    <x v="2"/>
    <d v="2014-12-31T00:00:00"/>
    <n v="5763485000"/>
    <n v="1179081000"/>
    <n v="3919856000"/>
    <n v="0"/>
    <n v="76773000"/>
    <x v="1"/>
    <x v="23"/>
    <n v="0.79542221416382619"/>
    <n v="4584404000"/>
    <n v="0.10198256783872951"/>
    <n v="587775000"/>
  </r>
  <r>
    <s v="EXPE"/>
    <n v="3"/>
    <x v="3"/>
    <d v="2015-12-31T00:00:00"/>
    <n v="6672317000"/>
    <n v="1309559000"/>
    <n v="4785243000"/>
    <n v="0"/>
    <n v="156458000"/>
    <x v="1"/>
    <x v="23"/>
    <n v="0.80373249652257228"/>
    <n v="5362758000"/>
    <n v="6.3105065301903365E-2"/>
    <n v="421057000"/>
  </r>
  <r>
    <s v="EXPE"/>
    <n v="4"/>
    <x v="4"/>
    <d v="2016-12-31T00:00:00"/>
    <n v="8773564000"/>
    <n v="1596698000"/>
    <n v="6280728000"/>
    <n v="0"/>
    <n v="317141000"/>
    <x v="1"/>
    <x v="23"/>
    <n v="0.81801033194719963"/>
    <n v="7176866000"/>
    <n v="6.5993363700316082E-2"/>
    <n v="578997000"/>
  </r>
  <r>
    <s v="EXR"/>
    <n v="1"/>
    <x v="0"/>
    <d v="2012-12-31T00:00:00"/>
    <n v="409396000"/>
    <n v="114028000"/>
    <n v="58323000"/>
    <n v="0"/>
    <n v="74453000"/>
    <x v="6"/>
    <x v="22"/>
    <n v="0.72147260842802563"/>
    <n v="295368000"/>
    <n v="0.39715092477698855"/>
    <n v="162592000"/>
  </r>
  <r>
    <s v="EXR"/>
    <n v="2"/>
    <x v="1"/>
    <d v="2013-12-31T00:00:00"/>
    <n v="520613000"/>
    <n v="140012000"/>
    <n v="63268000"/>
    <n v="0"/>
    <n v="95232000"/>
    <x v="6"/>
    <x v="22"/>
    <n v="0.7310631889714625"/>
    <n v="380601000"/>
    <n v="0.42661439495364117"/>
    <n v="222101000"/>
  </r>
  <r>
    <s v="EXR"/>
    <n v="3"/>
    <x v="2"/>
    <d v="2014-12-31T00:00:00"/>
    <n v="647155000"/>
    <n v="172416000"/>
    <n v="71369000"/>
    <n v="0"/>
    <n v="115076000"/>
    <x v="6"/>
    <x v="22"/>
    <n v="0.73357850901252397"/>
    <n v="474739000"/>
    <n v="0.44547905833996493"/>
    <n v="288294000"/>
  </r>
  <r>
    <s v="EXR"/>
    <n v="4"/>
    <x v="3"/>
    <d v="2015-12-31T00:00:00"/>
    <n v="782270000"/>
    <n v="203965000"/>
    <n v="80791000"/>
    <n v="0"/>
    <n v="133457000"/>
    <x v="6"/>
    <x v="22"/>
    <n v="0.73926521533485878"/>
    <n v="578305000"/>
    <n v="0.46538535288327559"/>
    <n v="364057000"/>
  </r>
  <r>
    <s v="F"/>
    <n v="1"/>
    <x v="1"/>
    <d v="2013-12-31T00:00:00"/>
    <n v="146917000000"/>
    <n v="123050000000"/>
    <n v="10850000000"/>
    <n v="0"/>
    <n v="0"/>
    <x v="1"/>
    <x v="68"/>
    <n v="0.16245226896819287"/>
    <n v="23867000000"/>
    <n v="8.8601046849581741E-2"/>
    <n v="13017000000"/>
  </r>
  <r>
    <s v="F"/>
    <n v="2"/>
    <x v="2"/>
    <d v="2014-12-31T00:00:00"/>
    <n v="144077000000"/>
    <n v="131903000000"/>
    <n v="11842000000"/>
    <n v="0"/>
    <n v="0"/>
    <x v="1"/>
    <x v="68"/>
    <n v="8.4496484518694848E-2"/>
    <n v="12174000000"/>
    <n v="2.3043233826356741E-3"/>
    <n v="332000000"/>
  </r>
  <r>
    <s v="F"/>
    <n v="3"/>
    <x v="3"/>
    <d v="2015-12-31T00:00:00"/>
    <n v="149558000000"/>
    <n v="131409000000"/>
    <n v="10502000000"/>
    <n v="0"/>
    <n v="0"/>
    <x v="1"/>
    <x v="68"/>
    <n v="0.1213509140266652"/>
    <n v="18149000000"/>
    <n v="5.113066502627743E-2"/>
    <n v="7647000000"/>
  </r>
  <r>
    <s v="F"/>
    <n v="4"/>
    <x v="4"/>
    <d v="2016-12-31T00:00:00"/>
    <n v="151800000000"/>
    <n v="135488000000"/>
    <n v="12196000000"/>
    <n v="0"/>
    <n v="0"/>
    <x v="1"/>
    <x v="68"/>
    <n v="0.10745718050065878"/>
    <n v="16312000000"/>
    <n v="2.7114624505928855E-2"/>
    <n v="4116000000"/>
  </r>
  <r>
    <s v="FAST"/>
    <n v="1"/>
    <x v="1"/>
    <d v="2013-12-31T00:00:00"/>
    <n v="3326106000"/>
    <n v="1606661000"/>
    <n v="1007431000"/>
    <n v="0"/>
    <n v="0"/>
    <x v="0"/>
    <x v="18"/>
    <n v="0.51695436044431542"/>
    <n v="1719445000"/>
    <n v="0.21406834298125196"/>
    <n v="712014000"/>
  </r>
  <r>
    <s v="FAST"/>
    <n v="2"/>
    <x v="2"/>
    <d v="2014-12-31T00:00:00"/>
    <n v="3733507000"/>
    <n v="1836105000"/>
    <n v="1110776000"/>
    <n v="0"/>
    <n v="0"/>
    <x v="0"/>
    <x v="18"/>
    <n v="0.50820903777601067"/>
    <n v="1897402000"/>
    <n v="0.21069359184273659"/>
    <n v="786626000"/>
  </r>
  <r>
    <s v="FAST"/>
    <n v="3"/>
    <x v="3"/>
    <d v="2015-12-31T00:00:00"/>
    <n v="3869187000"/>
    <n v="1920253000"/>
    <n v="1121590000"/>
    <n v="0"/>
    <n v="0"/>
    <x v="0"/>
    <x v="18"/>
    <n v="0.50370633417304456"/>
    <n v="1948934000"/>
    <n v="0.21382889997304344"/>
    <n v="827344000"/>
  </r>
  <r>
    <s v="FAST"/>
    <n v="4"/>
    <x v="4"/>
    <d v="2016-12-31T00:00:00"/>
    <n v="3962036000"/>
    <n v="1997259000"/>
    <n v="1169470000"/>
    <n v="0"/>
    <n v="0"/>
    <x v="0"/>
    <x v="18"/>
    <n v="0.49590084491912745"/>
    <n v="1964777000"/>
    <n v="0.20073189642900771"/>
    <n v="795307000"/>
  </r>
  <r>
    <s v="FB"/>
    <n v="1"/>
    <x v="1"/>
    <d v="2013-12-31T00:00:00"/>
    <n v="7872000000"/>
    <n v="1875000000"/>
    <n v="1778000000"/>
    <n v="1415000000"/>
    <n v="0"/>
    <x v="2"/>
    <x v="15"/>
    <n v="0.76181402439024393"/>
    <n v="5997000000"/>
    <n v="0.35619918699186992"/>
    <n v="2804000000"/>
  </r>
  <r>
    <s v="FB"/>
    <n v="2"/>
    <x v="2"/>
    <d v="2014-12-31T00:00:00"/>
    <n v="12466000000"/>
    <n v="2153000000"/>
    <n v="2653000000"/>
    <n v="2666000000"/>
    <n v="0"/>
    <x v="2"/>
    <x v="15"/>
    <n v="0.82729022942403341"/>
    <n v="10313000000"/>
    <n v="0.40060965827049577"/>
    <n v="4994000000"/>
  </r>
  <r>
    <s v="FB"/>
    <n v="3"/>
    <x v="3"/>
    <d v="2015-12-31T00:00:00"/>
    <n v="17928000000"/>
    <n v="2867000000"/>
    <n v="4020000000"/>
    <n v="4816000000"/>
    <n v="0"/>
    <x v="2"/>
    <x v="15"/>
    <n v="0.84008255243194996"/>
    <n v="15061000000"/>
    <n v="0.34722222222222221"/>
    <n v="6225000000"/>
  </r>
  <r>
    <s v="FB"/>
    <n v="4"/>
    <x v="4"/>
    <d v="2016-12-31T00:00:00"/>
    <n v="27638000000"/>
    <n v="3789000000"/>
    <n v="5503000000"/>
    <n v="5919000000"/>
    <n v="0"/>
    <x v="2"/>
    <x v="15"/>
    <n v="0.86290614371517482"/>
    <n v="23849000000"/>
    <n v="0.44963456111151312"/>
    <n v="12427000000"/>
  </r>
  <r>
    <s v="FBHS"/>
    <n v="1"/>
    <x v="0"/>
    <d v="2012-12-31T00:00:00"/>
    <n v="3134800000"/>
    <n v="2093200000"/>
    <n v="873100000"/>
    <n v="0"/>
    <n v="7400000"/>
    <x v="0"/>
    <x v="18"/>
    <n v="0.33227000127599848"/>
    <n v="1041600000"/>
    <n v="5.1390838330994004E-2"/>
    <n v="161100000"/>
  </r>
  <r>
    <s v="FBHS"/>
    <n v="2"/>
    <x v="1"/>
    <d v="2013-12-31T00:00:00"/>
    <n v="3703600000"/>
    <n v="2408500000"/>
    <n v="938700000"/>
    <n v="0"/>
    <n v="9400000"/>
    <x v="0"/>
    <x v="18"/>
    <n v="0.34968679123015445"/>
    <n v="1295100000"/>
    <n v="9.3692623393455021E-2"/>
    <n v="347000000"/>
  </r>
  <r>
    <s v="FBHS"/>
    <n v="3"/>
    <x v="2"/>
    <d v="2014-12-31T00:00:00"/>
    <n v="4013600000"/>
    <n v="2646700000"/>
    <n v="943300000"/>
    <n v="0"/>
    <n v="13100000"/>
    <x v="0"/>
    <x v="18"/>
    <n v="0.34056707195535185"/>
    <n v="1366900000"/>
    <n v="0.10227725732509468"/>
    <n v="410500000"/>
  </r>
  <r>
    <s v="FBHS"/>
    <n v="4"/>
    <x v="3"/>
    <d v="2015-12-31T00:00:00"/>
    <n v="4579400000"/>
    <n v="2997500000"/>
    <n v="1047600000"/>
    <n v="0"/>
    <n v="21600000"/>
    <x v="0"/>
    <x v="18"/>
    <n v="0.34543826702188063"/>
    <n v="1581900000"/>
    <n v="0.11195789841463948"/>
    <n v="512700000"/>
  </r>
  <r>
    <s v="FCX"/>
    <n v="1"/>
    <x v="0"/>
    <d v="2012-12-31T00:00:00"/>
    <n v="18010000000"/>
    <n v="11561000000"/>
    <n v="431000000"/>
    <n v="285000000"/>
    <n v="0"/>
    <x v="7"/>
    <x v="69"/>
    <n v="0.35807884508606325"/>
    <n v="6449000000"/>
    <n v="0.3183231538034425"/>
    <n v="5733000000"/>
  </r>
  <r>
    <s v="FCX"/>
    <n v="2"/>
    <x v="1"/>
    <d v="2013-12-31T00:00:00"/>
    <n v="20921000000"/>
    <n v="14637000000"/>
    <n v="657000000"/>
    <n v="210000000"/>
    <n v="0"/>
    <x v="7"/>
    <x v="69"/>
    <n v="0.30036805124038046"/>
    <n v="6284000000"/>
    <n v="0.25892643755078631"/>
    <n v="5417000000"/>
  </r>
  <r>
    <s v="FCX"/>
    <n v="3"/>
    <x v="2"/>
    <d v="2014-12-31T00:00:00"/>
    <n v="21438000000"/>
    <n v="19504000000"/>
    <n v="592000000"/>
    <n v="126000000"/>
    <n v="0"/>
    <x v="7"/>
    <x v="69"/>
    <n v="9.0213639332027196E-2"/>
    <n v="1934000000"/>
    <n v="5.6721709114656217E-2"/>
    <n v="1216000000"/>
  </r>
  <r>
    <s v="FCX"/>
    <n v="4"/>
    <x v="3"/>
    <d v="2015-12-31T00:00:00"/>
    <n v="15877000000"/>
    <n v="28524000000"/>
    <n v="569000000"/>
    <n v="127000000"/>
    <n v="0"/>
    <x v="7"/>
    <x v="69"/>
    <n v="-0.79656106317314346"/>
    <n v="-12647000000"/>
    <n v="-0.8403980600869182"/>
    <n v="-13343000000"/>
  </r>
  <r>
    <s v="FDX"/>
    <n v="1"/>
    <x v="1"/>
    <d v="2013-05-31T00:00:00"/>
    <n v="44287000000"/>
    <n v="16448000000"/>
    <n v="20359000000"/>
    <n v="0"/>
    <n v="2386000000"/>
    <x v="0"/>
    <x v="47"/>
    <n v="0.62860433084200773"/>
    <n v="27839000000"/>
    <n v="0.11502246708966514"/>
    <n v="5094000000"/>
  </r>
  <r>
    <s v="FDX"/>
    <n v="2"/>
    <x v="2"/>
    <d v="2014-05-31T00:00:00"/>
    <n v="45567000000"/>
    <n v="17052000000"/>
    <n v="22113000000"/>
    <n v="0"/>
    <n v="2587000000"/>
    <x v="0"/>
    <x v="47"/>
    <n v="0.62578181578774106"/>
    <n v="28515000000"/>
    <n v="8.3722869620558735E-2"/>
    <n v="3815000000"/>
  </r>
  <r>
    <s v="FDX"/>
    <n v="3"/>
    <x v="3"/>
    <d v="2015-05-31T00:00:00"/>
    <n v="47453000000"/>
    <n v="16984000000"/>
    <n v="25715000000"/>
    <n v="0"/>
    <n v="2611000000"/>
    <x v="0"/>
    <x v="47"/>
    <n v="0.6420879607190273"/>
    <n v="30469000000"/>
    <n v="4.5160474574842478E-2"/>
    <n v="2143000000"/>
  </r>
  <r>
    <s v="FDX"/>
    <n v="4"/>
    <x v="4"/>
    <d v="2016-05-31T00:00:00"/>
    <n v="50365000000"/>
    <n v="17327000000"/>
    <n v="27330000000"/>
    <n v="0"/>
    <n v="2631000000"/>
    <x v="0"/>
    <x v="47"/>
    <n v="0.6559714087163705"/>
    <n v="33038000000"/>
    <n v="6.1094013699990075E-2"/>
    <n v="3077000000"/>
  </r>
  <r>
    <s v="FE"/>
    <n v="1"/>
    <x v="0"/>
    <d v="2012-12-31T00:00:00"/>
    <n v="15255000000"/>
    <n v="6717000000"/>
    <n v="5353000000"/>
    <n v="0"/>
    <n v="1051000000"/>
    <x v="5"/>
    <x v="11"/>
    <n v="0.55968534906587997"/>
    <n v="8538000000"/>
    <n v="0.13988856112749917"/>
    <n v="2134000000"/>
  </r>
  <r>
    <s v="FE"/>
    <n v="2"/>
    <x v="1"/>
    <d v="2013-12-31T00:00:00"/>
    <n v="14892000000"/>
    <n v="6459000000"/>
    <n v="4315000000"/>
    <n v="0"/>
    <n v="1741000000"/>
    <x v="5"/>
    <x v="11"/>
    <n v="0.56627719580983071"/>
    <n v="8433000000"/>
    <n v="0.15961590115498253"/>
    <n v="2377000000"/>
  </r>
  <r>
    <s v="FE"/>
    <n v="3"/>
    <x v="2"/>
    <d v="2014-12-31T00:00:00"/>
    <n v="15049000000"/>
    <n v="6996000000"/>
    <n v="5759000000"/>
    <n v="0"/>
    <n v="1232000000"/>
    <x v="5"/>
    <x v="11"/>
    <n v="0.53511861253239412"/>
    <n v="8053000000"/>
    <n v="7.0569473054688026E-2"/>
    <n v="1062000000"/>
  </r>
  <r>
    <s v="FE"/>
    <n v="4"/>
    <x v="3"/>
    <d v="2015-12-31T00:00:00"/>
    <n v="15026000000"/>
    <n v="6173000000"/>
    <n v="4969000000"/>
    <n v="0"/>
    <n v="1550000000"/>
    <x v="5"/>
    <x v="11"/>
    <n v="0.58917875682150944"/>
    <n v="8853000000"/>
    <n v="0.15533076001597232"/>
    <n v="2334000000"/>
  </r>
  <r>
    <s v="FFIV"/>
    <n v="1"/>
    <x v="1"/>
    <d v="2013-09-30T00:00:00"/>
    <n v="1481314000"/>
    <n v="253047000"/>
    <n v="587835000"/>
    <n v="209614000"/>
    <n v="0"/>
    <x v="2"/>
    <x v="55"/>
    <n v="0.82917396311653035"/>
    <n v="1228267000"/>
    <n v="0.29083502890001717"/>
    <n v="430818000"/>
  </r>
  <r>
    <s v="FFIV"/>
    <n v="2"/>
    <x v="2"/>
    <d v="2014-09-30T00:00:00"/>
    <n v="1732046000"/>
    <n v="309959000"/>
    <n v="664738000"/>
    <n v="263792000"/>
    <n v="0"/>
    <x v="2"/>
    <x v="55"/>
    <n v="0.82104459119446016"/>
    <n v="1422087000"/>
    <n v="0.28495605774904359"/>
    <n v="493557000"/>
  </r>
  <r>
    <s v="FFIV"/>
    <n v="3"/>
    <x v="3"/>
    <d v="2015-09-30T00:00:00"/>
    <n v="1919823000"/>
    <n v="332261000"/>
    <n v="738080000"/>
    <n v="296583000"/>
    <n v="0"/>
    <x v="2"/>
    <x v="55"/>
    <n v="0.82693144107555749"/>
    <n v="1587562000"/>
    <n v="0.28799477868532675"/>
    <n v="552899000"/>
  </r>
  <r>
    <s v="FFIV"/>
    <n v="4"/>
    <x v="4"/>
    <d v="2016-09-30T00:00:00"/>
    <n v="1995034000"/>
    <n v="337205000"/>
    <n v="767174000"/>
    <n v="334227000"/>
    <n v="0"/>
    <x v="2"/>
    <x v="55"/>
    <n v="0.83097781792190006"/>
    <n v="1657829000"/>
    <n v="0.27890652490133"/>
    <n v="556428000"/>
  </r>
  <r>
    <s v="FIS"/>
    <n v="1"/>
    <x v="0"/>
    <d v="2012-12-31T00:00:00"/>
    <n v="5795800000"/>
    <n v="3956200000"/>
    <n v="763300000"/>
    <n v="0"/>
    <n v="0"/>
    <x v="2"/>
    <x v="15"/>
    <n v="0.31740225680665313"/>
    <n v="1839600000"/>
    <n v="0.18570344042237483"/>
    <n v="1076300000"/>
  </r>
  <r>
    <s v="FIS"/>
    <n v="2"/>
    <x v="1"/>
    <d v="2013-12-31T00:00:00"/>
    <n v="6063400000"/>
    <n v="4092700000"/>
    <n v="907800000"/>
    <n v="0"/>
    <n v="0"/>
    <x v="2"/>
    <x v="15"/>
    <n v="0.32501566777715474"/>
    <n v="1970700000"/>
    <n v="0.1752976877659399"/>
    <n v="1062900000"/>
  </r>
  <r>
    <s v="FIS"/>
    <n v="3"/>
    <x v="2"/>
    <d v="2014-12-31T00:00:00"/>
    <n v="6413800000"/>
    <n v="4328300000"/>
    <n v="814900000"/>
    <n v="0"/>
    <n v="0"/>
    <x v="2"/>
    <x v="15"/>
    <n v="0.32515825251800801"/>
    <n v="2085500000"/>
    <n v="0.19810408806012036"/>
    <n v="1270600000"/>
  </r>
  <r>
    <s v="FIS"/>
    <n v="4"/>
    <x v="3"/>
    <d v="2015-12-31T00:00:00"/>
    <n v="6595200000"/>
    <n v="4393200000"/>
    <n v="1102800000"/>
    <n v="0"/>
    <n v="0"/>
    <x v="2"/>
    <x v="15"/>
    <n v="0.33387918486171764"/>
    <n v="2202000000"/>
    <n v="0.16666666666666666"/>
    <n v="1099200000"/>
  </r>
  <r>
    <s v="FISV"/>
    <n v="1"/>
    <x v="0"/>
    <d v="2012-12-31T00:00:00"/>
    <n v="4436000000"/>
    <n v="2564000000"/>
    <n v="824000000"/>
    <n v="0"/>
    <n v="0"/>
    <x v="2"/>
    <x v="15"/>
    <n v="0.42200180342651039"/>
    <n v="1872000000"/>
    <n v="0.23624887285843102"/>
    <n v="1048000000"/>
  </r>
  <r>
    <s v="FISV"/>
    <n v="2"/>
    <x v="1"/>
    <d v="2013-12-31T00:00:00"/>
    <n v="4814000000"/>
    <n v="2776000000"/>
    <n v="977000000"/>
    <n v="0"/>
    <n v="0"/>
    <x v="2"/>
    <x v="15"/>
    <n v="0.42334856668051513"/>
    <n v="2038000000"/>
    <n v="0.22039883672621521"/>
    <n v="1061000000"/>
  </r>
  <r>
    <s v="FISV"/>
    <n v="3"/>
    <x v="2"/>
    <d v="2014-12-31T00:00:00"/>
    <n v="5066000000"/>
    <n v="2881000000"/>
    <n v="975000000"/>
    <n v="0"/>
    <n v="0"/>
    <x v="2"/>
    <x v="15"/>
    <n v="0.43130675088827475"/>
    <n v="2185000000"/>
    <n v="0.2388472167390446"/>
    <n v="1210000000"/>
  </r>
  <r>
    <s v="FISV"/>
    <n v="4"/>
    <x v="3"/>
    <d v="2015-12-31T00:00:00"/>
    <n v="5254000000"/>
    <n v="2909000000"/>
    <n v="1034000000"/>
    <n v="0"/>
    <n v="0"/>
    <x v="2"/>
    <x v="15"/>
    <n v="0.44632660829843929"/>
    <n v="2345000000"/>
    <n v="0.24952417205938332"/>
    <n v="1311000000"/>
  </r>
  <r>
    <s v="FL"/>
    <n v="1"/>
    <x v="1"/>
    <d v="2013-02-02T00:00:00"/>
    <n v="6182000000"/>
    <n v="4148000000"/>
    <n v="1294000000"/>
    <n v="0"/>
    <n v="118000000"/>
    <x v="1"/>
    <x v="70"/>
    <n v="0.32901973471368484"/>
    <n v="2034000000"/>
    <n v="0.10061468780329991"/>
    <n v="622000000"/>
  </r>
  <r>
    <s v="FL"/>
    <n v="2"/>
    <x v="2"/>
    <d v="2014-02-01T00:00:00"/>
    <n v="6505000000"/>
    <n v="4372000000"/>
    <n v="1334000000"/>
    <n v="0"/>
    <n v="133000000"/>
    <x v="1"/>
    <x v="70"/>
    <n v="0.32790161414296692"/>
    <n v="2133000000"/>
    <n v="0.10238278247501921"/>
    <n v="666000000"/>
  </r>
  <r>
    <s v="FL"/>
    <n v="3"/>
    <x v="3"/>
    <d v="2015-01-31T00:00:00"/>
    <n v="7151000000"/>
    <n v="4777000000"/>
    <n v="1426000000"/>
    <n v="0"/>
    <n v="139000000"/>
    <x v="1"/>
    <x v="70"/>
    <n v="0.33198154104321076"/>
    <n v="2374000000"/>
    <n v="0.11313103062508741"/>
    <n v="809000000"/>
  </r>
  <r>
    <s v="FL"/>
    <n v="4"/>
    <x v="4"/>
    <d v="2016-01-30T00:00:00"/>
    <n v="7412000000"/>
    <n v="4907000000"/>
    <n v="1415000000"/>
    <n v="0"/>
    <n v="148000000"/>
    <x v="1"/>
    <x v="70"/>
    <n v="0.33796546141392336"/>
    <n v="2505000000"/>
    <n v="0.1270912034538586"/>
    <n v="942000000"/>
  </r>
  <r>
    <s v="FLIR"/>
    <n v="1"/>
    <x v="0"/>
    <d v="2012-12-31T00:00:00"/>
    <n v="1405358000"/>
    <n v="670174000"/>
    <n v="292500000"/>
    <n v="137354000"/>
    <n v="0"/>
    <x v="2"/>
    <x v="71"/>
    <n v="0.52312933786266558"/>
    <n v="735184000"/>
    <n v="0.2172613668545666"/>
    <n v="305330000"/>
  </r>
  <r>
    <s v="FLIR"/>
    <n v="2"/>
    <x v="1"/>
    <d v="2013-12-31T00:00:00"/>
    <n v="1496372000"/>
    <n v="759362000"/>
    <n v="322739000"/>
    <n v="147696000"/>
    <n v="0"/>
    <x v="2"/>
    <x v="71"/>
    <n v="0.49253126896253074"/>
    <n v="737010000"/>
    <n v="0.1781475461984052"/>
    <n v="266575000"/>
  </r>
  <r>
    <s v="FLIR"/>
    <n v="3"/>
    <x v="2"/>
    <d v="2014-12-31T00:00:00"/>
    <n v="1530654000"/>
    <n v="780281000"/>
    <n v="331995000"/>
    <n v="142751000"/>
    <n v="0"/>
    <x v="2"/>
    <x v="71"/>
    <n v="0.49023031985020782"/>
    <n v="750373000"/>
    <n v="0.18007139431902963"/>
    <n v="275627000"/>
  </r>
  <r>
    <s v="FLIR"/>
    <n v="4"/>
    <x v="3"/>
    <d v="2015-12-31T00:00:00"/>
    <n v="1557067000"/>
    <n v="803506000"/>
    <n v="313544000"/>
    <n v="132892000"/>
    <n v="0"/>
    <x v="2"/>
    <x v="71"/>
    <n v="0.48396183337004761"/>
    <n v="753561000"/>
    <n v="0.19724584748119381"/>
    <n v="307125000"/>
  </r>
  <r>
    <s v="FLR"/>
    <n v="1"/>
    <x v="1"/>
    <d v="2013-12-31T00:00:00"/>
    <n v="27351573000"/>
    <n v="25986382000"/>
    <n v="175148000"/>
    <n v="0"/>
    <n v="0"/>
    <x v="0"/>
    <x v="72"/>
    <n v="4.9912705203463026E-2"/>
    <n v="1365191000"/>
    <n v="4.3509124685443136E-2"/>
    <n v="1190043000"/>
  </r>
  <r>
    <s v="FLR"/>
    <n v="2"/>
    <x v="2"/>
    <d v="2014-12-31T00:00:00"/>
    <n v="21531577000"/>
    <n v="20132544000"/>
    <n v="182711000"/>
    <n v="0"/>
    <n v="0"/>
    <x v="0"/>
    <x v="72"/>
    <n v="6.497587241287528E-2"/>
    <n v="1399033000"/>
    <n v="5.649014932812399E-2"/>
    <n v="1216322000"/>
  </r>
  <r>
    <s v="FLR"/>
    <n v="3"/>
    <x v="3"/>
    <d v="2015-12-31T00:00:00"/>
    <n v="18114048000"/>
    <n v="17019352000"/>
    <n v="408225000"/>
    <n v="0"/>
    <n v="0"/>
    <x v="0"/>
    <x v="72"/>
    <n v="6.0433537550524274E-2"/>
    <n v="1094696000"/>
    <n v="3.7897161363379409E-2"/>
    <n v="686471000"/>
  </r>
  <r>
    <s v="FLR"/>
    <n v="4"/>
    <x v="4"/>
    <d v="2016-12-31T00:00:00"/>
    <n v="19036525000"/>
    <n v="18246209000"/>
    <n v="191073000"/>
    <n v="0"/>
    <n v="0"/>
    <x v="0"/>
    <x v="72"/>
    <n v="4.1515770341488234E-2"/>
    <n v="790316000"/>
    <n v="3.1478591812318685E-2"/>
    <n v="599243000"/>
  </r>
  <r>
    <s v="FLS"/>
    <n v="1"/>
    <x v="1"/>
    <d v="2013-12-31T00:00:00"/>
    <n v="4954619000"/>
    <n v="3266524000"/>
    <n v="966829000"/>
    <n v="0"/>
    <n v="0"/>
    <x v="0"/>
    <x v="51"/>
    <n v="0.34071136448635098"/>
    <n v="1688095000"/>
    <n v="0.14557446294054094"/>
    <n v="721266000"/>
  </r>
  <r>
    <s v="FLS"/>
    <n v="2"/>
    <x v="2"/>
    <d v="2014-12-31T00:00:00"/>
    <n v="4877885000"/>
    <n v="3163268000"/>
    <n v="936900000"/>
    <n v="0"/>
    <n v="0"/>
    <x v="0"/>
    <x v="51"/>
    <n v="0.35150828689073232"/>
    <n v="1714617000"/>
    <n v="0.15943733810862701"/>
    <n v="777717000"/>
  </r>
  <r>
    <s v="FLS"/>
    <n v="3"/>
    <x v="3"/>
    <d v="2015-12-31T00:00:00"/>
    <n v="4561030000"/>
    <n v="3073712000"/>
    <n v="971611000"/>
    <n v="0"/>
    <n v="0"/>
    <x v="0"/>
    <x v="51"/>
    <n v="0.32609257119554136"/>
    <n v="1487318000"/>
    <n v="0.11306810084564232"/>
    <n v="515707000"/>
  </r>
  <r>
    <s v="FLS"/>
    <n v="4"/>
    <x v="4"/>
    <d v="2016-12-31T00:00:00"/>
    <n v="3991462000"/>
    <n v="2759908000"/>
    <n v="965322000"/>
    <n v="0"/>
    <n v="0"/>
    <x v="0"/>
    <x v="51"/>
    <n v="0.30854709377165557"/>
    <n v="1231554000"/>
    <n v="6.6700371943914288E-2"/>
    <n v="266232000"/>
  </r>
  <r>
    <s v="FMC"/>
    <n v="1"/>
    <x v="0"/>
    <d v="2012-12-31T00:00:00"/>
    <n v="3409900000"/>
    <n v="2141600000"/>
    <n v="489700000"/>
    <n v="112000000"/>
    <n v="0"/>
    <x v="7"/>
    <x v="61"/>
    <n v="0.37194639138977681"/>
    <n v="1268300000"/>
    <n v="0.19548960380069796"/>
    <n v="666600000"/>
  </r>
  <r>
    <s v="FMC"/>
    <n v="2"/>
    <x v="1"/>
    <d v="2013-12-31T00:00:00"/>
    <n v="3130700000"/>
    <n v="1929800000"/>
    <n v="496100000"/>
    <n v="115600000"/>
    <n v="0"/>
    <x v="7"/>
    <x v="61"/>
    <n v="0.38358833487718402"/>
    <n v="1200900000"/>
    <n v="0.18820072188328488"/>
    <n v="589200000"/>
  </r>
  <r>
    <s v="FMC"/>
    <n v="3"/>
    <x v="2"/>
    <d v="2014-12-31T00:00:00"/>
    <n v="3258700000"/>
    <n v="2047800000"/>
    <n v="589800000"/>
    <n v="126300000"/>
    <n v="0"/>
    <x v="7"/>
    <x v="61"/>
    <n v="0.37158989781201091"/>
    <n v="1210900000"/>
    <n v="0.15183969067419523"/>
    <n v="494800000"/>
  </r>
  <r>
    <s v="FMC"/>
    <n v="4"/>
    <x v="3"/>
    <d v="2015-12-31T00:00:00"/>
    <n v="3276500000"/>
    <n v="2201100000"/>
    <n v="737900000"/>
    <n v="143700000"/>
    <n v="0"/>
    <x v="7"/>
    <x v="61"/>
    <n v="0.32821608423622772"/>
    <n v="1075400000"/>
    <n v="5.9148481611475658E-2"/>
    <n v="193800000"/>
  </r>
  <r>
    <s v="FRT"/>
    <n v="1"/>
    <x v="1"/>
    <d v="2013-12-31T00:00:00"/>
    <n v="637413000"/>
    <n v="190454000"/>
    <n v="31970000"/>
    <n v="0"/>
    <n v="160828000"/>
    <x v="6"/>
    <x v="73"/>
    <n v="0.70120785111066142"/>
    <n v="446959000"/>
    <n v="0.39873833762411498"/>
    <n v="254161000"/>
  </r>
  <r>
    <s v="FRT"/>
    <n v="2"/>
    <x v="2"/>
    <d v="2014-12-31T00:00:00"/>
    <n v="686090000"/>
    <n v="211923000"/>
    <n v="32316000"/>
    <n v="0"/>
    <n v="170814000"/>
    <x v="6"/>
    <x v="73"/>
    <n v="0.69111486831173752"/>
    <n v="474167000"/>
    <n v="0.39504583946712529"/>
    <n v="271037000"/>
  </r>
  <r>
    <s v="FRT"/>
    <n v="3"/>
    <x v="3"/>
    <d v="2015-12-31T00:00:00"/>
    <n v="744012000"/>
    <n v="233417000"/>
    <n v="35645000"/>
    <n v="0"/>
    <n v="174796000"/>
    <x v="6"/>
    <x v="73"/>
    <n v="0.68627253323871118"/>
    <n v="510595000"/>
    <n v="0.40342628882329856"/>
    <n v="300154000"/>
  </r>
  <r>
    <s v="FRT"/>
    <n v="4"/>
    <x v="4"/>
    <d v="2016-12-31T00:00:00"/>
    <n v="801591000"/>
    <n v="253612000"/>
    <n v="33399000"/>
    <n v="0"/>
    <n v="193585000"/>
    <x v="6"/>
    <x v="73"/>
    <n v="0.68361421223541674"/>
    <n v="547979000"/>
    <n v="0.40044736031217915"/>
    <n v="320995000"/>
  </r>
  <r>
    <s v="FSLR"/>
    <n v="1"/>
    <x v="0"/>
    <d v="2012-12-31T00:00:00"/>
    <n v="3368545000"/>
    <n v="2515796000"/>
    <n v="280928000"/>
    <n v="132460000"/>
    <n v="0"/>
    <x v="2"/>
    <x v="7"/>
    <n v="0.25315054422606798"/>
    <n v="852749000"/>
    <n v="0.13043049744028951"/>
    <n v="439361000"/>
  </r>
  <r>
    <s v="FSLR"/>
    <n v="2"/>
    <x v="1"/>
    <d v="2013-12-31T00:00:00"/>
    <n v="3309616000"/>
    <n v="2444984000"/>
    <n v="270261000"/>
    <n v="134300000"/>
    <n v="0"/>
    <x v="2"/>
    <x v="7"/>
    <n v="0.2612484348637425"/>
    <n v="864632000"/>
    <n v="0.13901038670347254"/>
    <n v="460071000"/>
  </r>
  <r>
    <s v="FSLR"/>
    <n v="3"/>
    <x v="2"/>
    <d v="2014-12-31T00:00:00"/>
    <n v="3391187000"/>
    <n v="2566246000"/>
    <n v="253827000"/>
    <n v="143969000"/>
    <n v="0"/>
    <x v="2"/>
    <x v="7"/>
    <n v="0.24326025076175395"/>
    <n v="824941000"/>
    <n v="0.12595737126852632"/>
    <n v="427145000"/>
  </r>
  <r>
    <s v="FSLR"/>
    <n v="4"/>
    <x v="3"/>
    <d v="2015-12-31T00:00:00"/>
    <n v="3578995000"/>
    <n v="2659728000"/>
    <n v="255192000"/>
    <n v="130593000"/>
    <n v="0"/>
    <x v="2"/>
    <x v="7"/>
    <n v="0.25685059632662244"/>
    <n v="919267000"/>
    <n v="0.1490591632567243"/>
    <n v="533482000"/>
  </r>
  <r>
    <s v="FTR"/>
    <n v="1"/>
    <x v="0"/>
    <d v="2012-12-31T00:00:00"/>
    <n v="5011853000"/>
    <n v="0"/>
    <n v="2676141000"/>
    <n v="0"/>
    <n v="1266807000"/>
    <x v="9"/>
    <x v="59"/>
    <n v="1"/>
    <n v="5011853000"/>
    <n v="0.21327540931467862"/>
    <n v="1068905000"/>
  </r>
  <r>
    <s v="FTR"/>
    <n v="2"/>
    <x v="1"/>
    <d v="2013-12-31T00:00:00"/>
    <n v="4762000000"/>
    <n v="0"/>
    <n v="2616000000"/>
    <n v="0"/>
    <n v="1170000000"/>
    <x v="9"/>
    <x v="59"/>
    <n v="1"/>
    <n v="4762000000"/>
    <n v="0.20495590088198237"/>
    <n v="976000000"/>
  </r>
  <r>
    <s v="FTR"/>
    <n v="3"/>
    <x v="2"/>
    <d v="2014-12-31T00:00:00"/>
    <n v="4772000000"/>
    <n v="0"/>
    <n v="2671000000"/>
    <n v="0"/>
    <n v="1139000000"/>
    <x v="9"/>
    <x v="59"/>
    <n v="1"/>
    <n v="4772000000"/>
    <n v="0.20159262363788769"/>
    <n v="962000000"/>
  </r>
  <r>
    <s v="FTR"/>
    <n v="4"/>
    <x v="3"/>
    <d v="2015-12-31T00:00:00"/>
    <n v="5576000000"/>
    <n v="0"/>
    <n v="3275000000"/>
    <n v="0"/>
    <n v="1320000000"/>
    <x v="9"/>
    <x v="59"/>
    <n v="1"/>
    <n v="5576000000"/>
    <n v="0.17593256814921091"/>
    <n v="981000000"/>
  </r>
  <r>
    <s v="GD"/>
    <n v="1"/>
    <x v="1"/>
    <d v="2013-12-31T00:00:00"/>
    <n v="30930000000"/>
    <n v="25202000000"/>
    <n v="2039000000"/>
    <n v="0"/>
    <n v="0"/>
    <x v="0"/>
    <x v="28"/>
    <n v="0.18519236986744259"/>
    <n v="5728000000"/>
    <n v="0.11926931781441966"/>
    <n v="3689000000"/>
  </r>
  <r>
    <s v="GD"/>
    <n v="2"/>
    <x v="2"/>
    <d v="2014-12-31T00:00:00"/>
    <n v="30852000000"/>
    <n v="24979000000"/>
    <n v="1984000000"/>
    <n v="0"/>
    <n v="0"/>
    <x v="0"/>
    <x v="28"/>
    <n v="0.19036043044211071"/>
    <n v="5873000000"/>
    <n v="0.12605341631012576"/>
    <n v="3889000000"/>
  </r>
  <r>
    <s v="GD"/>
    <n v="3"/>
    <x v="3"/>
    <d v="2015-12-31T00:00:00"/>
    <n v="31469000000"/>
    <n v="25339000000"/>
    <n v="1952000000"/>
    <n v="0"/>
    <n v="0"/>
    <x v="0"/>
    <x v="28"/>
    <n v="0.19479487749849056"/>
    <n v="6130000000"/>
    <n v="0.13276557882360418"/>
    <n v="4178000000"/>
  </r>
  <r>
    <s v="GD"/>
    <n v="4"/>
    <x v="4"/>
    <d v="2016-12-31T00:00:00"/>
    <n v="31353000000"/>
    <n v="25104000000"/>
    <n v="1940000000"/>
    <n v="0"/>
    <n v="0"/>
    <x v="0"/>
    <x v="28"/>
    <n v="0.19931107071093679"/>
    <n v="6249000000"/>
    <n v="0.13743501419321916"/>
    <n v="4309000000"/>
  </r>
  <r>
    <s v="GGP"/>
    <n v="1"/>
    <x v="0"/>
    <d v="2012-12-31T00:00:00"/>
    <n v="2426301000"/>
    <n v="800336000"/>
    <n v="72163000"/>
    <n v="0"/>
    <n v="768820000"/>
    <x v="6"/>
    <x v="73"/>
    <n v="0.67014150346556345"/>
    <n v="1625965000"/>
    <n v="0.32353034516327528"/>
    <n v="784982000"/>
  </r>
  <r>
    <s v="GGP"/>
    <n v="2"/>
    <x v="1"/>
    <d v="2013-12-31T00:00:00"/>
    <n v="2486017000"/>
    <n v="815095000"/>
    <n v="76864000"/>
    <n v="0"/>
    <n v="749722000"/>
    <x v="6"/>
    <x v="73"/>
    <n v="0.67212814715265423"/>
    <n v="1670922000"/>
    <n v="0.33963404111878559"/>
    <n v="844336000"/>
  </r>
  <r>
    <s v="GGP"/>
    <n v="3"/>
    <x v="2"/>
    <d v="2014-12-31T00:00:00"/>
    <n v="2535559000"/>
    <n v="783602000"/>
    <n v="88705000"/>
    <n v="0"/>
    <n v="708406000"/>
    <x v="6"/>
    <x v="73"/>
    <n v="0.69095493340916148"/>
    <n v="1751957000"/>
    <n v="0.37658204758792835"/>
    <n v="954846000"/>
  </r>
  <r>
    <s v="GGP"/>
    <n v="4"/>
    <x v="3"/>
    <d v="2015-12-31T00:00:00"/>
    <n v="2403906000"/>
    <n v="747276000"/>
    <n v="72363000"/>
    <n v="0"/>
    <n v="643689000"/>
    <x v="6"/>
    <x v="73"/>
    <n v="0.68914092314757736"/>
    <n v="1656630000"/>
    <n v="0.3912707069244804"/>
    <n v="940578000"/>
  </r>
  <r>
    <s v="UNM"/>
    <n v="1"/>
    <x v="0"/>
    <d v="2012-12-31T00:00:00"/>
    <n v="10515400000"/>
    <n v="7172100000"/>
    <n v="786800000"/>
    <n v="0"/>
    <n v="1161600000"/>
    <x v="3"/>
    <x v="42"/>
    <n v="0.31794320710576873"/>
    <n v="3343300000"/>
    <n v="0.1326530612244898"/>
    <n v="1394900000"/>
  </r>
  <r>
    <s v="UNM"/>
    <n v="2"/>
    <x v="1"/>
    <d v="2013-12-31T00:00:00"/>
    <n v="10368600000"/>
    <n v="7038400000"/>
    <n v="790400000"/>
    <n v="0"/>
    <n v="1170400000"/>
    <x v="3"/>
    <x v="42"/>
    <n v="0.32118125880060955"/>
    <n v="3330200000"/>
    <n v="0.13207183226279343"/>
    <n v="1369400000"/>
  </r>
  <r>
    <s v="UNM"/>
    <n v="3"/>
    <x v="2"/>
    <d v="2014-12-31T00:00:00"/>
    <n v="10524500000"/>
    <n v="7722100000"/>
    <n v="820900000"/>
    <n v="0"/>
    <n v="1272000000"/>
    <x v="3"/>
    <x v="42"/>
    <n v="0.26627393225331375"/>
    <n v="2802400000"/>
    <n v="6.7414128937241677E-2"/>
    <n v="709500000"/>
  </r>
  <r>
    <s v="UNM"/>
    <n v="4"/>
    <x v="3"/>
    <d v="2015-12-31T00:00:00"/>
    <n v="10731300000"/>
    <n v="7209400000"/>
    <n v="835100000"/>
    <n v="0"/>
    <n v="1295700000"/>
    <x v="3"/>
    <x v="42"/>
    <n v="0.32818950173790684"/>
    <n v="3521900000"/>
    <n v="0.12963014732604625"/>
    <n v="1391100000"/>
  </r>
  <r>
    <s v="GIS"/>
    <n v="1"/>
    <x v="1"/>
    <d v="2013-05-26T00:00:00"/>
    <n v="17774100000"/>
    <n v="11350200000"/>
    <n v="3552300000"/>
    <n v="0"/>
    <n v="0"/>
    <x v="4"/>
    <x v="37"/>
    <n v="0.36141914358532923"/>
    <n v="6423900000"/>
    <n v="0.16156092291592825"/>
    <n v="2871600000"/>
  </r>
  <r>
    <s v="GIS"/>
    <n v="2"/>
    <x v="2"/>
    <d v="2014-05-25T00:00:00"/>
    <n v="17909600000"/>
    <n v="11539800000"/>
    <n v="3474300000"/>
    <n v="0"/>
    <n v="0"/>
    <x v="4"/>
    <x v="37"/>
    <n v="0.35566400142940102"/>
    <n v="6369800000"/>
    <n v="0.16167306919194174"/>
    <n v="2895500000"/>
  </r>
  <r>
    <s v="GIS"/>
    <n v="3"/>
    <x v="3"/>
    <d v="2015-05-31T00:00:00"/>
    <n v="17630300000"/>
    <n v="11681100000"/>
    <n v="3328000000"/>
    <n v="0"/>
    <n v="0"/>
    <x v="4"/>
    <x v="37"/>
    <n v="0.33744179055376256"/>
    <n v="5949200000"/>
    <n v="0.14867585917426249"/>
    <n v="2621200000"/>
  </r>
  <r>
    <s v="GIS"/>
    <n v="4"/>
    <x v="4"/>
    <d v="2016-05-29T00:00:00"/>
    <n v="16563100000"/>
    <n v="10733600000"/>
    <n v="3118900000"/>
    <n v="0"/>
    <n v="0"/>
    <x v="4"/>
    <x v="37"/>
    <n v="0.35195706117816106"/>
    <n v="5829500000"/>
    <n v="0.16365293936521544"/>
    <n v="2710600000"/>
  </r>
  <r>
    <s v="GLW"/>
    <n v="1"/>
    <x v="1"/>
    <d v="2013-12-31T00:00:00"/>
    <n v="7819000000"/>
    <n v="4495000000"/>
    <n v="1126000000"/>
    <n v="710000000"/>
    <n v="31000000"/>
    <x v="2"/>
    <x v="27"/>
    <n v="0.42511830157309116"/>
    <n v="3324000000"/>
    <n v="0.18634096431768768"/>
    <n v="1457000000"/>
  </r>
  <r>
    <s v="GLW"/>
    <n v="2"/>
    <x v="2"/>
    <d v="2014-12-31T00:00:00"/>
    <n v="9715000000"/>
    <n v="5663000000"/>
    <n v="1202000000"/>
    <n v="815000000"/>
    <n v="33000000"/>
    <x v="2"/>
    <x v="27"/>
    <n v="0.41708697889861035"/>
    <n v="4052000000"/>
    <n v="0.20607308286155429"/>
    <n v="2002000000"/>
  </r>
  <r>
    <s v="GLW"/>
    <n v="3"/>
    <x v="3"/>
    <d v="2015-12-31T00:00:00"/>
    <n v="9111000000"/>
    <n v="5458000000"/>
    <n v="1508000000"/>
    <n v="769000000"/>
    <n v="54000000"/>
    <x v="2"/>
    <x v="27"/>
    <n v="0.40094391395017015"/>
    <n v="3653000000"/>
    <n v="0.14509933047963999"/>
    <n v="1322000000"/>
  </r>
  <r>
    <s v="GLW"/>
    <n v="4"/>
    <x v="4"/>
    <d v="2016-12-31T00:00:00"/>
    <n v="9390000000"/>
    <n v="5644000000"/>
    <n v="1472000000"/>
    <n v="742000000"/>
    <n v="64000000"/>
    <x v="2"/>
    <x v="27"/>
    <n v="0.39893503727369539"/>
    <n v="3746000000"/>
    <n v="0.15633652822151226"/>
    <n v="1468000000"/>
  </r>
  <r>
    <s v="GM"/>
    <n v="1"/>
    <x v="1"/>
    <d v="2013-12-31T00:00:00"/>
    <n v="155427000000"/>
    <n v="137373000000"/>
    <n v="12382000000"/>
    <n v="0"/>
    <n v="0"/>
    <x v="1"/>
    <x v="68"/>
    <n v="0.11615742438572452"/>
    <n v="18054000000"/>
    <n v="3.6493016013948672E-2"/>
    <n v="5672000000"/>
  </r>
  <r>
    <s v="GM"/>
    <n v="2"/>
    <x v="2"/>
    <d v="2014-12-31T00:00:00"/>
    <n v="155929000000"/>
    <n v="142121000000"/>
    <n v="12158000000"/>
    <n v="0"/>
    <n v="0"/>
    <x v="1"/>
    <x v="68"/>
    <n v="8.8553123536994405E-2"/>
    <n v="13808000000"/>
    <n v="1.0581739124858108E-2"/>
    <n v="1650000000"/>
  </r>
  <r>
    <s v="GM"/>
    <n v="3"/>
    <x v="3"/>
    <d v="2015-12-31T00:00:00"/>
    <n v="152356000000"/>
    <n v="134054000000"/>
    <n v="13405000000"/>
    <n v="0"/>
    <n v="0"/>
    <x v="1"/>
    <x v="68"/>
    <n v="0.12012654572186199"/>
    <n v="18302000000"/>
    <n v="3.2141825723962299E-2"/>
    <n v="4897000000"/>
  </r>
  <r>
    <s v="GM"/>
    <n v="4"/>
    <x v="4"/>
    <d v="2016-12-31T00:00:00"/>
    <n v="166380000000"/>
    <n v="145125000000"/>
    <n v="11710000000"/>
    <n v="0"/>
    <n v="0"/>
    <x v="1"/>
    <x v="68"/>
    <n v="0.12774972953479991"/>
    <n v="21255000000"/>
    <n v="5.7368674119485513E-2"/>
    <n v="9545000000"/>
  </r>
  <r>
    <s v="GPC"/>
    <n v="1"/>
    <x v="0"/>
    <d v="2012-12-31T00:00:00"/>
    <n v="13013868000"/>
    <n v="9235777000"/>
    <n v="2656530000"/>
    <n v="0"/>
    <n v="98383000"/>
    <x v="1"/>
    <x v="24"/>
    <n v="0.29031268797255361"/>
    <n v="3778091000"/>
    <n v="7.8622128332637153E-2"/>
    <n v="1023178000"/>
  </r>
  <r>
    <s v="GPC"/>
    <n v="2"/>
    <x v="1"/>
    <d v="2013-12-31T00:00:00"/>
    <n v="14077843000"/>
    <n v="9857923000"/>
    <n v="3028028000"/>
    <n v="0"/>
    <n v="133957000"/>
    <x v="1"/>
    <x v="24"/>
    <n v="0.29975614872249956"/>
    <n v="4219920000"/>
    <n v="7.5148941496222116E-2"/>
    <n v="1057935000"/>
  </r>
  <r>
    <s v="GPC"/>
    <n v="3"/>
    <x v="2"/>
    <d v="2014-12-31T00:00:00"/>
    <n v="15341647000"/>
    <n v="10747886000"/>
    <n v="3314030000"/>
    <n v="0"/>
    <n v="148313000"/>
    <x v="1"/>
    <x v="24"/>
    <n v="0.29943075864019031"/>
    <n v="4593761000"/>
    <n v="7.3748144511472588E-2"/>
    <n v="1131418000"/>
  </r>
  <r>
    <s v="GPC"/>
    <n v="4"/>
    <x v="3"/>
    <d v="2015-12-31T00:00:00"/>
    <n v="15280044000"/>
    <n v="10724192000"/>
    <n v="3277390000"/>
    <n v="0"/>
    <n v="141675000"/>
    <x v="1"/>
    <x v="24"/>
    <n v="0.29815699483587876"/>
    <n v="4555852000"/>
    <n v="7.4396840742081638E-2"/>
    <n v="1136787000"/>
  </r>
  <r>
    <s v="GPN"/>
    <n v="1"/>
    <x v="1"/>
    <d v="2013-05-31T00:00:00"/>
    <n v="2375923000"/>
    <n v="862075000"/>
    <n v="1156635000"/>
    <n v="0"/>
    <n v="0"/>
    <x v="2"/>
    <x v="9"/>
    <n v="0.63716206291197142"/>
    <n v="1513848000"/>
    <n v="0.15034704407508157"/>
    <n v="357213000"/>
  </r>
  <r>
    <s v="GPN"/>
    <n v="2"/>
    <x v="2"/>
    <d v="2014-05-31T00:00:00"/>
    <n v="2554236000"/>
    <n v="952225000"/>
    <n v="1196512000"/>
    <n v="0"/>
    <n v="0"/>
    <x v="2"/>
    <x v="9"/>
    <n v="0.62719772174536725"/>
    <n v="1602011000"/>
    <n v="0.15875549479374654"/>
    <n v="405499000"/>
  </r>
  <r>
    <s v="GPN"/>
    <n v="3"/>
    <x v="3"/>
    <d v="2015-05-31T00:00:00"/>
    <n v="2773718000"/>
    <n v="1022107000"/>
    <n v="1295014000"/>
    <n v="0"/>
    <n v="0"/>
    <x v="2"/>
    <x v="9"/>
    <n v="0.63150291413907256"/>
    <n v="1751611000"/>
    <n v="0.1646155088585069"/>
    <n v="456597000"/>
  </r>
  <r>
    <s v="GPN"/>
    <n v="4"/>
    <x v="4"/>
    <d v="2016-05-31T00:00:00"/>
    <n v="2898150000"/>
    <n v="1147639000"/>
    <n v="1325567000"/>
    <n v="0"/>
    <n v="0"/>
    <x v="2"/>
    <x v="9"/>
    <n v="0.60400979935476085"/>
    <n v="1750511000"/>
    <n v="0.14662595103773096"/>
    <n v="424944000"/>
  </r>
  <r>
    <s v="GPS"/>
    <n v="1"/>
    <x v="1"/>
    <d v="2013-02-02T00:00:00"/>
    <n v="15651000000"/>
    <n v="9480000000"/>
    <n v="0"/>
    <n v="0"/>
    <n v="0"/>
    <x v="1"/>
    <x v="70"/>
    <n v="0.3942879049262028"/>
    <n v="6171000000"/>
    <n v="0.3942879049262028"/>
    <n v="6171000000"/>
  </r>
  <r>
    <s v="GPS"/>
    <n v="2"/>
    <x v="2"/>
    <d v="2014-02-01T00:00:00"/>
    <n v="16148000000"/>
    <n v="9855000000"/>
    <n v="0"/>
    <n v="0"/>
    <n v="0"/>
    <x v="1"/>
    <x v="70"/>
    <n v="0.38970770374040131"/>
    <n v="6293000000"/>
    <n v="0.38970770374040131"/>
    <n v="6293000000"/>
  </r>
  <r>
    <s v="GPS"/>
    <n v="3"/>
    <x v="3"/>
    <d v="2015-01-31T00:00:00"/>
    <n v="16435000000"/>
    <n v="10146000000"/>
    <n v="0"/>
    <n v="0"/>
    <n v="0"/>
    <x v="1"/>
    <x v="70"/>
    <n v="0.38265895953757223"/>
    <n v="6289000000"/>
    <n v="0.38265895953757223"/>
    <n v="6289000000"/>
  </r>
  <r>
    <s v="GPS"/>
    <n v="4"/>
    <x v="4"/>
    <d v="2016-01-30T00:00:00"/>
    <n v="15797000000"/>
    <n v="10077000000"/>
    <n v="0"/>
    <n v="0"/>
    <n v="0"/>
    <x v="1"/>
    <x v="70"/>
    <n v="0.36209406849401782"/>
    <n v="5720000000"/>
    <n v="0.36209406849401787"/>
    <n v="5720000000"/>
  </r>
  <r>
    <s v="GRMN"/>
    <n v="1"/>
    <x v="0"/>
    <d v="2012-12-29T00:00:00"/>
    <n v="2715675000"/>
    <n v="1277195000"/>
    <n v="508547000"/>
    <n v="325773000"/>
    <n v="0"/>
    <x v="1"/>
    <x v="74"/>
    <n v="0.52969519548546862"/>
    <n v="1438480000"/>
    <n v="0.2224713929317757"/>
    <n v="604160000"/>
  </r>
  <r>
    <s v="GRMN"/>
    <n v="2"/>
    <x v="1"/>
    <d v="2013-12-28T00:00:00"/>
    <n v="2631851000"/>
    <n v="1224551000"/>
    <n v="468345000"/>
    <n v="364923000"/>
    <n v="0"/>
    <x v="1"/>
    <x v="74"/>
    <n v="0.53471872077864591"/>
    <n v="1407300000"/>
    <n v="0.21810961182832919"/>
    <n v="574032000"/>
  </r>
  <r>
    <s v="GRMN"/>
    <n v="3"/>
    <x v="2"/>
    <d v="2014-12-27T00:00:00"/>
    <n v="2870658000"/>
    <n v="1266246000"/>
    <n v="518665000"/>
    <n v="395121000"/>
    <n v="0"/>
    <x v="1"/>
    <x v="74"/>
    <n v="0.55890043328045347"/>
    <n v="1604412000"/>
    <n v="0.24058107932049028"/>
    <n v="690626000"/>
  </r>
  <r>
    <s v="GRMN"/>
    <n v="4"/>
    <x v="3"/>
    <d v="2015-12-26T00:00:00"/>
    <n v="2820270000"/>
    <n v="1281566000"/>
    <n v="562080000"/>
    <n v="427043000"/>
    <n v="0"/>
    <x v="1"/>
    <x v="74"/>
    <n v="0.54558747921298312"/>
    <n v="1538704000"/>
    <n v="0.19486822183691632"/>
    <n v="549581000"/>
  </r>
  <r>
    <s v="GT"/>
    <n v="1"/>
    <x v="1"/>
    <d v="2013-12-31T00:00:00"/>
    <n v="19540000000"/>
    <n v="15422000000"/>
    <n v="2816000000"/>
    <n v="0"/>
    <n v="0"/>
    <x v="1"/>
    <x v="75"/>
    <n v="0.21074718526100311"/>
    <n v="4118000000"/>
    <n v="6.6632548618219031E-2"/>
    <n v="1302000000"/>
  </r>
  <r>
    <s v="GT"/>
    <n v="2"/>
    <x v="2"/>
    <d v="2014-12-31T00:00:00"/>
    <n v="18138000000"/>
    <n v="13906000000"/>
    <n v="2815000000"/>
    <n v="0"/>
    <n v="0"/>
    <x v="1"/>
    <x v="75"/>
    <n v="0.23332230675928989"/>
    <n v="4232000000"/>
    <n v="7.8123277097805713E-2"/>
    <n v="1417000000"/>
  </r>
  <r>
    <s v="GT"/>
    <n v="3"/>
    <x v="3"/>
    <d v="2015-12-31T00:00:00"/>
    <n v="16443000000"/>
    <n v="12164000000"/>
    <n v="2728000000"/>
    <n v="0"/>
    <n v="0"/>
    <x v="1"/>
    <x v="75"/>
    <n v="0.26023231770358202"/>
    <n v="4279000000"/>
    <n v="9.4325852946542596E-2"/>
    <n v="1551000000"/>
  </r>
  <r>
    <s v="GT"/>
    <n v="4"/>
    <x v="4"/>
    <d v="2016-12-31T00:00:00"/>
    <n v="15158000000"/>
    <n v="10972000000"/>
    <n v="2617000000"/>
    <n v="0"/>
    <n v="0"/>
    <x v="1"/>
    <x v="75"/>
    <n v="0.27615780445969129"/>
    <n v="4186000000"/>
    <n v="0.10350969784932049"/>
    <n v="1569000000"/>
  </r>
  <r>
    <s v="GWW"/>
    <n v="1"/>
    <x v="0"/>
    <d v="2012-12-31T00:00:00"/>
    <n v="8950045000"/>
    <n v="5033885000"/>
    <n v="2785035000"/>
    <n v="0"/>
    <n v="0"/>
    <x v="0"/>
    <x v="76"/>
    <n v="0.43755757652615157"/>
    <n v="3916160000"/>
    <n v="0.12638204612379045"/>
    <n v="1131125000"/>
  </r>
  <r>
    <s v="GWW"/>
    <n v="2"/>
    <x v="1"/>
    <d v="2013-12-31T00:00:00"/>
    <n v="9437758000"/>
    <n v="5301275000"/>
    <n v="2839629000"/>
    <n v="0"/>
    <n v="0"/>
    <x v="0"/>
    <x v="76"/>
    <n v="0.43829085255205735"/>
    <n v="4136483000"/>
    <n v="0.13741123686367038"/>
    <n v="1296854000"/>
  </r>
  <r>
    <s v="GWW"/>
    <n v="3"/>
    <x v="2"/>
    <d v="2014-12-31T00:00:00"/>
    <n v="9964953000"/>
    <n v="5650711000"/>
    <n v="2967125000"/>
    <n v="0"/>
    <n v="0"/>
    <x v="0"/>
    <x v="76"/>
    <n v="0.43294153018082471"/>
    <n v="4314242000"/>
    <n v="0.13518548456776464"/>
    <n v="1347117000"/>
  </r>
  <r>
    <s v="GWW"/>
    <n v="4"/>
    <x v="3"/>
    <d v="2015-12-31T00:00:00"/>
    <n v="9973384000"/>
    <n v="5741956000"/>
    <n v="2931108000"/>
    <n v="0"/>
    <n v="0"/>
    <x v="0"/>
    <x v="76"/>
    <n v="0.42427204246823347"/>
    <n v="4231428000"/>
    <n v="0.13037901679109118"/>
    <n v="1300320000"/>
  </r>
  <r>
    <s v="HAL"/>
    <n v="1"/>
    <x v="1"/>
    <d v="2013-12-31T00:00:00"/>
    <n v="29402000000"/>
    <n v="24931000000"/>
    <n v="1333000000"/>
    <n v="0"/>
    <n v="0"/>
    <x v="8"/>
    <x v="34"/>
    <n v="0.15206448540915585"/>
    <n v="4471000000"/>
    <n v="0.10672743350792463"/>
    <n v="3138000000"/>
  </r>
  <r>
    <s v="HAL"/>
    <n v="2"/>
    <x v="2"/>
    <d v="2014-12-31T00:00:00"/>
    <n v="32870000000"/>
    <n v="27334000000"/>
    <n v="293000000"/>
    <n v="0"/>
    <n v="0"/>
    <x v="8"/>
    <x v="34"/>
    <n v="0.16842105263157892"/>
    <n v="5536000000"/>
    <n v="0.15950714937633101"/>
    <n v="5243000000"/>
  </r>
  <r>
    <s v="HAL"/>
    <n v="3"/>
    <x v="3"/>
    <d v="2015-12-31T00:00:00"/>
    <n v="23633000000"/>
    <n v="21113000000"/>
    <n v="200000000"/>
    <n v="0"/>
    <n v="0"/>
    <x v="8"/>
    <x v="34"/>
    <n v="0.10663055896416029"/>
    <n v="2520000000"/>
    <n v="9.8167816189226931E-2"/>
    <n v="2320000000"/>
  </r>
  <r>
    <s v="HAL"/>
    <n v="4"/>
    <x v="4"/>
    <d v="2016-12-31T00:00:00"/>
    <n v="15887000000"/>
    <n v="15023000000"/>
    <n v="228000000"/>
    <n v="0"/>
    <n v="0"/>
    <x v="8"/>
    <x v="34"/>
    <n v="5.4384087618807864E-2"/>
    <n v="864000000"/>
    <n v="4.0032731163844655E-2"/>
    <n v="636000000"/>
  </r>
  <r>
    <s v="HAR"/>
    <n v="1"/>
    <x v="1"/>
    <d v="2013-06-30T00:00:00"/>
    <n v="4297842000"/>
    <n v="3193722000"/>
    <n v="902869000"/>
    <n v="0"/>
    <n v="0"/>
    <x v="1"/>
    <x v="74"/>
    <n v="0.25690102148938931"/>
    <n v="1104120000"/>
    <n v="4.682605828692632E-2"/>
    <n v="201251000"/>
  </r>
  <r>
    <s v="HAR"/>
    <n v="2"/>
    <x v="2"/>
    <d v="2014-06-30T00:00:00"/>
    <n v="5348483000"/>
    <n v="3891816000"/>
    <n v="1126940000"/>
    <n v="0"/>
    <n v="0"/>
    <x v="1"/>
    <x v="74"/>
    <n v="0.27235143123760508"/>
    <n v="1456667000"/>
    <n v="6.1648695527311205E-2"/>
    <n v="329727000"/>
  </r>
  <r>
    <s v="HAR"/>
    <n v="3"/>
    <x v="3"/>
    <d v="2015-06-30T00:00:00"/>
    <n v="6155297000"/>
    <n v="4338193000"/>
    <n v="1347510000"/>
    <n v="0"/>
    <n v="0"/>
    <x v="1"/>
    <x v="74"/>
    <n v="0.29520980059938617"/>
    <n v="1817104000"/>
    <n v="7.6291038434051189E-2"/>
    <n v="469594000"/>
  </r>
  <r>
    <s v="HAR"/>
    <n v="4"/>
    <x v="4"/>
    <d v="2016-06-30T00:00:00"/>
    <n v="6911676000"/>
    <n v="4818585000"/>
    <n v="1513064000"/>
    <n v="0"/>
    <n v="0"/>
    <x v="1"/>
    <x v="74"/>
    <n v="0.3028340738194325"/>
    <n v="2093091000"/>
    <n v="8.3919877031272877E-2"/>
    <n v="580027000"/>
  </r>
  <r>
    <s v="HAS"/>
    <n v="1"/>
    <x v="0"/>
    <d v="2012-12-31T00:00:00"/>
    <n v="4088983000"/>
    <n v="1671980000"/>
    <n v="1269586000"/>
    <n v="201197000"/>
    <n v="92369000"/>
    <x v="1"/>
    <x v="77"/>
    <n v="0.59110125916395351"/>
    <n v="2417003000"/>
    <n v="0.20881744922881801"/>
    <n v="853851000"/>
  </r>
  <r>
    <s v="HAS"/>
    <n v="2"/>
    <x v="1"/>
    <d v="2013-12-29T00:00:00"/>
    <n v="4082157000"/>
    <n v="1672901000"/>
    <n v="1269777000"/>
    <n v="207591000"/>
    <n v="125876000"/>
    <x v="1"/>
    <x v="77"/>
    <n v="0.59019190099743835"/>
    <n v="2409256000"/>
    <n v="0.19744757489729081"/>
    <n v="806012000"/>
  </r>
  <r>
    <s v="HAS"/>
    <n v="3"/>
    <x v="2"/>
    <d v="2014-12-28T00:00:00"/>
    <n v="4277207000"/>
    <n v="1698372000"/>
    <n v="1315793000"/>
    <n v="222556000"/>
    <n v="99794000"/>
    <x v="1"/>
    <x v="77"/>
    <n v="0.60292499287502332"/>
    <n v="2578835000"/>
    <n v="0.21993137110268454"/>
    <n v="940692000"/>
  </r>
  <r>
    <s v="HAS"/>
    <n v="4"/>
    <x v="3"/>
    <d v="2015-12-27T00:00:00"/>
    <n v="4447509000"/>
    <n v="1677033000"/>
    <n v="1370183000"/>
    <n v="242944000"/>
    <n v="86171000"/>
    <x v="1"/>
    <x v="77"/>
    <n v="0.62292757586325287"/>
    <n v="2770476000"/>
    <n v="0.24084897860802529"/>
    <n v="1071178000"/>
  </r>
  <r>
    <s v="USB"/>
    <n v="1"/>
    <x v="1"/>
    <d v="2013-07-31T00:00:00"/>
    <n v="2436948000"/>
    <n v="1589821000"/>
    <n v="441168000"/>
    <n v="62630000"/>
    <n v="0"/>
    <x v="3"/>
    <x v="17"/>
    <n v="0.34761800415930089"/>
    <n v="847127000"/>
    <n v="0.14088482807183411"/>
    <n v="343329000"/>
  </r>
  <r>
    <s v="USB"/>
    <n v="2"/>
    <x v="2"/>
    <d v="2014-07-31T00:00:00"/>
    <n v="2473500000"/>
    <n v="1595700000"/>
    <n v="460300000"/>
    <n v="61800000"/>
    <n v="0"/>
    <x v="3"/>
    <x v="17"/>
    <n v="0.35488174651303817"/>
    <n v="877800000"/>
    <n v="0.14380432585405295"/>
    <n v="355700000"/>
  </r>
  <r>
    <s v="USB"/>
    <n v="3"/>
    <x v="3"/>
    <d v="2015-07-31T00:00:00"/>
    <n v="2371200000"/>
    <n v="1562600000"/>
    <n v="460100000"/>
    <n v="60200000"/>
    <n v="0"/>
    <x v="3"/>
    <x v="17"/>
    <n v="0.34100877192982459"/>
    <n v="808600000"/>
    <n v="0.12158400809716599"/>
    <n v="288300000"/>
  </r>
  <r>
    <s v="USB"/>
    <n v="4"/>
    <x v="4"/>
    <d v="2016-07-31T00:00:00"/>
    <n v="2220300000"/>
    <n v="1465500000"/>
    <n v="425100000"/>
    <n v="55500000"/>
    <n v="0"/>
    <x v="3"/>
    <x v="17"/>
    <n v="0.33995406026212671"/>
    <n v="754800000"/>
    <n v="0.1234968247534117"/>
    <n v="274200000"/>
  </r>
  <r>
    <s v="HBI"/>
    <n v="1"/>
    <x v="1"/>
    <d v="2013-12-28T00:00:00"/>
    <n v="4627802000"/>
    <n v="3016109000"/>
    <n v="1096507000"/>
    <n v="0"/>
    <n v="0"/>
    <x v="1"/>
    <x v="78"/>
    <n v="0.34826317115555072"/>
    <n v="1611693000"/>
    <n v="0.11132412320146799"/>
    <n v="515186000"/>
  </r>
  <r>
    <s v="HBI"/>
    <n v="2"/>
    <x v="3"/>
    <d v="2015-01-03T00:00:00"/>
    <n v="5324746000"/>
    <n v="3420339000"/>
    <n v="1340453000"/>
    <n v="0"/>
    <n v="0"/>
    <x v="1"/>
    <x v="78"/>
    <n v="0.35765217721183318"/>
    <n v="1904407000"/>
    <n v="0.10591190640830567"/>
    <n v="563954000"/>
  </r>
  <r>
    <s v="HBI"/>
    <n v="3"/>
    <x v="4"/>
    <d v="2016-01-02T00:00:00"/>
    <n v="5731549000"/>
    <n v="3595217000"/>
    <n v="1541214000"/>
    <n v="0"/>
    <n v="0"/>
    <x v="1"/>
    <x v="78"/>
    <n v="0.37273204852649777"/>
    <n v="2136332000"/>
    <n v="0.10383196584378848"/>
    <n v="595118000"/>
  </r>
  <r>
    <s v="HBI"/>
    <n v="4"/>
    <x v="4"/>
    <d v="2016-12-31T00:00:00"/>
    <n v="6028199000"/>
    <n v="3752151000"/>
    <n v="1500399000"/>
    <n v="0"/>
    <n v="0"/>
    <x v="1"/>
    <x v="78"/>
    <n v="0.3775668321500335"/>
    <n v="2276048000"/>
    <n v="0.12867010528351835"/>
    <n v="775649000"/>
  </r>
  <r>
    <s v="WFC"/>
    <n v="1"/>
    <x v="0"/>
    <d v="2012-12-31T00:00:00"/>
    <n v="91247000000"/>
    <n v="1727000000"/>
    <n v="48724000000"/>
    <n v="0"/>
    <n v="8891000000"/>
    <x v="3"/>
    <x v="17"/>
    <n v="0.98107335035672405"/>
    <n v="89520000000"/>
    <n v="0.3496553311341743"/>
    <n v="31905000000"/>
  </r>
  <r>
    <s v="WFC"/>
    <n v="2"/>
    <x v="1"/>
    <d v="2013-12-31T00:00:00"/>
    <n v="88069000000"/>
    <n v="1337000000"/>
    <n v="47338000000"/>
    <n v="0"/>
    <n v="3813000000"/>
    <x v="3"/>
    <x v="17"/>
    <n v="0.98481872168413398"/>
    <n v="86732000000"/>
    <n v="0.40401276272013992"/>
    <n v="35581000000"/>
  </r>
  <r>
    <s v="WFC"/>
    <n v="3"/>
    <x v="2"/>
    <d v="2014-12-31T00:00:00"/>
    <n v="88372000000"/>
    <n v="1096000000"/>
    <n v="47667000000"/>
    <n v="0"/>
    <n v="2765000000"/>
    <x v="3"/>
    <x v="17"/>
    <n v="0.9875978816819807"/>
    <n v="87276000000"/>
    <n v="0.41691938623093289"/>
    <n v="36844000000"/>
  </r>
  <r>
    <s v="WFC"/>
    <n v="4"/>
    <x v="3"/>
    <d v="2015-12-31T00:00:00"/>
    <n v="90033000000"/>
    <n v="963000000"/>
    <n v="48728000000"/>
    <n v="0"/>
    <n v="3688000000"/>
    <x v="3"/>
    <x v="17"/>
    <n v="0.98930392189530503"/>
    <n v="89070000000"/>
    <n v="0.40711739029022692"/>
    <n v="36654000000"/>
  </r>
  <r>
    <s v="HCN"/>
    <n v="1"/>
    <x v="0"/>
    <d v="2012-12-31T00:00:00"/>
    <n v="1765979000"/>
    <n v="567989000"/>
    <n v="158950000"/>
    <n v="0"/>
    <n v="506220000"/>
    <x v="6"/>
    <x v="13"/>
    <n v="0.67837160011529019"/>
    <n v="1197990000"/>
    <n v="0.30171366703681074"/>
    <n v="532820000"/>
  </r>
  <r>
    <s v="HCN"/>
    <n v="2"/>
    <x v="1"/>
    <d v="2013-12-31T00:00:00"/>
    <n v="2847945000"/>
    <n v="1206813000"/>
    <n v="241719000"/>
    <n v="0"/>
    <n v="865800000"/>
    <x v="6"/>
    <x v="13"/>
    <n v="0.57625129698782807"/>
    <n v="1641132000"/>
    <n v="0.18736773357631556"/>
    <n v="533613000"/>
  </r>
  <r>
    <s v="HCN"/>
    <n v="3"/>
    <x v="2"/>
    <d v="2014-12-31T00:00:00"/>
    <n v="3305879000"/>
    <n v="1403358000"/>
    <n v="212481000"/>
    <n v="0"/>
    <n v="844130000"/>
    <x v="6"/>
    <x v="13"/>
    <n v="0.57549625984496111"/>
    <n v="1902521000"/>
    <n v="0.25588050863325607"/>
    <n v="845910000"/>
  </r>
  <r>
    <s v="HCN"/>
    <n v="4"/>
    <x v="3"/>
    <d v="2015-12-31T00:00:00"/>
    <n v="3775685000"/>
    <n v="1622257000"/>
    <n v="258342000"/>
    <n v="0"/>
    <n v="826240000"/>
    <x v="6"/>
    <x v="13"/>
    <n v="0.57034101096887058"/>
    <n v="2153428000"/>
    <n v="0.28308664520477739"/>
    <n v="1068846000"/>
  </r>
  <r>
    <s v="HCP"/>
    <n v="1"/>
    <x v="1"/>
    <d v="2013-12-31T00:00:00"/>
    <n v="2013719000"/>
    <n v="0"/>
    <n v="401324000"/>
    <n v="0"/>
    <n v="423312000"/>
    <x v="6"/>
    <x v="13"/>
    <n v="1"/>
    <n v="2013719000"/>
    <n v="0.59049102680165411"/>
    <n v="1189083000"/>
  </r>
  <r>
    <s v="HCP"/>
    <n v="2"/>
    <x v="2"/>
    <d v="2014-12-31T00:00:00"/>
    <n v="1563210000"/>
    <n v="0"/>
    <n v="463059000"/>
    <n v="0"/>
    <n v="455016000"/>
    <x v="6"/>
    <x v="13"/>
    <n v="1"/>
    <n v="1563210000"/>
    <n v="0.4126988696336385"/>
    <n v="645135000"/>
  </r>
  <r>
    <s v="HCP"/>
    <n v="3"/>
    <x v="3"/>
    <d v="2015-12-31T00:00:00"/>
    <n v="1828305000"/>
    <n v="0"/>
    <n v="706644000"/>
    <n v="0"/>
    <n v="504905000"/>
    <x v="6"/>
    <x v="13"/>
    <n v="1"/>
    <n v="1828305000"/>
    <n v="0.33733758864084495"/>
    <n v="616756000"/>
  </r>
  <r>
    <s v="HCP"/>
    <n v="4"/>
    <x v="4"/>
    <d v="2016-12-31T00:00:00"/>
    <n v="2040486000"/>
    <n v="0"/>
    <n v="842010000"/>
    <n v="0"/>
    <n v="568108000"/>
    <x v="6"/>
    <x v="13"/>
    <n v="1"/>
    <n v="2040486000"/>
    <n v="0.3089303234621556"/>
    <n v="630368000"/>
  </r>
  <r>
    <s v="HD"/>
    <n v="1"/>
    <x v="1"/>
    <d v="2013-02-03T00:00:00"/>
    <n v="74754000000"/>
    <n v="48912000000"/>
    <n v="16508000000"/>
    <n v="0"/>
    <n v="1568000000"/>
    <x v="1"/>
    <x v="79"/>
    <n v="0.34569387591299461"/>
    <n v="25842000000"/>
    <n v="0.10388741739572464"/>
    <n v="7766000000"/>
  </r>
  <r>
    <s v="HD"/>
    <n v="2"/>
    <x v="2"/>
    <d v="2014-02-02T00:00:00"/>
    <n v="78812000000"/>
    <n v="51897000000"/>
    <n v="16122000000"/>
    <n v="0"/>
    <n v="1627000000"/>
    <x v="1"/>
    <x v="79"/>
    <n v="0.34150890727300409"/>
    <n v="26915000000"/>
    <n v="0.11630208597675482"/>
    <n v="9166000000"/>
  </r>
  <r>
    <s v="HD"/>
    <n v="3"/>
    <x v="3"/>
    <d v="2015-02-01T00:00:00"/>
    <n v="83176000000"/>
    <n v="54787000000"/>
    <n v="16280000000"/>
    <n v="0"/>
    <n v="1640000000"/>
    <x v="1"/>
    <x v="79"/>
    <n v="0.34131239780705969"/>
    <n v="28389000000"/>
    <n v="0.12586563431759162"/>
    <n v="10469000000"/>
  </r>
  <r>
    <s v="HD"/>
    <n v="4"/>
    <x v="4"/>
    <d v="2016-01-31T00:00:00"/>
    <n v="88519000000"/>
    <n v="58254000000"/>
    <n v="16801000000"/>
    <n v="0"/>
    <n v="1690000000"/>
    <x v="1"/>
    <x v="79"/>
    <n v="0.34190399801172633"/>
    <n v="30265000000"/>
    <n v="0.13301099199042013"/>
    <n v="11774000000"/>
  </r>
  <r>
    <s v="HES"/>
    <n v="1"/>
    <x v="0"/>
    <d v="2012-12-31T00:00:00"/>
    <n v="12245000000"/>
    <n v="3535000000"/>
    <n v="1126000000"/>
    <n v="0"/>
    <n v="2866000000"/>
    <x v="8"/>
    <x v="46"/>
    <n v="0.71131073907717435"/>
    <n v="8710000000"/>
    <n v="0.38530012249897916"/>
    <n v="4718000000"/>
  </r>
  <r>
    <s v="HES"/>
    <n v="2"/>
    <x v="1"/>
    <d v="2013-12-31T00:00:00"/>
    <n v="11905000000"/>
    <n v="3969000000"/>
    <n v="1045000000"/>
    <n v="0"/>
    <n v="2687000000"/>
    <x v="8"/>
    <x v="46"/>
    <n v="0.66661066778664424"/>
    <n v="7936000000"/>
    <n v="0.35312893742125157"/>
    <n v="4204000000"/>
  </r>
  <r>
    <s v="HES"/>
    <n v="3"/>
    <x v="2"/>
    <d v="2014-12-31T00:00:00"/>
    <n v="10737000000"/>
    <n v="3753000000"/>
    <n v="863000000"/>
    <n v="0"/>
    <n v="3224000000"/>
    <x v="8"/>
    <x v="46"/>
    <n v="0.6504610226320201"/>
    <n v="6984000000"/>
    <n v="0.26981465958833939"/>
    <n v="2897000000"/>
  </r>
  <r>
    <s v="HES"/>
    <n v="4"/>
    <x v="3"/>
    <d v="2015-12-31T00:00:00"/>
    <n v="6636000000"/>
    <n v="3323000000"/>
    <n v="703000000"/>
    <n v="0"/>
    <n v="3955000000"/>
    <x v="8"/>
    <x v="46"/>
    <n v="0.49924653405666064"/>
    <n v="3313000000"/>
    <n v="-0.20268233875828812"/>
    <n v="-1345000000"/>
  </r>
  <r>
    <s v="XL"/>
    <n v="1"/>
    <x v="0"/>
    <d v="2012-12-31T00:00:00"/>
    <n v="7232397000"/>
    <n v="5165169000"/>
    <n v="0"/>
    <n v="0"/>
    <n v="1173955000"/>
    <x v="3"/>
    <x v="4"/>
    <n v="0.28582888909444548"/>
    <n v="2067228000"/>
    <n v="0.12350995112685324"/>
    <n v="893273000"/>
  </r>
  <r>
    <s v="XL"/>
    <n v="2"/>
    <x v="1"/>
    <d v="2013-12-31T00:00:00"/>
    <n v="7541234000"/>
    <n v="5106489000"/>
    <n v="0"/>
    <n v="0"/>
    <n v="1213178000"/>
    <x v="3"/>
    <x v="4"/>
    <n v="0.32285763841832782"/>
    <n v="2434745000"/>
    <n v="0.16198502791452965"/>
    <n v="1221567000"/>
  </r>
  <r>
    <s v="XL"/>
    <n v="3"/>
    <x v="2"/>
    <d v="2014-12-31T00:00:00"/>
    <n v="6602267000"/>
    <n v="4239474000"/>
    <n v="0"/>
    <n v="0"/>
    <n v="1341315000"/>
    <x v="3"/>
    <x v="4"/>
    <n v="0.35787601440535499"/>
    <n v="2362793000"/>
    <n v="0.15471625125127475"/>
    <n v="1021478000"/>
  </r>
  <r>
    <s v="XL"/>
    <n v="4"/>
    <x v="3"/>
    <d v="2015-12-31T00:00:00"/>
    <n v="9308926000"/>
    <n v="6199645000"/>
    <n v="0"/>
    <n v="0"/>
    <n v="1966939000"/>
    <x v="3"/>
    <x v="4"/>
    <n v="0.33401071186944664"/>
    <n v="3109281000"/>
    <n v="0.12271469340286946"/>
    <n v="1142342000"/>
  </r>
  <r>
    <s v="HOG"/>
    <n v="1"/>
    <x v="0"/>
    <d v="2012-12-31T00:00:00"/>
    <n v="5580506000"/>
    <n v="3440623000"/>
    <n v="1111232000"/>
    <n v="0"/>
    <n v="0"/>
    <x v="1"/>
    <x v="80"/>
    <n v="0.38345680481304023"/>
    <n v="2139883000"/>
    <n v="0.18432934217793154"/>
    <n v="1028651000"/>
  </r>
  <r>
    <s v="HOG"/>
    <n v="2"/>
    <x v="1"/>
    <d v="2013-12-31T00:00:00"/>
    <n v="5899872000"/>
    <n v="3621417000"/>
    <n v="1124753000"/>
    <n v="0"/>
    <n v="0"/>
    <x v="1"/>
    <x v="80"/>
    <n v="0.38618719185772166"/>
    <n v="2278455000"/>
    <n v="0.19554695423900723"/>
    <n v="1153702000"/>
  </r>
  <r>
    <s v="HOG"/>
    <n v="3"/>
    <x v="2"/>
    <d v="2014-12-31T00:00:00"/>
    <n v="6228508000"/>
    <n v="3788023000"/>
    <n v="1159502000"/>
    <n v="0"/>
    <n v="0"/>
    <x v="1"/>
    <x v="80"/>
    <n v="0.39182497638278702"/>
    <n v="2440485000"/>
    <n v="0.2056645026385131"/>
    <n v="1280983000"/>
  </r>
  <r>
    <s v="HOG"/>
    <n v="4"/>
    <x v="3"/>
    <d v="2015-12-31T00:00:00"/>
    <n v="5995402000"/>
    <n v="3619612000"/>
    <n v="1220095000"/>
    <n v="0"/>
    <n v="0"/>
    <x v="1"/>
    <x v="80"/>
    <n v="0.39626867389376064"/>
    <n v="2375790000"/>
    <n v="0.19276355447057594"/>
    <n v="1155695000"/>
  </r>
  <r>
    <s v="ZION"/>
    <n v="1"/>
    <x v="0"/>
    <d v="2012-12-31T00:00:00"/>
    <n v="2458592000"/>
    <n v="80146000"/>
    <n v="1579007000"/>
    <n v="0"/>
    <n v="31237000"/>
    <x v="3"/>
    <x v="21"/>
    <n v="0.96740166729575305"/>
    <n v="2378446000"/>
    <n v="0.31245607241868517"/>
    <n v="768202000"/>
  </r>
  <r>
    <s v="ZION"/>
    <n v="2"/>
    <x v="1"/>
    <d v="2013-12-31T00:00:00"/>
    <n v="2278812000"/>
    <n v="58913000"/>
    <n v="1700064000"/>
    <n v="0"/>
    <n v="-72761000"/>
    <x v="3"/>
    <x v="21"/>
    <n v="0.97414749439620296"/>
    <n v="2219899000"/>
    <n v="0.26004602398091636"/>
    <n v="592596000"/>
  </r>
  <r>
    <s v="ZION"/>
    <n v="3"/>
    <x v="2"/>
    <d v="2014-12-31T00:00:00"/>
    <n v="2361631000"/>
    <n v="49736000"/>
    <n v="1654369000"/>
    <n v="0"/>
    <n v="-87159000"/>
    <x v="3"/>
    <x v="21"/>
    <n v="0.97893997834547397"/>
    <n v="2311895000"/>
    <n v="0.31532656879927473"/>
    <n v="744685000"/>
  </r>
  <r>
    <s v="ZION"/>
    <n v="4"/>
    <x v="3"/>
    <d v="2015-12-31T00:00:00"/>
    <n v="2210591000"/>
    <n v="49344000"/>
    <n v="1591239000"/>
    <n v="0"/>
    <n v="49282000"/>
    <x v="3"/>
    <x v="21"/>
    <n v="0.97767836745919978"/>
    <n v="2161247000"/>
    <n v="0.23555963088603907"/>
    <n v="520726000"/>
  </r>
  <r>
    <s v="HON"/>
    <n v="1"/>
    <x v="1"/>
    <d v="2013-12-31T00:00:00"/>
    <n v="39055000000"/>
    <n v="28364000000"/>
    <n v="5190000000"/>
    <n v="0"/>
    <n v="0"/>
    <x v="0"/>
    <x v="52"/>
    <n v="0.27374215849443095"/>
    <n v="10691000000"/>
    <n v="0.14085264370759185"/>
    <n v="5501000000"/>
  </r>
  <r>
    <s v="HON"/>
    <n v="2"/>
    <x v="2"/>
    <d v="2014-12-31T00:00:00"/>
    <n v="40306000000"/>
    <n v="28957000000"/>
    <n v="5518000000"/>
    <n v="0"/>
    <n v="0"/>
    <x v="0"/>
    <x v="52"/>
    <n v="0.2815709819877934"/>
    <n v="11349000000"/>
    <n v="0.14466828759986106"/>
    <n v="5831000000"/>
  </r>
  <r>
    <s v="HON"/>
    <n v="3"/>
    <x v="3"/>
    <d v="2015-12-31T00:00:00"/>
    <n v="38581000000"/>
    <n v="26747000000"/>
    <n v="5006000000"/>
    <n v="0"/>
    <n v="0"/>
    <x v="0"/>
    <x v="52"/>
    <n v="0.30673129260516829"/>
    <n v="11834000000"/>
    <n v="0.17697830538347892"/>
    <n v="6828000000"/>
  </r>
  <r>
    <s v="HON"/>
    <n v="4"/>
    <x v="4"/>
    <d v="2016-12-31T00:00:00"/>
    <n v="39302000000"/>
    <n v="27150000000"/>
    <n v="5469000000"/>
    <n v="0"/>
    <n v="0"/>
    <x v="0"/>
    <x v="52"/>
    <n v="0.3091954607907994"/>
    <n v="12152000000"/>
    <n v="0.17004223703628313"/>
    <n v="6683000000"/>
  </r>
  <r>
    <s v="HP"/>
    <n v="1"/>
    <x v="1"/>
    <d v="2013-09-30T00:00:00"/>
    <n v="3387614000"/>
    <n v="1852768000"/>
    <n v="126250000"/>
    <n v="15235000"/>
    <n v="455623000"/>
    <x v="8"/>
    <x v="81"/>
    <n v="0.45307582268818114"/>
    <n v="1534846000"/>
    <n v="0.27681371018067585"/>
    <n v="937738000"/>
  </r>
  <r>
    <s v="HP"/>
    <n v="2"/>
    <x v="2"/>
    <d v="2014-09-30T00:00:00"/>
    <n v="3715968000"/>
    <n v="2006715000"/>
    <n v="116190000"/>
    <n v="15905000"/>
    <n v="523984000"/>
    <x v="8"/>
    <x v="81"/>
    <n v="0.45997516663222071"/>
    <n v="1709253000"/>
    <n v="0.28341847938410664"/>
    <n v="1053174000"/>
  </r>
  <r>
    <s v="HP"/>
    <n v="3"/>
    <x v="3"/>
    <d v="2015-09-30T00:00:00"/>
    <n v="3161702000"/>
    <n v="1703476000"/>
    <n v="122878000"/>
    <n v="16104000"/>
    <n v="608039000"/>
    <x v="8"/>
    <x v="81"/>
    <n v="0.46121550987411208"/>
    <n v="1458226000"/>
    <n v="0.22494371702329949"/>
    <n v="711205000"/>
  </r>
  <r>
    <s v="HP"/>
    <n v="4"/>
    <x v="4"/>
    <d v="2016-09-30T00:00:00"/>
    <n v="1624232000"/>
    <n v="898805000"/>
    <n v="136287000"/>
    <n v="10269000"/>
    <n v="598587000"/>
    <x v="8"/>
    <x v="81"/>
    <n v="0.44662769850612472"/>
    <n v="725427000"/>
    <n v="-1.2138659994385039E-2"/>
    <n v="-19716000"/>
  </r>
  <r>
    <s v="HPE"/>
    <n v="1"/>
    <x v="2"/>
    <d v="2014-10-31T00:00:00"/>
    <n v="55123000000"/>
    <n v="39486000000"/>
    <n v="8717000000"/>
    <n v="2197000000"/>
    <n v="906000000"/>
    <x v="2"/>
    <x v="82"/>
    <n v="0.28367469114525701"/>
    <n v="15637000000"/>
    <n v="6.9245142680913599E-2"/>
    <n v="3817000000"/>
  </r>
  <r>
    <s v="HPE"/>
    <n v="2"/>
    <x v="3"/>
    <d v="2015-10-31T00:00:00"/>
    <n v="52107000000"/>
    <n v="37168000000"/>
    <n v="9047000000"/>
    <n v="2338000000"/>
    <n v="852000000"/>
    <x v="2"/>
    <x v="82"/>
    <n v="0.28669852419060782"/>
    <n v="14939000000"/>
    <n v="5.1854837161993593E-2"/>
    <n v="2702000000"/>
  </r>
  <r>
    <s v="HPE"/>
    <n v="3"/>
    <x v="4"/>
    <d v="2016-10-31T00:00:00"/>
    <n v="50123000000"/>
    <n v="35507000000"/>
    <n v="8419000000"/>
    <n v="2298000000"/>
    <n v="755000000"/>
    <x v="2"/>
    <x v="82"/>
    <n v="0.29160265746264191"/>
    <n v="14616000000"/>
    <n v="6.2725694790814593E-2"/>
    <n v="3144000000"/>
  </r>
  <r>
    <s v="HPQ"/>
    <n v="1"/>
    <x v="1"/>
    <d v="2013-10-31T00:00:00"/>
    <n v="112298000000"/>
    <n v="86380000000"/>
    <n v="13267000000"/>
    <n v="3135000000"/>
    <n v="1373000000"/>
    <x v="2"/>
    <x v="2"/>
    <n v="0.2307966303941299"/>
    <n v="25918000000"/>
    <n v="7.2512422304938651E-2"/>
    <n v="8143000000"/>
  </r>
  <r>
    <s v="HPQ"/>
    <n v="2"/>
    <x v="2"/>
    <d v="2014-10-31T00:00:00"/>
    <n v="56651000000"/>
    <n v="45431000000"/>
    <n v="5361000000"/>
    <n v="1298000000"/>
    <n v="129000000"/>
    <x v="2"/>
    <x v="2"/>
    <n v="0.19805475631498115"/>
    <n v="11220000000"/>
    <n v="7.8233393938324125E-2"/>
    <n v="4432000000"/>
  </r>
  <r>
    <s v="HPQ"/>
    <n v="3"/>
    <x v="3"/>
    <d v="2015-10-31T00:00:00"/>
    <n v="51463000000"/>
    <n v="41524000000"/>
    <n v="4663000000"/>
    <n v="1191000000"/>
    <n v="102000000"/>
    <x v="2"/>
    <x v="2"/>
    <n v="0.19312904416765442"/>
    <n v="9939000000"/>
    <n v="7.7395410294774883E-2"/>
    <n v="3983000000"/>
  </r>
  <r>
    <s v="HPQ"/>
    <n v="4"/>
    <x v="4"/>
    <d v="2016-10-31T00:00:00"/>
    <n v="48238000000"/>
    <n v="39240000000"/>
    <n v="4019000000"/>
    <n v="1209000000"/>
    <n v="16000000"/>
    <x v="2"/>
    <x v="2"/>
    <n v="0.18653343836809155"/>
    <n v="8998000000"/>
    <n v="7.7822463617894605E-2"/>
    <n v="3754000000"/>
  </r>
  <r>
    <s v="ABBV"/>
    <n v="1"/>
    <x v="0"/>
    <d v="2012-12-31T00:00:00"/>
    <n v="18380000000"/>
    <n v="4508000000"/>
    <n v="4989000000"/>
    <n v="2778000000"/>
    <n v="0"/>
    <x v="10"/>
    <x v="83"/>
    <n v="0.75473340587595206"/>
    <n v="13872000000"/>
    <n v="0.33215451577801958"/>
    <n v="6105000000"/>
  </r>
  <r>
    <s v="ABBV"/>
    <n v="2"/>
    <x v="1"/>
    <d v="2013-12-31T00:00:00"/>
    <n v="18790000000"/>
    <n v="4581000000"/>
    <n v="5352000000"/>
    <n v="2855000000"/>
    <n v="0"/>
    <x v="10"/>
    <x v="83"/>
    <n v="0.75620010643959557"/>
    <n v="14209000000"/>
    <n v="0.31942522618414049"/>
    <n v="6002000000"/>
  </r>
  <r>
    <s v="ABBV"/>
    <n v="3"/>
    <x v="2"/>
    <d v="2014-12-31T00:00:00"/>
    <n v="19960000000"/>
    <n v="4426000000"/>
    <n v="8474000000"/>
    <n v="3297000000"/>
    <n v="0"/>
    <x v="10"/>
    <x v="83"/>
    <n v="0.77825651302605214"/>
    <n v="15534000000"/>
    <n v="0.18852705410821644"/>
    <n v="3763000000"/>
  </r>
  <r>
    <s v="ABBV"/>
    <n v="4"/>
    <x v="3"/>
    <d v="2015-12-31T00:00:00"/>
    <n v="22859000000"/>
    <n v="4500000000"/>
    <n v="6387000000"/>
    <n v="4285000000"/>
    <n v="0"/>
    <x v="10"/>
    <x v="83"/>
    <n v="0.803140994794173"/>
    <n v="18359000000"/>
    <n v="0.33627892733715387"/>
    <n v="7687000000"/>
  </r>
  <r>
    <s v="HRL"/>
    <n v="1"/>
    <x v="1"/>
    <d v="2013-10-27T00:00:00"/>
    <n v="8751654000"/>
    <n v="7338838000"/>
    <n v="627340000"/>
    <n v="0"/>
    <n v="0"/>
    <x v="4"/>
    <x v="37"/>
    <n v="0.16143417004374261"/>
    <n v="1412816000"/>
    <n v="8.9751720074856711E-2"/>
    <n v="785476000"/>
  </r>
  <r>
    <s v="HRL"/>
    <n v="2"/>
    <x v="2"/>
    <d v="2014-10-26T00:00:00"/>
    <n v="9316256000"/>
    <n v="7751273000"/>
    <n v="650948000"/>
    <n v="0"/>
    <n v="0"/>
    <x v="4"/>
    <x v="37"/>
    <n v="0.1679841129312033"/>
    <n v="1564983000"/>
    <n v="9.8111838060267992E-2"/>
    <n v="914035000"/>
  </r>
  <r>
    <s v="HRL"/>
    <n v="3"/>
    <x v="3"/>
    <d v="2015-10-31T00:00:00"/>
    <n v="9263863000"/>
    <n v="7455282000"/>
    <n v="743611000"/>
    <n v="0"/>
    <n v="0"/>
    <x v="4"/>
    <x v="37"/>
    <n v="0.19522967902267119"/>
    <n v="1808581000"/>
    <n v="0.11495960162623303"/>
    <n v="1064970000"/>
  </r>
  <r>
    <s v="HRL"/>
    <n v="4"/>
    <x v="4"/>
    <d v="2016-10-30T00:00:00"/>
    <n v="9523224000"/>
    <n v="7365049000"/>
    <n v="871974000"/>
    <n v="0"/>
    <n v="0"/>
    <x v="4"/>
    <x v="37"/>
    <n v="0.22662230773947978"/>
    <n v="2158175000"/>
    <n v="0.13505940845243167"/>
    <n v="1286201000"/>
  </r>
  <r>
    <s v="HRS"/>
    <n v="1"/>
    <x v="1"/>
    <d v="2013-06-28T00:00:00"/>
    <n v="5112000000"/>
    <n v="3385000000"/>
    <n v="914000000"/>
    <n v="0"/>
    <n v="0"/>
    <x v="2"/>
    <x v="84"/>
    <n v="0.33783255086071984"/>
    <n v="1727000000"/>
    <n v="0.159037558685446"/>
    <n v="813000000"/>
  </r>
  <r>
    <s v="HRS"/>
    <n v="2"/>
    <x v="2"/>
    <d v="2014-06-27T00:00:00"/>
    <n v="5012000000"/>
    <n v="3310000000"/>
    <n v="820000000"/>
    <n v="0"/>
    <n v="0"/>
    <x v="2"/>
    <x v="84"/>
    <n v="0.33958499600957703"/>
    <n v="1702000000"/>
    <n v="0.17597765363128492"/>
    <n v="882000000"/>
  </r>
  <r>
    <s v="HRS"/>
    <n v="3"/>
    <x v="3"/>
    <d v="2015-07-03T00:00:00"/>
    <n v="5083000000"/>
    <n v="3348000000"/>
    <n v="976000000"/>
    <n v="0"/>
    <n v="0"/>
    <x v="2"/>
    <x v="84"/>
    <n v="0.34133385795789883"/>
    <n v="1735000000"/>
    <n v="0.14932126696832579"/>
    <n v="759000000"/>
  </r>
  <r>
    <s v="HRS"/>
    <n v="4"/>
    <x v="4"/>
    <d v="2016-07-01T00:00:00"/>
    <n v="7467000000"/>
    <n v="5132000000"/>
    <n v="1186000000"/>
    <n v="0"/>
    <n v="0"/>
    <x v="2"/>
    <x v="84"/>
    <n v="0.31270925405115846"/>
    <n v="2335000000"/>
    <n v="0.1538770590598634"/>
    <n v="1149000000"/>
  </r>
  <r>
    <s v="ABC"/>
    <n v="1"/>
    <x v="1"/>
    <d v="2013-09-30T00:00:00"/>
    <n v="87959167000"/>
    <n v="85451348000"/>
    <n v="1447234000"/>
    <n v="0"/>
    <n v="162186000"/>
    <x v="10"/>
    <x v="85"/>
    <n v="2.8511172689936859E-2"/>
    <n v="2507819000"/>
    <n v="1.0213818873477963E-2"/>
    <n v="898399000"/>
  </r>
  <r>
    <s v="ABC"/>
    <n v="2"/>
    <x v="2"/>
    <d v="2014-09-30T00:00:00"/>
    <n v="119569127000"/>
    <n v="116586761000"/>
    <n v="2011595000"/>
    <n v="0"/>
    <n v="188680000"/>
    <x v="10"/>
    <x v="85"/>
    <n v="2.4942609140234051E-2"/>
    <n v="2982366000"/>
    <n v="6.5409108490020167E-3"/>
    <n v="782091000"/>
  </r>
  <r>
    <s v="ABC"/>
    <n v="3"/>
    <x v="3"/>
    <d v="2015-09-30T00:00:00"/>
    <n v="135961803000"/>
    <n v="132432490000"/>
    <n v="2858458000"/>
    <n v="0"/>
    <n v="248635000"/>
    <x v="10"/>
    <x v="85"/>
    <n v="2.5958121487988817E-2"/>
    <n v="3529313000"/>
    <n v="3.1054310157978709E-3"/>
    <n v="422220000"/>
  </r>
  <r>
    <s v="ABC"/>
    <n v="4"/>
    <x v="4"/>
    <d v="2016-09-30T00:00:00"/>
    <n v="146849686000"/>
    <n v="142577080000"/>
    <n v="2382097000"/>
    <n v="0"/>
    <n v="364735000"/>
    <x v="10"/>
    <x v="85"/>
    <n v="2.9095097962960614E-2"/>
    <n v="4272606000"/>
    <n v="1.0390039240533343E-2"/>
    <n v="1525774000"/>
  </r>
  <r>
    <s v="HST"/>
    <n v="1"/>
    <x v="0"/>
    <d v="2012-12-31T00:00:00"/>
    <n v="5059000000"/>
    <n v="1885000000"/>
    <n v="2101000000"/>
    <n v="0"/>
    <n v="722000000"/>
    <x v="6"/>
    <x v="13"/>
    <n v="0.62739671871911451"/>
    <n v="3174000000"/>
    <n v="6.938130065230283E-2"/>
    <n v="351000000"/>
  </r>
  <r>
    <s v="HST"/>
    <n v="2"/>
    <x v="1"/>
    <d v="2013-12-31T00:00:00"/>
    <n v="5166000000"/>
    <n v="1989000000"/>
    <n v="1968000000"/>
    <n v="0"/>
    <n v="697000000"/>
    <x v="6"/>
    <x v="13"/>
    <n v="0.61498257839721249"/>
    <n v="3177000000"/>
    <n v="9.910956252419667E-2"/>
    <n v="512000000"/>
  </r>
  <r>
    <s v="HST"/>
    <n v="3"/>
    <x v="2"/>
    <d v="2014-12-31T00:00:00"/>
    <n v="5354000000"/>
    <n v="2033000000"/>
    <n v="1920000000"/>
    <n v="0"/>
    <n v="701000000"/>
    <x v="6"/>
    <x v="13"/>
    <n v="0.62028389988793431"/>
    <n v="3321000000"/>
    <n v="0.13074336944340681"/>
    <n v="700000000"/>
  </r>
  <r>
    <s v="HST"/>
    <n v="4"/>
    <x v="3"/>
    <d v="2015-12-31T00:00:00"/>
    <n v="5387000000"/>
    <n v="2012000000"/>
    <n v="2011000000"/>
    <n v="0"/>
    <n v="716000000"/>
    <x v="6"/>
    <x v="13"/>
    <n v="0.62650826062743636"/>
    <n v="3375000000"/>
    <n v="0.1202895860404678"/>
    <n v="648000000"/>
  </r>
  <r>
    <s v="HSY"/>
    <n v="1"/>
    <x v="0"/>
    <d v="2012-12-31T00:00:00"/>
    <n v="6644252000"/>
    <n v="3784370000"/>
    <n v="1703796000"/>
    <n v="0"/>
    <n v="0"/>
    <x v="4"/>
    <x v="37"/>
    <n v="0.43042949003138353"/>
    <n v="2859882000"/>
    <n v="0.17399791579247748"/>
    <n v="1156086000"/>
  </r>
  <r>
    <s v="HSY"/>
    <n v="2"/>
    <x v="1"/>
    <d v="2013-12-31T00:00:00"/>
    <n v="7146079000"/>
    <n v="3865231000"/>
    <n v="1924132000"/>
    <n v="0"/>
    <n v="0"/>
    <x v="4"/>
    <x v="37"/>
    <n v="0.45911163310677083"/>
    <n v="3280848000"/>
    <n v="0.18985460418223757"/>
    <n v="1356716000"/>
  </r>
  <r>
    <s v="HSY"/>
    <n v="3"/>
    <x v="2"/>
    <d v="2014-12-31T00:00:00"/>
    <n v="7421768000"/>
    <n v="4085602000"/>
    <n v="1898284000"/>
    <n v="0"/>
    <n v="0"/>
    <x v="4"/>
    <x v="37"/>
    <n v="0.44951095210736847"/>
    <n v="3336166000"/>
    <n v="0.19373847309697637"/>
    <n v="1437882000"/>
  </r>
  <r>
    <s v="HSY"/>
    <n v="4"/>
    <x v="3"/>
    <d v="2015-12-31T00:00:00"/>
    <n v="7386626000"/>
    <n v="4003951000"/>
    <n v="1969308000"/>
    <n v="0"/>
    <n v="0"/>
    <x v="4"/>
    <x v="37"/>
    <n v="0.45794588760822597"/>
    <n v="3382675000"/>
    <n v="0.19134135124751139"/>
    <n v="1413367000"/>
  </r>
  <r>
    <s v="ABT"/>
    <n v="1"/>
    <x v="0"/>
    <d v="2012-12-31T00:00:00"/>
    <n v="19050000000"/>
    <n v="8899000000"/>
    <n v="6735000000"/>
    <n v="1461000000"/>
    <n v="595000000"/>
    <x v="10"/>
    <x v="86"/>
    <n v="0.53286089238845147"/>
    <n v="10151000000"/>
    <n v="7.1391076115485563E-2"/>
    <n v="1360000000"/>
  </r>
  <r>
    <s v="ABT"/>
    <n v="2"/>
    <x v="1"/>
    <d v="2013-12-31T00:00:00"/>
    <n v="19657000000"/>
    <n v="9193000000"/>
    <n v="6372000000"/>
    <n v="1371000000"/>
    <n v="588000000"/>
    <x v="10"/>
    <x v="86"/>
    <n v="0.53232945006867782"/>
    <n v="10464000000"/>
    <n v="0.10851096301571959"/>
    <n v="2133000000"/>
  </r>
  <r>
    <s v="ABT"/>
    <n v="3"/>
    <x v="2"/>
    <d v="2014-12-31T00:00:00"/>
    <n v="20247000000"/>
    <n v="9218000000"/>
    <n v="6530000000"/>
    <n v="1345000000"/>
    <n v="555000000"/>
    <x v="10"/>
    <x v="86"/>
    <n v="0.54472267496419224"/>
    <n v="11029000000"/>
    <n v="0.12836469600434633"/>
    <n v="2599000000"/>
  </r>
  <r>
    <s v="ABT"/>
    <n v="4"/>
    <x v="3"/>
    <d v="2015-12-31T00:00:00"/>
    <n v="20405000000"/>
    <n v="8747000000"/>
    <n v="6785000000"/>
    <n v="1405000000"/>
    <n v="601000000"/>
    <x v="10"/>
    <x v="86"/>
    <n v="0.57133055623621654"/>
    <n v="11658000000"/>
    <n v="0.14050477824062729"/>
    <n v="2867000000"/>
  </r>
  <r>
    <s v="IBM"/>
    <n v="1"/>
    <x v="0"/>
    <d v="2012-12-31T00:00:00"/>
    <n v="102874000000"/>
    <n v="52513000000"/>
    <n v="22389000000"/>
    <n v="5816000000"/>
    <n v="0"/>
    <x v="2"/>
    <x v="56"/>
    <n v="0.48954060306783054"/>
    <n v="50361000000"/>
    <n v="0.21537025876314714"/>
    <n v="22156000000"/>
  </r>
  <r>
    <s v="IBM"/>
    <n v="2"/>
    <x v="1"/>
    <d v="2013-12-31T00:00:00"/>
    <n v="98367000000"/>
    <n v="49683000000"/>
    <n v="22629000000"/>
    <n v="5743000000"/>
    <n v="0"/>
    <x v="2"/>
    <x v="56"/>
    <n v="0.49492207752599959"/>
    <n v="48684000000"/>
    <n v="0.20649201459839173"/>
    <n v="20312000000"/>
  </r>
  <r>
    <s v="IBM"/>
    <n v="3"/>
    <x v="2"/>
    <d v="2014-12-31T00:00:00"/>
    <n v="92793000000"/>
    <n v="46386000000"/>
    <n v="22438000000"/>
    <n v="5437000000"/>
    <n v="0"/>
    <x v="2"/>
    <x v="56"/>
    <n v="0.50011315508712939"/>
    <n v="46407000000"/>
    <n v="0.1997133404459388"/>
    <n v="18532000000"/>
  </r>
  <r>
    <s v="IBM"/>
    <n v="4"/>
    <x v="3"/>
    <d v="2015-12-31T00:00:00"/>
    <n v="81741000000"/>
    <n v="41057000000"/>
    <n v="19748000000"/>
    <n v="5247000000"/>
    <n v="0"/>
    <x v="2"/>
    <x v="56"/>
    <n v="0.4977184032492874"/>
    <n v="40684000000"/>
    <n v="0.19193550360284312"/>
    <n v="15689000000"/>
  </r>
  <r>
    <s v="ALXN"/>
    <n v="1"/>
    <x v="1"/>
    <d v="2013-12-31T00:00:00"/>
    <n v="1551346000"/>
    <n v="177556000"/>
    <n v="493726000"/>
    <n v="317093000"/>
    <n v="417000"/>
    <x v="10"/>
    <x v="87"/>
    <n v="0.88554713132982588"/>
    <n v="1373790000"/>
    <n v="0.36262316723670929"/>
    <n v="562554000"/>
  </r>
  <r>
    <s v="ALXN"/>
    <n v="2"/>
    <x v="2"/>
    <d v="2014-12-31T00:00:00"/>
    <n v="2234000000"/>
    <n v="174000000"/>
    <n v="650000000"/>
    <n v="514000000"/>
    <n v="0"/>
    <x v="10"/>
    <x v="87"/>
    <n v="0.92211280214861235"/>
    <n v="2060000000"/>
    <n v="0.40107430617726053"/>
    <n v="896000000"/>
  </r>
  <r>
    <s v="ALXN"/>
    <n v="3"/>
    <x v="3"/>
    <d v="2015-12-31T00:00:00"/>
    <n v="2604000000"/>
    <n v="233000000"/>
    <n v="927000000"/>
    <n v="709000000"/>
    <n v="117000000"/>
    <x v="10"/>
    <x v="87"/>
    <n v="0.91052227342549918"/>
    <n v="2371000000"/>
    <n v="0.23732718894009217"/>
    <n v="618000000"/>
  </r>
  <r>
    <s v="ALXN"/>
    <n v="4"/>
    <x v="4"/>
    <d v="2016-12-31T00:00:00"/>
    <n v="3084000000"/>
    <n v="258000000"/>
    <n v="990000000"/>
    <n v="757000000"/>
    <n v="322000000"/>
    <x v="10"/>
    <x v="87"/>
    <n v="0.91634241245136183"/>
    <n v="2826000000"/>
    <n v="0.2454604409857328"/>
    <n v="757000000"/>
  </r>
  <r>
    <s v="IFF"/>
    <n v="1"/>
    <x v="0"/>
    <d v="2012-12-31T00:00:00"/>
    <n v="2821446000"/>
    <n v="1645912000"/>
    <n v="453535000"/>
    <n v="233713000"/>
    <n v="0"/>
    <x v="7"/>
    <x v="16"/>
    <n v="0.4166423883356265"/>
    <n v="1175534000"/>
    <n v="0.17306232336185062"/>
    <n v="488286000"/>
  </r>
  <r>
    <s v="IFF"/>
    <n v="2"/>
    <x v="1"/>
    <d v="2013-12-31T00:00:00"/>
    <n v="2952896000"/>
    <n v="1668691000"/>
    <n v="505877000"/>
    <n v="259838000"/>
    <n v="0"/>
    <x v="7"/>
    <x v="16"/>
    <n v="0.43489679284336458"/>
    <n v="1284205000"/>
    <n v="0.17558694921866533"/>
    <n v="518490000"/>
  </r>
  <r>
    <s v="IFF"/>
    <n v="3"/>
    <x v="2"/>
    <d v="2014-12-31T00:00:00"/>
    <n v="3088533000"/>
    <n v="1726383000"/>
    <n v="514891000"/>
    <n v="253640000"/>
    <n v="0"/>
    <x v="7"/>
    <x v="16"/>
    <n v="0.44103462711908858"/>
    <n v="1362150000"/>
    <n v="0.19220095754197866"/>
    <n v="593619000"/>
  </r>
  <r>
    <s v="IFF"/>
    <n v="4"/>
    <x v="3"/>
    <d v="2015-12-31T00:00:00"/>
    <n v="3023189000"/>
    <n v="1671590000"/>
    <n v="509557000"/>
    <n v="246101000"/>
    <n v="0"/>
    <x v="7"/>
    <x v="16"/>
    <n v="0.44707724194550857"/>
    <n v="1351599000"/>
    <n v="0.19712330257883315"/>
    <n v="595941000"/>
  </r>
  <r>
    <s v="AMGN"/>
    <n v="1"/>
    <x v="1"/>
    <d v="2013-12-31T00:00:00"/>
    <n v="18676000000"/>
    <n v="3346000000"/>
    <n v="5380000000"/>
    <n v="4083000000"/>
    <n v="0"/>
    <x v="10"/>
    <x v="87"/>
    <n v="0.82083958020989511"/>
    <n v="15330000000"/>
    <n v="0.3141464981794817"/>
    <n v="5867000000"/>
  </r>
  <r>
    <s v="AMGN"/>
    <n v="2"/>
    <x v="2"/>
    <d v="2014-12-31T00:00:00"/>
    <n v="20063000000"/>
    <n v="4422000000"/>
    <n v="5153000000"/>
    <n v="4297000000"/>
    <n v="0"/>
    <x v="10"/>
    <x v="87"/>
    <n v="0.77959427802422376"/>
    <n v="15641000000"/>
    <n v="0.30857797936500025"/>
    <n v="6191000000"/>
  </r>
  <r>
    <s v="AMGN"/>
    <n v="3"/>
    <x v="3"/>
    <d v="2015-12-31T00:00:00"/>
    <n v="21662000000"/>
    <n v="4227000000"/>
    <n v="4895000000"/>
    <n v="4070000000"/>
    <n v="0"/>
    <x v="10"/>
    <x v="87"/>
    <n v="0.80486566337364973"/>
    <n v="17435000000"/>
    <n v="0.39100729387868155"/>
    <n v="8470000000"/>
  </r>
  <r>
    <s v="AMGN"/>
    <n v="4"/>
    <x v="4"/>
    <d v="2016-12-31T00:00:00"/>
    <n v="22991000000"/>
    <n v="4162000000"/>
    <n v="5195000000"/>
    <n v="3840000000"/>
    <n v="0"/>
    <x v="10"/>
    <x v="87"/>
    <n v="0.81897264146840065"/>
    <n v="18829000000"/>
    <n v="0.4259927797833935"/>
    <n v="9794000000"/>
  </r>
  <r>
    <s v="INTC"/>
    <n v="1"/>
    <x v="1"/>
    <d v="2013-12-28T00:00:00"/>
    <n v="52708000000"/>
    <n v="21187000000"/>
    <n v="8088000000"/>
    <n v="10611000000"/>
    <n v="291000000"/>
    <x v="2"/>
    <x v="7"/>
    <n v="0.5980306594824315"/>
    <n v="31521000000"/>
    <n v="0.23774379600819609"/>
    <n v="12531000000"/>
  </r>
  <r>
    <s v="INTC"/>
    <n v="2"/>
    <x v="2"/>
    <d v="2014-12-27T00:00:00"/>
    <n v="55870000000"/>
    <n v="20261000000"/>
    <n v="8136000000"/>
    <n v="11537000000"/>
    <n v="294000000"/>
    <x v="2"/>
    <x v="7"/>
    <n v="0.6373545731161625"/>
    <n v="35609000000"/>
    <n v="0.27997136209056739"/>
    <n v="15642000000"/>
  </r>
  <r>
    <s v="INTC"/>
    <n v="3"/>
    <x v="3"/>
    <d v="2015-12-26T00:00:00"/>
    <n v="55355000000"/>
    <n v="20676000000"/>
    <n v="7930000000"/>
    <n v="12128000000"/>
    <n v="265000000"/>
    <x v="2"/>
    <x v="7"/>
    <n v="0.62648360581699936"/>
    <n v="34679000000"/>
    <n v="0.2593442326799747"/>
    <n v="14356000000"/>
  </r>
  <r>
    <s v="INTC"/>
    <n v="4"/>
    <x v="4"/>
    <d v="2016-12-31T00:00:00"/>
    <n v="59387000000"/>
    <n v="23196000000"/>
    <n v="8397000000"/>
    <n v="12740000000"/>
    <n v="294000000"/>
    <x v="2"/>
    <x v="7"/>
    <n v="0.60940946671830543"/>
    <n v="36191000000"/>
    <n v="0.24853924259518076"/>
    <n v="14760000000"/>
  </r>
  <r>
    <s v="INTU"/>
    <n v="1"/>
    <x v="1"/>
    <d v="2013-07-31T00:00:00"/>
    <n v="3946000000"/>
    <n v="527000000"/>
    <n v="1534000000"/>
    <n v="647000000"/>
    <n v="30000000"/>
    <x v="2"/>
    <x v="15"/>
    <n v="0.86644703497212361"/>
    <n v="3419000000"/>
    <n v="0.30613279270146987"/>
    <n v="1208000000"/>
  </r>
  <r>
    <s v="INTU"/>
    <n v="2"/>
    <x v="2"/>
    <d v="2014-07-31T00:00:00"/>
    <n v="4243000000"/>
    <n v="603000000"/>
    <n v="1601000000"/>
    <n v="714000000"/>
    <n v="25000000"/>
    <x v="2"/>
    <x v="15"/>
    <n v="0.8578835729436719"/>
    <n v="3640000000"/>
    <n v="0.30638699033702571"/>
    <n v="1300000000"/>
  </r>
  <r>
    <s v="INTU"/>
    <n v="3"/>
    <x v="3"/>
    <d v="2015-07-31T00:00:00"/>
    <n v="4192000000"/>
    <n v="695000000"/>
    <n v="1771000000"/>
    <n v="798000000"/>
    <n v="42000000"/>
    <x v="2"/>
    <x v="15"/>
    <n v="0.83420801526717558"/>
    <n v="3497000000"/>
    <n v="0.21135496183206107"/>
    <n v="886000000"/>
  </r>
  <r>
    <s v="INTU"/>
    <n v="4"/>
    <x v="4"/>
    <d v="2016-07-31T00:00:00"/>
    <n v="4694000000"/>
    <n v="730000000"/>
    <n v="1807000000"/>
    <n v="881000000"/>
    <n v="34000000"/>
    <x v="2"/>
    <x v="15"/>
    <n v="0.84448231785257777"/>
    <n v="3964000000"/>
    <n v="0.26459309757136773"/>
    <n v="1242000000"/>
  </r>
  <r>
    <s v="IP"/>
    <n v="1"/>
    <x v="0"/>
    <d v="2012-12-31T00:00:00"/>
    <n v="21852000000"/>
    <n v="15287000000"/>
    <n v="3303000000"/>
    <n v="0"/>
    <n v="1473000000"/>
    <x v="7"/>
    <x v="30"/>
    <n v="0.30043016657514188"/>
    <n v="6565000000"/>
    <n v="8.1868936481786558E-2"/>
    <n v="1789000000"/>
  </r>
  <r>
    <s v="IP"/>
    <n v="2"/>
    <x v="1"/>
    <d v="2013-12-31T00:00:00"/>
    <n v="23483000000"/>
    <n v="16282000000"/>
    <n v="3557000000"/>
    <n v="0"/>
    <n v="1531000000"/>
    <x v="7"/>
    <x v="30"/>
    <n v="0.30664736192138997"/>
    <n v="7201000000"/>
    <n v="8.9979985521441042E-2"/>
    <n v="2113000000"/>
  </r>
  <r>
    <s v="IP"/>
    <n v="3"/>
    <x v="2"/>
    <d v="2014-12-31T00:00:00"/>
    <n v="23617000000"/>
    <n v="16254000000"/>
    <n v="3494000000"/>
    <n v="0"/>
    <n v="1406000000"/>
    <x v="7"/>
    <x v="30"/>
    <n v="0.31176694753779055"/>
    <n v="7363000000"/>
    <n v="0.10428928314349832"/>
    <n v="2463000000"/>
  </r>
  <r>
    <s v="IP"/>
    <n v="4"/>
    <x v="3"/>
    <d v="2015-12-31T00:00:00"/>
    <n v="22365000000"/>
    <n v="15468000000"/>
    <n v="3219000000"/>
    <n v="0"/>
    <n v="1294000000"/>
    <x v="7"/>
    <x v="30"/>
    <n v="0.30838363514419853"/>
    <n v="6897000000"/>
    <n v="0.10659512631343618"/>
    <n v="2384000000"/>
  </r>
  <r>
    <s v="IPG"/>
    <n v="1"/>
    <x v="0"/>
    <d v="2012-12-31T00:00:00"/>
    <n v="6956200000"/>
    <n v="0"/>
    <n v="6279100000"/>
    <n v="0"/>
    <n v="0"/>
    <x v="1"/>
    <x v="88"/>
    <n v="1"/>
    <n v="6956200000"/>
    <n v="9.7337626865242513E-2"/>
    <n v="677100000"/>
  </r>
  <r>
    <s v="IPG"/>
    <n v="2"/>
    <x v="1"/>
    <d v="2013-12-31T00:00:00"/>
    <n v="7122300000"/>
    <n v="0"/>
    <n v="6463400000"/>
    <n v="0"/>
    <n v="0"/>
    <x v="1"/>
    <x v="88"/>
    <n v="1"/>
    <n v="7122300000"/>
    <n v="9.2512250256237452E-2"/>
    <n v="658900000"/>
  </r>
  <r>
    <s v="IPG"/>
    <n v="3"/>
    <x v="2"/>
    <d v="2014-12-31T00:00:00"/>
    <n v="7537100000"/>
    <n v="0"/>
    <n v="6748500000"/>
    <n v="0"/>
    <n v="0"/>
    <x v="1"/>
    <x v="88"/>
    <n v="1"/>
    <n v="7537100000"/>
    <n v="0.10462910137851428"/>
    <n v="788600000"/>
  </r>
  <r>
    <s v="IPG"/>
    <n v="4"/>
    <x v="3"/>
    <d v="2015-12-31T00:00:00"/>
    <n v="7613800000"/>
    <n v="0"/>
    <n v="6742700000"/>
    <n v="0"/>
    <n v="0"/>
    <x v="1"/>
    <x v="88"/>
    <n v="1"/>
    <n v="7613800000"/>
    <n v="0.11441067535264914"/>
    <n v="871100000"/>
  </r>
  <r>
    <s v="IRM"/>
    <n v="1"/>
    <x v="0"/>
    <d v="2012-12-31T00:00:00"/>
    <n v="3003955000"/>
    <n v="1277113000"/>
    <n v="850371000"/>
    <n v="0"/>
    <n v="316344000"/>
    <x v="6"/>
    <x v="13"/>
    <n v="0.57485614797824869"/>
    <n v="1726842000"/>
    <n v="0.18646317937519039"/>
    <n v="560127000"/>
  </r>
  <r>
    <s v="IRM"/>
    <n v="2"/>
    <x v="1"/>
    <d v="2013-12-31T00:00:00"/>
    <n v="3024623000"/>
    <n v="1288878000"/>
    <n v="924031000"/>
    <n v="0"/>
    <n v="322037000"/>
    <x v="6"/>
    <x v="13"/>
    <n v="0.57387152051677182"/>
    <n v="1735745000"/>
    <n v="0.16189687111418513"/>
    <n v="489677000"/>
  </r>
  <r>
    <s v="IRM"/>
    <n v="3"/>
    <x v="2"/>
    <d v="2014-12-31T00:00:00"/>
    <n v="3117693000"/>
    <n v="1344636000"/>
    <n v="869572000"/>
    <n v="0"/>
    <n v="353143000"/>
    <x v="6"/>
    <x v="13"/>
    <n v="0.56870801583093655"/>
    <n v="1773057000"/>
    <n v="0.1765221912484648"/>
    <n v="550342000"/>
  </r>
  <r>
    <s v="IRM"/>
    <n v="4"/>
    <x v="3"/>
    <d v="2015-12-31T00:00:00"/>
    <n v="3007976000"/>
    <n v="1290025000"/>
    <n v="844960000"/>
    <n v="0"/>
    <n v="345464000"/>
    <x v="6"/>
    <x v="13"/>
    <n v="0.57113188403098958"/>
    <n v="1717951000"/>
    <n v="0.17537606683032045"/>
    <n v="527527000"/>
  </r>
  <r>
    <s v="ANTM"/>
    <n v="1"/>
    <x v="0"/>
    <d v="2012-12-31T00:00:00"/>
    <n v="61497200000"/>
    <n v="48213600000"/>
    <n v="8680500000"/>
    <n v="0"/>
    <n v="233000000"/>
    <x v="10"/>
    <x v="89"/>
    <n v="0.21600333023292118"/>
    <n v="13283600000"/>
    <n v="7.1061771918071073E-2"/>
    <n v="4370100000"/>
  </r>
  <r>
    <s v="ANTM"/>
    <n v="2"/>
    <x v="1"/>
    <d v="2013-12-31T00:00:00"/>
    <n v="71023500000"/>
    <n v="56237100000"/>
    <n v="9952900000"/>
    <n v="0"/>
    <n v="245300000"/>
    <x v="10"/>
    <x v="89"/>
    <n v="0.20819024689011378"/>
    <n v="14786400000"/>
    <n v="6.4601153139453846E-2"/>
    <n v="4588200000"/>
  </r>
  <r>
    <s v="ANTM"/>
    <n v="3"/>
    <x v="2"/>
    <d v="2014-12-31T00:00:00"/>
    <n v="73874100000"/>
    <n v="56854900000"/>
    <n v="11748400000"/>
    <n v="0"/>
    <n v="220900000"/>
    <x v="10"/>
    <x v="89"/>
    <n v="0.23038114846746016"/>
    <n v="17019200000"/>
    <n v="6.8358193196262296E-2"/>
    <n v="5049900000"/>
  </r>
  <r>
    <s v="ANTM"/>
    <n v="4"/>
    <x v="3"/>
    <d v="2015-12-31T00:00:00"/>
    <n v="79156500000"/>
    <n v="61116900000"/>
    <n v="12534800000"/>
    <n v="0"/>
    <n v="230100000"/>
    <x v="10"/>
    <x v="89"/>
    <n v="0.22789789846696107"/>
    <n v="18039600000"/>
    <n v="6.6636346983507358E-2"/>
    <n v="5274700000"/>
  </r>
  <r>
    <s v="ITW"/>
    <n v="1"/>
    <x v="1"/>
    <d v="2013-12-31T00:00:00"/>
    <n v="14135000000"/>
    <n v="8554000000"/>
    <n v="2815000000"/>
    <n v="0"/>
    <n v="250000000"/>
    <x v="0"/>
    <x v="51"/>
    <n v="0.39483551467987266"/>
    <n v="5581000000"/>
    <n v="0.17799787760877256"/>
    <n v="2516000000"/>
  </r>
  <r>
    <s v="ITW"/>
    <n v="2"/>
    <x v="2"/>
    <d v="2014-12-31T00:00:00"/>
    <n v="14484000000"/>
    <n v="8673000000"/>
    <n v="2678000000"/>
    <n v="0"/>
    <n v="245000000"/>
    <x v="0"/>
    <x v="51"/>
    <n v="0.40120132560066279"/>
    <n v="5811000000"/>
    <n v="0.19939243302954984"/>
    <n v="2888000000"/>
  </r>
  <r>
    <s v="ITW"/>
    <n v="3"/>
    <x v="3"/>
    <d v="2015-12-31T00:00:00"/>
    <n v="13405000000"/>
    <n v="7888000000"/>
    <n v="2417000000"/>
    <n v="0"/>
    <n v="233000000"/>
    <x v="0"/>
    <x v="51"/>
    <n v="0.41156284968295409"/>
    <n v="5517000000"/>
    <n v="0.21387541961954495"/>
    <n v="2867000000"/>
  </r>
  <r>
    <s v="ITW"/>
    <n v="4"/>
    <x v="4"/>
    <d v="2016-12-31T00:00:00"/>
    <n v="13599000000"/>
    <n v="7896000000"/>
    <n v="2415000000"/>
    <n v="0"/>
    <n v="224000000"/>
    <x v="0"/>
    <x v="51"/>
    <n v="0.41936907125523937"/>
    <n v="5703000000"/>
    <n v="0.22531068460916243"/>
    <n v="3064000000"/>
  </r>
  <r>
    <s v="BAX"/>
    <n v="1"/>
    <x v="0"/>
    <d v="2012-12-31T00:00:00"/>
    <n v="13936000000"/>
    <n v="6802000000"/>
    <n v="3283000000"/>
    <n v="1081000000"/>
    <n v="0"/>
    <x v="10"/>
    <x v="86"/>
    <n v="0.51191159586681967"/>
    <n v="7134000000"/>
    <n v="0.19876578645235363"/>
    <n v="2770000000"/>
  </r>
  <r>
    <s v="BAX"/>
    <n v="2"/>
    <x v="1"/>
    <d v="2013-12-31T00:00:00"/>
    <n v="9413000000"/>
    <n v="5251000000"/>
    <n v="3084000000"/>
    <n v="582000000"/>
    <n v="0"/>
    <x v="10"/>
    <x v="86"/>
    <n v="0.44215446722617657"/>
    <n v="4162000000"/>
    <n v="5.2693084032720702E-2"/>
    <n v="496000000"/>
  </r>
  <r>
    <s v="BAX"/>
    <n v="3"/>
    <x v="2"/>
    <d v="2014-12-31T00:00:00"/>
    <n v="10719000000"/>
    <n v="6138000000"/>
    <n v="3315000000"/>
    <n v="610000000"/>
    <n v="0"/>
    <x v="10"/>
    <x v="86"/>
    <n v="0.42737195633921077"/>
    <n v="4581000000"/>
    <n v="6.1199738781602758E-2"/>
    <n v="656000000"/>
  </r>
  <r>
    <s v="BAX"/>
    <n v="4"/>
    <x v="3"/>
    <d v="2015-12-31T00:00:00"/>
    <n v="9968000000"/>
    <n v="5822000000"/>
    <n v="3094000000"/>
    <n v="603000000"/>
    <n v="0"/>
    <x v="10"/>
    <x v="86"/>
    <n v="0.4159309791332263"/>
    <n v="4146000000"/>
    <n v="4.5044141252006419E-2"/>
    <n v="449000000"/>
  </r>
  <r>
    <s v="JBHT"/>
    <n v="1"/>
    <x v="0"/>
    <d v="2012-12-31T00:00:00"/>
    <n v="5054980000"/>
    <n v="3230857000"/>
    <n v="1064757000"/>
    <n v="0"/>
    <n v="229166000"/>
    <x v="0"/>
    <x v="90"/>
    <n v="0.36085662059988366"/>
    <n v="1824123000"/>
    <n v="0.10488666621826397"/>
    <n v="530200000"/>
  </r>
  <r>
    <s v="JBHT"/>
    <n v="2"/>
    <x v="1"/>
    <d v="2013-12-31T00:00:00"/>
    <n v="5584571000"/>
    <n v="3570801000"/>
    <n v="1183682000"/>
    <n v="0"/>
    <n v="253380000"/>
    <x v="0"/>
    <x v="90"/>
    <n v="0.36059529013061165"/>
    <n v="2013770000"/>
    <n v="0.10326809346680345"/>
    <n v="576708000"/>
  </r>
  <r>
    <s v="JBHT"/>
    <n v="3"/>
    <x v="2"/>
    <d v="2014-12-31T00:00:00"/>
    <n v="6165441000"/>
    <n v="3898403000"/>
    <n v="1341000000"/>
    <n v="0"/>
    <n v="294496000"/>
    <x v="0"/>
    <x v="90"/>
    <n v="0.36770086681552872"/>
    <n v="2267038000"/>
    <n v="0.10243257538268552"/>
    <n v="631542000"/>
  </r>
  <r>
    <s v="JBHT"/>
    <n v="4"/>
    <x v="3"/>
    <d v="2015-12-31T00:00:00"/>
    <n v="6187646000"/>
    <n v="3665578000"/>
    <n v="1466761000"/>
    <n v="0"/>
    <n v="339613000"/>
    <x v="0"/>
    <x v="90"/>
    <n v="0.40759733184477587"/>
    <n v="2522068000"/>
    <n v="0.11566498794533495"/>
    <n v="715694000"/>
  </r>
  <r>
    <s v="JEC"/>
    <n v="1"/>
    <x v="1"/>
    <d v="2013-09-27T00:00:00"/>
    <n v="11818376000"/>
    <n v="9976057000"/>
    <n v="1173340000"/>
    <n v="0"/>
    <n v="0"/>
    <x v="0"/>
    <x v="52"/>
    <n v="0.1558859694428405"/>
    <n v="1842319000"/>
    <n v="5.6604985321164258E-2"/>
    <n v="668979000"/>
  </r>
  <r>
    <s v="JEC"/>
    <n v="2"/>
    <x v="2"/>
    <d v="2014-09-26T00:00:00"/>
    <n v="12695157000"/>
    <n v="10621373000"/>
    <n v="1545716000"/>
    <n v="0"/>
    <n v="0"/>
    <x v="0"/>
    <x v="52"/>
    <n v="0.16335237130190672"/>
    <n v="2073784000"/>
    <n v="4.1596019647492349E-2"/>
    <n v="528068000"/>
  </r>
  <r>
    <s v="JEC"/>
    <n v="3"/>
    <x v="3"/>
    <d v="2015-10-02T00:00:00"/>
    <n v="12114832000"/>
    <n v="10146494000"/>
    <n v="1522811000"/>
    <n v="0"/>
    <n v="0"/>
    <x v="0"/>
    <x v="52"/>
    <n v="0.1624734045011933"/>
    <n v="1968338000"/>
    <n v="3.6775334565101687E-2"/>
    <n v="445527000"/>
  </r>
  <r>
    <s v="JEC"/>
    <n v="4"/>
    <x v="4"/>
    <d v="2016-09-30T00:00:00"/>
    <n v="10964157000"/>
    <n v="9196326000"/>
    <n v="1429233000"/>
    <n v="0"/>
    <n v="0"/>
    <x v="0"/>
    <x v="52"/>
    <n v="0.16123729348275473"/>
    <n v="1767831000"/>
    <n v="3.0882264819812412E-2"/>
    <n v="338598000"/>
  </r>
  <r>
    <s v="JNPR"/>
    <n v="1"/>
    <x v="0"/>
    <d v="2012-12-31T00:00:00"/>
    <n v="4365400000"/>
    <n v="1656600000"/>
    <n v="1252300000"/>
    <n v="1101600000"/>
    <n v="0"/>
    <x v="2"/>
    <x v="55"/>
    <n v="0.62051587483392123"/>
    <n v="2708800000"/>
    <n v="8.1298391899940439E-2"/>
    <n v="354900000"/>
  </r>
  <r>
    <s v="JNPR"/>
    <n v="2"/>
    <x v="1"/>
    <d v="2013-12-31T00:00:00"/>
    <n v="4669100000"/>
    <n v="1727700000"/>
    <n v="1293200000"/>
    <n v="1043200000"/>
    <n v="0"/>
    <x v="2"/>
    <x v="55"/>
    <n v="0.62997151485296954"/>
    <n v="2941400000"/>
    <n v="0.12957529288299671"/>
    <n v="605000000"/>
  </r>
  <r>
    <s v="JNPR"/>
    <n v="3"/>
    <x v="2"/>
    <d v="2014-12-31T00:00:00"/>
    <n v="4627100000"/>
    <n v="1768900000"/>
    <n v="1254700000"/>
    <n v="1006200000"/>
    <n v="0"/>
    <x v="2"/>
    <x v="55"/>
    <n v="0.61770871604244559"/>
    <n v="2858200000"/>
    <n v="0.12908733331892547"/>
    <n v="597300000"/>
  </r>
  <r>
    <s v="JNPR"/>
    <n v="4"/>
    <x v="3"/>
    <d v="2015-12-31T00:00:00"/>
    <n v="4857800000"/>
    <n v="1779200000"/>
    <n v="1172700000"/>
    <n v="994500000"/>
    <n v="0"/>
    <x v="2"/>
    <x v="55"/>
    <n v="0.6337436699740624"/>
    <n v="3078600000"/>
    <n v="0.18761579315739635"/>
    <n v="911400000"/>
  </r>
  <r>
    <s v="BCR"/>
    <n v="1"/>
    <x v="1"/>
    <d v="2013-12-31T00:00:00"/>
    <n v="3049500000"/>
    <n v="1194400000"/>
    <n v="920300000"/>
    <n v="295700000"/>
    <n v="0"/>
    <x v="10"/>
    <x v="86"/>
    <n v="0.60832923430070496"/>
    <n v="1855100000"/>
    <n v="0.20957534021970814"/>
    <n v="639100000"/>
  </r>
  <r>
    <s v="BCR"/>
    <n v="2"/>
    <x v="2"/>
    <d v="2014-12-31T00:00:00"/>
    <n v="3323600000"/>
    <n v="1258600000"/>
    <n v="981500000"/>
    <n v="302000000"/>
    <n v="0"/>
    <x v="10"/>
    <x v="86"/>
    <n v="0.62131423757371529"/>
    <n v="2065000000"/>
    <n v="0.23513659886869659"/>
    <n v="781500000"/>
  </r>
  <r>
    <s v="BCR"/>
    <n v="3"/>
    <x v="3"/>
    <d v="2015-12-31T00:00:00"/>
    <n v="3416000000"/>
    <n v="1301200000"/>
    <n v="1012100000"/>
    <n v="259200000"/>
    <n v="0"/>
    <x v="10"/>
    <x v="86"/>
    <n v="0.61908665105386418"/>
    <n v="2114800000"/>
    <n v="0.24692622950819673"/>
    <n v="843500000"/>
  </r>
  <r>
    <s v="BCR"/>
    <n v="4"/>
    <x v="4"/>
    <d v="2016-12-31T00:00:00"/>
    <n v="3714000000"/>
    <n v="1371700000"/>
    <n v="1101900000"/>
    <n v="292800000"/>
    <n v="0"/>
    <x v="10"/>
    <x v="86"/>
    <n v="0.63066774367259026"/>
    <n v="2342300000"/>
    <n v="0.25514270328486804"/>
    <n v="947600000"/>
  </r>
  <r>
    <s v="JWN"/>
    <n v="1"/>
    <x v="1"/>
    <d v="2013-02-02T00:00:00"/>
    <n v="12134000000"/>
    <n v="7432000000"/>
    <n v="3357000000"/>
    <n v="0"/>
    <n v="0"/>
    <x v="1"/>
    <x v="91"/>
    <n v="0.38750618097906708"/>
    <n v="4702000000"/>
    <n v="0.11084555793637713"/>
    <n v="1345000000"/>
  </r>
  <r>
    <s v="JWN"/>
    <n v="2"/>
    <x v="2"/>
    <d v="2014-02-01T00:00:00"/>
    <n v="12540000000"/>
    <n v="7737000000"/>
    <n v="3453000000"/>
    <n v="0"/>
    <n v="0"/>
    <x v="1"/>
    <x v="91"/>
    <n v="0.3830143540669857"/>
    <n v="4803000000"/>
    <n v="0.1076555023923445"/>
    <n v="1350000000"/>
  </r>
  <r>
    <s v="JWN"/>
    <n v="3"/>
    <x v="3"/>
    <d v="2015-01-31T00:00:00"/>
    <n v="13506000000"/>
    <n v="8406000000"/>
    <n v="3777000000"/>
    <n v="0"/>
    <n v="0"/>
    <x v="1"/>
    <x v="91"/>
    <n v="0.3776099511328298"/>
    <n v="5100000000"/>
    <n v="9.7956463793869394E-2"/>
    <n v="1323000000"/>
  </r>
  <r>
    <s v="JWN"/>
    <n v="4"/>
    <x v="4"/>
    <d v="2016-01-30T00:00:00"/>
    <n v="14437000000"/>
    <n v="9168000000"/>
    <n v="4168000000"/>
    <n v="0"/>
    <n v="0"/>
    <x v="1"/>
    <x v="91"/>
    <n v="0.36496502043360812"/>
    <n v="5269000000"/>
    <n v="7.6262381381173375E-2"/>
    <n v="1101000000"/>
  </r>
  <r>
    <s v="K"/>
    <n v="1"/>
    <x v="0"/>
    <d v="2012-12-29T00:00:00"/>
    <n v="14197000000"/>
    <n v="8763000000"/>
    <n v="3872000000"/>
    <n v="0"/>
    <n v="0"/>
    <x v="4"/>
    <x v="37"/>
    <n v="0.38275692047615695"/>
    <n v="5434000000"/>
    <n v="0.11002324434739734"/>
    <n v="1562000000"/>
  </r>
  <r>
    <s v="K"/>
    <n v="2"/>
    <x v="1"/>
    <d v="2013-12-28T00:00:00"/>
    <n v="14792000000"/>
    <n v="8689000000"/>
    <n v="3266000000"/>
    <n v="0"/>
    <n v="0"/>
    <x v="4"/>
    <x v="37"/>
    <n v="0.41258788534342883"/>
    <n v="6103000000"/>
    <n v="0.19179286100594917"/>
    <n v="2837000000"/>
  </r>
  <r>
    <s v="K"/>
    <n v="3"/>
    <x v="3"/>
    <d v="2015-01-03T00:00:00"/>
    <n v="14580000000"/>
    <n v="9517000000"/>
    <n v="4039000000"/>
    <n v="0"/>
    <n v="0"/>
    <x v="4"/>
    <x v="37"/>
    <n v="0.34725651577503425"/>
    <n v="5063000000"/>
    <n v="7.0233196159122088E-2"/>
    <n v="1024000000"/>
  </r>
  <r>
    <s v="K"/>
    <n v="4"/>
    <x v="4"/>
    <d v="2016-01-02T00:00:00"/>
    <n v="13525000000"/>
    <n v="8844000000"/>
    <n v="3590000000"/>
    <n v="0"/>
    <n v="0"/>
    <x v="4"/>
    <x v="37"/>
    <n v="0.34609981515711641"/>
    <n v="4681000000"/>
    <n v="8.0665434380776335E-2"/>
    <n v="1091000000"/>
  </r>
  <r>
    <s v="BDX"/>
    <n v="1"/>
    <x v="1"/>
    <d v="2013-09-30T00:00:00"/>
    <n v="8054000000"/>
    <n v="3883000000"/>
    <n v="2422000000"/>
    <n v="494000000"/>
    <n v="0"/>
    <x v="10"/>
    <x v="86"/>
    <n v="0.51787931462627268"/>
    <n v="4171000000"/>
    <n v="0.1558231934442513"/>
    <n v="1255000000"/>
  </r>
  <r>
    <s v="BDX"/>
    <n v="2"/>
    <x v="2"/>
    <d v="2014-09-30T00:00:00"/>
    <n v="8446000000"/>
    <n v="4145000000"/>
    <n v="2145000000"/>
    <n v="550000000"/>
    <n v="0"/>
    <x v="10"/>
    <x v="86"/>
    <n v="0.50923514089509825"/>
    <n v="4301000000"/>
    <n v="0.19014918304522851"/>
    <n v="1606000000"/>
  </r>
  <r>
    <s v="BDX"/>
    <n v="3"/>
    <x v="3"/>
    <d v="2015-09-30T00:00:00"/>
    <n v="10282000000"/>
    <n v="5587000000"/>
    <n v="2563000000"/>
    <n v="632000000"/>
    <n v="0"/>
    <x v="10"/>
    <x v="86"/>
    <n v="0.45662322505349151"/>
    <n v="4695000000"/>
    <n v="0.14588601439408674"/>
    <n v="1500000000"/>
  </r>
  <r>
    <s v="BDX"/>
    <n v="4"/>
    <x v="4"/>
    <d v="2016-09-30T00:00:00"/>
    <n v="12483000000"/>
    <n v="6492000000"/>
    <n v="3005000000"/>
    <n v="828000000"/>
    <n v="0"/>
    <x v="10"/>
    <x v="86"/>
    <n v="0.47993270848353764"/>
    <n v="5991000000"/>
    <n v="0.17287511014980372"/>
    <n v="2158000000"/>
  </r>
  <r>
    <s v="KIM"/>
    <n v="1"/>
    <x v="0"/>
    <d v="2012-12-31T00:00:00"/>
    <n v="793373000"/>
    <n v="206974000"/>
    <n v="123524000"/>
    <n v="0"/>
    <n v="214827000"/>
    <x v="6"/>
    <x v="13"/>
    <n v="0.7391214472889801"/>
    <n v="586399000"/>
    <n v="0.31264991372280126"/>
    <n v="248048000"/>
  </r>
  <r>
    <s v="KIM"/>
    <n v="2"/>
    <x v="1"/>
    <d v="2013-12-31T00:00:00"/>
    <n v="861527000"/>
    <n v="221498000"/>
    <n v="127470000"/>
    <n v="0"/>
    <n v="224713000"/>
    <x v="6"/>
    <x v="13"/>
    <n v="0.74290068680377974"/>
    <n v="640029000"/>
    <n v="0.33411140916071114"/>
    <n v="287846000"/>
  </r>
  <r>
    <s v="KIM"/>
    <n v="3"/>
    <x v="2"/>
    <d v="2014-12-31T00:00:00"/>
    <n v="993897000"/>
    <n v="258617000"/>
    <n v="122201000"/>
    <n v="0"/>
    <n v="258074000"/>
    <x v="6"/>
    <x v="13"/>
    <n v="0.73979496869393913"/>
    <n v="735280000"/>
    <n v="0.35718489944129017"/>
    <n v="355005000"/>
  </r>
  <r>
    <s v="KIM"/>
    <n v="4"/>
    <x v="3"/>
    <d v="2015-12-31T00:00:00"/>
    <n v="1166769000"/>
    <n v="304477000"/>
    <n v="122735000"/>
    <n v="0"/>
    <n v="344527000"/>
    <x v="6"/>
    <x v="13"/>
    <n v="0.73904260397730825"/>
    <n v="862292000"/>
    <n v="0.33856744565548108"/>
    <n v="395030000"/>
  </r>
  <r>
    <s v="KLAC"/>
    <n v="1"/>
    <x v="1"/>
    <d v="2013-06-30T00:00:00"/>
    <n v="2842781000"/>
    <n v="1237452000"/>
    <n v="387812000"/>
    <n v="487832000"/>
    <n v="0"/>
    <x v="2"/>
    <x v="19"/>
    <n v="0.56470371794380214"/>
    <n v="1605329000"/>
    <n v="0.25667999047411671"/>
    <n v="729685000"/>
  </r>
  <r>
    <s v="KLAC"/>
    <n v="2"/>
    <x v="2"/>
    <d v="2014-06-30T00:00:00"/>
    <n v="2929408000"/>
    <n v="1232962000"/>
    <n v="384907000"/>
    <n v="539469000"/>
    <n v="0"/>
    <x v="2"/>
    <x v="19"/>
    <n v="0.5791088165253867"/>
    <n v="1696446000"/>
    <n v="0.26355837083806694"/>
    <n v="772070000"/>
  </r>
  <r>
    <s v="KLAC"/>
    <n v="3"/>
    <x v="3"/>
    <d v="2015-06-30T00:00:00"/>
    <n v="2814049000"/>
    <n v="1215229000"/>
    <n v="406864000"/>
    <n v="530616000"/>
    <n v="0"/>
    <x v="2"/>
    <x v="19"/>
    <n v="0.56815641802967898"/>
    <n v="1598820000"/>
    <n v="0.2350136760234097"/>
    <n v="661340000"/>
  </r>
  <r>
    <s v="KLAC"/>
    <n v="4"/>
    <x v="4"/>
    <d v="2016-06-30T00:00:00"/>
    <n v="2984493000"/>
    <n v="1163391000"/>
    <n v="379399000"/>
    <n v="481258000"/>
    <n v="0"/>
    <x v="2"/>
    <x v="19"/>
    <n v="0.61018806209295851"/>
    <n v="1821102000"/>
    <n v="0.32181177841596548"/>
    <n v="960445000"/>
  </r>
  <r>
    <s v="KMB"/>
    <n v="1"/>
    <x v="1"/>
    <d v="2013-12-31T00:00:00"/>
    <n v="19561000000"/>
    <n v="12952000000"/>
    <n v="3706000000"/>
    <n v="0"/>
    <n v="0"/>
    <x v="4"/>
    <x v="45"/>
    <n v="0.33786616226164301"/>
    <n v="6609000000"/>
    <n v="0.14840754562650171"/>
    <n v="2903000000"/>
  </r>
  <r>
    <s v="KMB"/>
    <n v="2"/>
    <x v="2"/>
    <d v="2014-12-31T00:00:00"/>
    <n v="19724000000"/>
    <n v="13041000000"/>
    <n v="4162000000"/>
    <n v="0"/>
    <n v="0"/>
    <x v="4"/>
    <x v="45"/>
    <n v="0.33882579598458729"/>
    <n v="6683000000"/>
    <n v="0.12781383086595011"/>
    <n v="2521000000"/>
  </r>
  <r>
    <s v="KMB"/>
    <n v="3"/>
    <x v="3"/>
    <d v="2015-12-31T00:00:00"/>
    <n v="18591000000"/>
    <n v="11967000000"/>
    <n v="5011000000"/>
    <n v="0"/>
    <n v="0"/>
    <x v="4"/>
    <x v="45"/>
    <n v="0.35630143617879617"/>
    <n v="6624000000"/>
    <n v="8.676241191974611E-2"/>
    <n v="1613000000"/>
  </r>
  <r>
    <s v="KMB"/>
    <n v="4"/>
    <x v="4"/>
    <d v="2016-12-31T00:00:00"/>
    <n v="18202000000"/>
    <n v="11551000000"/>
    <n v="3334000000"/>
    <n v="0"/>
    <n v="0"/>
    <x v="4"/>
    <x v="45"/>
    <n v="0.36539940665860893"/>
    <n v="6651000000"/>
    <n v="0.18223272167893639"/>
    <n v="3317000000"/>
  </r>
  <r>
    <s v="KMI"/>
    <n v="1"/>
    <x v="1"/>
    <d v="2013-12-31T00:00:00"/>
    <n v="14070000000"/>
    <n v="7365000000"/>
    <n v="1007000000"/>
    <n v="0"/>
    <n v="1806000000"/>
    <x v="8"/>
    <x v="92"/>
    <n v="0.47654584221748397"/>
    <n v="6705000000"/>
    <n v="0.27661691542288558"/>
    <n v="3892000000"/>
  </r>
  <r>
    <s v="KMI"/>
    <n v="2"/>
    <x v="2"/>
    <d v="2014-12-31T00:00:00"/>
    <n v="16226000000"/>
    <n v="8435000000"/>
    <n v="1029000000"/>
    <n v="0"/>
    <n v="2040000000"/>
    <x v="8"/>
    <x v="92"/>
    <n v="0.4801553062985332"/>
    <n v="7791000000"/>
    <n v="0.29101442129914951"/>
    <n v="4722000000"/>
  </r>
  <r>
    <s v="KMI"/>
    <n v="3"/>
    <x v="3"/>
    <d v="2015-12-31T00:00:00"/>
    <n v="14403000000"/>
    <n v="6452000000"/>
    <n v="1126000000"/>
    <n v="0"/>
    <n v="2309000000"/>
    <x v="8"/>
    <x v="92"/>
    <n v="0.55203776990904674"/>
    <n v="7951000000"/>
    <n v="0.31354578907172115"/>
    <n v="4516000000"/>
  </r>
  <r>
    <s v="KMI"/>
    <n v="4"/>
    <x v="4"/>
    <d v="2016-12-31T00:00:00"/>
    <n v="13058000000"/>
    <n v="5801000000"/>
    <n v="1089000000"/>
    <n v="0"/>
    <n v="2209000000"/>
    <x v="8"/>
    <x v="92"/>
    <n v="0.5557512635931996"/>
    <n v="7257000000"/>
    <n v="0.30318578649104"/>
    <n v="3959000000"/>
  </r>
  <r>
    <s v="KMX"/>
    <n v="1"/>
    <x v="1"/>
    <d v="2013-02-28T00:00:00"/>
    <n v="10962818000"/>
    <n v="9498456000"/>
    <n v="731767000"/>
    <n v="0"/>
    <n v="0"/>
    <x v="1"/>
    <x v="24"/>
    <n v="0.13357532707375053"/>
    <n v="1464362000"/>
    <n v="6.6825427549741315E-2"/>
    <n v="732595000"/>
  </r>
  <r>
    <s v="KMX"/>
    <n v="2"/>
    <x v="2"/>
    <d v="2014-02-28T00:00:00"/>
    <n v="12574299000"/>
    <n v="10925598000"/>
    <n v="819048000"/>
    <n v="0"/>
    <n v="0"/>
    <x v="1"/>
    <x v="24"/>
    <n v="0.13111673263058243"/>
    <n v="1648701000"/>
    <n v="6.5980059802936128E-2"/>
    <n v="829653000"/>
  </r>
  <r>
    <s v="KMX"/>
    <n v="3"/>
    <x v="3"/>
    <d v="2015-02-28T00:00:00"/>
    <n v="14268716000"/>
    <n v="12381189000"/>
    <n v="890431000"/>
    <n v="0"/>
    <n v="0"/>
    <x v="1"/>
    <x v="24"/>
    <n v="0.13228429243388118"/>
    <n v="1887527000"/>
    <n v="6.9879868658118918E-2"/>
    <n v="997096000"/>
  </r>
  <r>
    <s v="KMX"/>
    <n v="4"/>
    <x v="4"/>
    <d v="2016-02-29T00:00:00"/>
    <n v="15149675000"/>
    <n v="13130915000"/>
    <n v="959899000"/>
    <n v="0"/>
    <n v="0"/>
    <x v="1"/>
    <x v="24"/>
    <n v="0.13325434374004719"/>
    <n v="2018760000"/>
    <n v="6.9893314543051255E-2"/>
    <n v="1058861000"/>
  </r>
  <r>
    <s v="KO"/>
    <n v="1"/>
    <x v="0"/>
    <d v="2012-12-31T00:00:00"/>
    <n v="48017000000"/>
    <n v="19053000000"/>
    <n v="18185000000"/>
    <n v="0"/>
    <n v="0"/>
    <x v="4"/>
    <x v="66"/>
    <n v="0.60320303225940819"/>
    <n v="28964000000"/>
    <n v="0.22448299560572296"/>
    <n v="10779000000"/>
  </r>
  <r>
    <s v="KO"/>
    <n v="2"/>
    <x v="1"/>
    <d v="2013-12-31T00:00:00"/>
    <n v="46854000000"/>
    <n v="18421000000"/>
    <n v="18205000000"/>
    <n v="0"/>
    <n v="0"/>
    <x v="4"/>
    <x v="66"/>
    <n v="0.60684253212105688"/>
    <n v="28433000000"/>
    <n v="0.21829512955137234"/>
    <n v="10228000000"/>
  </r>
  <r>
    <s v="KO"/>
    <n v="3"/>
    <x v="2"/>
    <d v="2014-12-31T00:00:00"/>
    <n v="45998000000"/>
    <n v="17889000000"/>
    <n v="18401000000"/>
    <n v="0"/>
    <n v="0"/>
    <x v="4"/>
    <x v="66"/>
    <n v="0.61109178659941743"/>
    <n v="28109000000"/>
    <n v="0.21105265446323754"/>
    <n v="9708000000"/>
  </r>
  <r>
    <s v="KO"/>
    <n v="4"/>
    <x v="3"/>
    <d v="2015-12-31T00:00:00"/>
    <n v="44294000000"/>
    <n v="17482000000"/>
    <n v="18084000000"/>
    <n v="0"/>
    <n v="0"/>
    <x v="4"/>
    <x v="66"/>
    <n v="0.60531900483135415"/>
    <n v="26812000000"/>
    <n v="0.19704700410890866"/>
    <n v="8728000000"/>
  </r>
  <r>
    <s v="KORS"/>
    <n v="1"/>
    <x v="1"/>
    <d v="2013-03-30T00:00:00"/>
    <n v="2181732000"/>
    <n v="875166000"/>
    <n v="621536000"/>
    <n v="0"/>
    <n v="54291000"/>
    <x v="1"/>
    <x v="78"/>
    <n v="0.59886640522300638"/>
    <n v="1306566000"/>
    <n v="0.28910012778838096"/>
    <n v="630739000"/>
  </r>
  <r>
    <s v="KORS"/>
    <n v="2"/>
    <x v="2"/>
    <d v="2014-03-29T00:00:00"/>
    <n v="3310800000"/>
    <n v="1294700000"/>
    <n v="926900000"/>
    <n v="0"/>
    <n v="79700000"/>
    <x v="1"/>
    <x v="78"/>
    <n v="0.60894647819258185"/>
    <n v="2016100000"/>
    <n v="0.30491119971003988"/>
    <n v="1009500000"/>
  </r>
  <r>
    <s v="KORS"/>
    <n v="3"/>
    <x v="3"/>
    <d v="2015-03-28T00:00:00"/>
    <n v="4371500000"/>
    <n v="1723800000"/>
    <n v="1251500000"/>
    <n v="0"/>
    <n v="138400000"/>
    <x v="1"/>
    <x v="78"/>
    <n v="0.60567310991650469"/>
    <n v="2647700000"/>
    <n v="0.28772732471691637"/>
    <n v="1257800000"/>
  </r>
  <r>
    <s v="KORS"/>
    <n v="4"/>
    <x v="4"/>
    <d v="2016-04-02T00:00:00"/>
    <n v="4712100000"/>
    <n v="1914900000"/>
    <n v="1428000000"/>
    <n v="0"/>
    <n v="183200000"/>
    <x v="1"/>
    <x v="78"/>
    <n v="0.59362067867829627"/>
    <n v="2797200000"/>
    <n v="0.25169245134865559"/>
    <n v="1186000000"/>
  </r>
  <r>
    <s v="KR"/>
    <n v="1"/>
    <x v="1"/>
    <d v="2013-02-02T00:00:00"/>
    <n v="96619000000"/>
    <n v="76726000000"/>
    <n v="15477000000"/>
    <n v="0"/>
    <n v="1652000000"/>
    <x v="4"/>
    <x v="93"/>
    <n v="0.20589118082364755"/>
    <n v="19893000000"/>
    <n v="2.8607209762055084E-2"/>
    <n v="2764000000"/>
  </r>
  <r>
    <s v="KR"/>
    <n v="2"/>
    <x v="2"/>
    <d v="2014-02-01T00:00:00"/>
    <n v="98375000000"/>
    <n v="78138000000"/>
    <n v="15809000000"/>
    <n v="0"/>
    <n v="1703000000"/>
    <x v="4"/>
    <x v="93"/>
    <n v="0.20571283354510805"/>
    <n v="20237000000"/>
    <n v="2.770012706480305E-2"/>
    <n v="2725000000"/>
  </r>
  <r>
    <s v="KR"/>
    <n v="3"/>
    <x v="3"/>
    <d v="2015-01-31T00:00:00"/>
    <n v="108465000000"/>
    <n v="85512000000"/>
    <n v="17868000000"/>
    <n v="0"/>
    <n v="1948000000"/>
    <x v="4"/>
    <x v="93"/>
    <n v="0.21161665053242984"/>
    <n v="22953000000"/>
    <n v="2.8921772000184393E-2"/>
    <n v="3137000000"/>
  </r>
  <r>
    <s v="KR"/>
    <n v="4"/>
    <x v="4"/>
    <d v="2016-01-30T00:00:00"/>
    <n v="109830000000"/>
    <n v="85496000000"/>
    <n v="18669000000"/>
    <n v="0"/>
    <n v="2089000000"/>
    <x v="4"/>
    <x v="93"/>
    <n v="0.22156059364472369"/>
    <n v="24334000000"/>
    <n v="3.2559409997268508E-2"/>
    <n v="3576000000"/>
  </r>
  <r>
    <s v="KSS"/>
    <n v="1"/>
    <x v="1"/>
    <d v="2013-02-02T00:00:00"/>
    <n v="19279000000"/>
    <n v="12289000000"/>
    <n v="4267000000"/>
    <n v="0"/>
    <n v="833000000"/>
    <x v="1"/>
    <x v="62"/>
    <n v="0.36257067275273613"/>
    <n v="6990000000"/>
    <n v="9.8034130400954406E-2"/>
    <n v="1890000000"/>
  </r>
  <r>
    <s v="KSS"/>
    <n v="2"/>
    <x v="2"/>
    <d v="2014-02-01T00:00:00"/>
    <n v="19031000000"/>
    <n v="12087000000"/>
    <n v="4313000000"/>
    <n v="0"/>
    <n v="889000000"/>
    <x v="1"/>
    <x v="62"/>
    <n v="0.36487835636592925"/>
    <n v="6944000000"/>
    <n v="9.1534864168987443E-2"/>
    <n v="1742000000"/>
  </r>
  <r>
    <s v="KSS"/>
    <n v="3"/>
    <x v="3"/>
    <d v="2015-01-31T00:00:00"/>
    <n v="19023000000"/>
    <n v="12098000000"/>
    <n v="4350000000"/>
    <n v="0"/>
    <n v="886000000"/>
    <x v="1"/>
    <x v="62"/>
    <n v="0.36403301266887456"/>
    <n v="6925000000"/>
    <n v="8.8787257530357988E-2"/>
    <n v="1689000000"/>
  </r>
  <r>
    <s v="KSS"/>
    <n v="4"/>
    <x v="4"/>
    <d v="2016-01-30T00:00:00"/>
    <n v="19204000000"/>
    <n v="12265000000"/>
    <n v="4452000000"/>
    <n v="0"/>
    <n v="934000000"/>
    <x v="1"/>
    <x v="62"/>
    <n v="0.36133097271401793"/>
    <n v="6939000000"/>
    <n v="8.0868569048114972E-2"/>
    <n v="1553000000"/>
  </r>
  <r>
    <s v="KSU"/>
    <n v="1"/>
    <x v="1"/>
    <d v="2013-12-31T00:00:00"/>
    <n v="2369300000"/>
    <n v="805300000"/>
    <n v="602100000"/>
    <n v="0"/>
    <n v="223300000"/>
    <x v="0"/>
    <x v="57"/>
    <n v="0.66011058118431598"/>
    <n v="1564000000"/>
    <n v="0.31173764402988224"/>
    <n v="738600000"/>
  </r>
  <r>
    <s v="KSU"/>
    <n v="2"/>
    <x v="2"/>
    <d v="2014-12-31T00:00:00"/>
    <n v="2577100000"/>
    <n v="877900000"/>
    <n v="632000000"/>
    <n v="0"/>
    <n v="258100000"/>
    <x v="0"/>
    <x v="57"/>
    <n v="0.65934577626013735"/>
    <n v="1699200000"/>
    <n v="0.31395754918319041"/>
    <n v="809100000"/>
  </r>
  <r>
    <s v="KSU"/>
    <n v="3"/>
    <x v="3"/>
    <d v="2015-12-31T00:00:00"/>
    <n v="2418800000"/>
    <n v="759200000"/>
    <n v="571200000"/>
    <n v="0"/>
    <n v="284600000"/>
    <x v="0"/>
    <x v="57"/>
    <n v="0.68612535141392428"/>
    <n v="1659600000"/>
    <n v="0.3323135439060691"/>
    <n v="803800000"/>
  </r>
  <r>
    <s v="KSU"/>
    <n v="4"/>
    <x v="4"/>
    <d v="2016-12-31T00:00:00"/>
    <n v="2334200000"/>
    <n v="691100000"/>
    <n v="519600000"/>
    <n v="0"/>
    <n v="305000000"/>
    <x v="0"/>
    <x v="57"/>
    <n v="0.70392425670465264"/>
    <n v="1643100000"/>
    <n v="0.35065547082512211"/>
    <n v="818500000"/>
  </r>
  <r>
    <s v="LB"/>
    <n v="1"/>
    <x v="1"/>
    <d v="2013-02-02T00:00:00"/>
    <n v="10459000000"/>
    <n v="6073000000"/>
    <n v="2720000000"/>
    <n v="0"/>
    <n v="0"/>
    <x v="1"/>
    <x v="70"/>
    <n v="0.41935175446983464"/>
    <n v="4386000000"/>
    <n v="0.15928865092265035"/>
    <n v="1666000000"/>
  </r>
  <r>
    <s v="LB"/>
    <n v="2"/>
    <x v="2"/>
    <d v="2014-02-01T00:00:00"/>
    <n v="10773000000"/>
    <n v="6344000000"/>
    <n v="2686000000"/>
    <n v="0"/>
    <n v="0"/>
    <x v="1"/>
    <x v="70"/>
    <n v="0.41112039357653396"/>
    <n v="4429000000"/>
    <n v="0.1617933723196881"/>
    <n v="1743000000"/>
  </r>
  <r>
    <s v="LB"/>
    <n v="3"/>
    <x v="3"/>
    <d v="2015-01-31T00:00:00"/>
    <n v="11454000000"/>
    <n v="6646000000"/>
    <n v="2855000000"/>
    <n v="0"/>
    <n v="0"/>
    <x v="1"/>
    <x v="70"/>
    <n v="0.4197660206041558"/>
    <n v="4808000000"/>
    <n v="0.17050811943425878"/>
    <n v="1953000000"/>
  </r>
  <r>
    <s v="LB"/>
    <n v="4"/>
    <x v="4"/>
    <d v="2016-01-30T00:00:00"/>
    <n v="12154000000"/>
    <n v="6950000000"/>
    <n v="3012000000"/>
    <n v="0"/>
    <n v="0"/>
    <x v="1"/>
    <x v="70"/>
    <n v="0.42817179529373051"/>
    <n v="5204000000"/>
    <n v="0.18035214744117162"/>
    <n v="2192000000"/>
  </r>
  <r>
    <s v="LEG"/>
    <n v="1"/>
    <x v="0"/>
    <d v="2012-12-31T00:00:00"/>
    <n v="3414500000"/>
    <n v="2718900000"/>
    <n v="346100000"/>
    <n v="0"/>
    <n v="25100000"/>
    <x v="0"/>
    <x v="52"/>
    <n v="0.20371943183482211"/>
    <n v="695600000"/>
    <n v="9.5006589544589251E-2"/>
    <n v="324400000"/>
  </r>
  <r>
    <s v="LEG"/>
    <n v="2"/>
    <x v="1"/>
    <d v="2013-12-31T00:00:00"/>
    <n v="3477200000"/>
    <n v="2767300000"/>
    <n v="346900000"/>
    <n v="0"/>
    <n v="25400000"/>
    <x v="0"/>
    <x v="52"/>
    <n v="0.20415851834809617"/>
    <n v="709900000"/>
    <n v="9.7089612331761194E-2"/>
    <n v="337600000"/>
  </r>
  <r>
    <s v="LEG"/>
    <n v="3"/>
    <x v="2"/>
    <d v="2014-12-31T00:00:00"/>
    <n v="3782300000"/>
    <n v="2991900000"/>
    <n v="439200000"/>
    <n v="0"/>
    <n v="19700000"/>
    <x v="0"/>
    <x v="52"/>
    <n v="0.20897337598815535"/>
    <n v="790400000"/>
    <n v="8.7645083679242786E-2"/>
    <n v="331500000"/>
  </r>
  <r>
    <s v="LEG"/>
    <n v="4"/>
    <x v="3"/>
    <d v="2015-12-31T00:00:00"/>
    <n v="3917200000"/>
    <n v="2994000000"/>
    <n v="411800000"/>
    <n v="0"/>
    <n v="20800000"/>
    <x v="0"/>
    <x v="52"/>
    <n v="0.23567854590013271"/>
    <n v="923200000"/>
    <n v="0.12524252016746656"/>
    <n v="490600000"/>
  </r>
  <r>
    <s v="LEN"/>
    <n v="1"/>
    <x v="1"/>
    <d v="2013-11-30T00:00:00"/>
    <n v="5935095000"/>
    <n v="4920664000"/>
    <n v="328595000"/>
    <n v="0"/>
    <n v="0"/>
    <x v="1"/>
    <x v="63"/>
    <n v="0.17092076874927864"/>
    <n v="1014431000"/>
    <n v="0.11555602732559463"/>
    <n v="685836000"/>
  </r>
  <r>
    <s v="LEN"/>
    <n v="2"/>
    <x v="2"/>
    <d v="2014-11-30T00:00:00"/>
    <n v="7779812000"/>
    <n v="6336272000"/>
    <n v="521502000"/>
    <n v="0"/>
    <n v="0"/>
    <x v="1"/>
    <x v="63"/>
    <n v="0.18554947086124962"/>
    <n v="1443540000"/>
    <n v="0.11851674564886658"/>
    <n v="922038000"/>
  </r>
  <r>
    <s v="LEN"/>
    <n v="3"/>
    <x v="3"/>
    <d v="2015-11-30T00:00:00"/>
    <n v="9474008000"/>
    <n v="7757571000"/>
    <n v="630421000"/>
    <n v="0"/>
    <n v="0"/>
    <x v="1"/>
    <x v="63"/>
    <n v="0.18117326901138353"/>
    <n v="1716437000"/>
    <n v="0.1146311043858101"/>
    <n v="1086016000"/>
  </r>
  <r>
    <s v="LEN"/>
    <n v="4"/>
    <x v="4"/>
    <d v="2016-11-30T00:00:00"/>
    <n v="10949999000"/>
    <n v="8923519000"/>
    <n v="764117000"/>
    <n v="0"/>
    <n v="0"/>
    <x v="1"/>
    <x v="63"/>
    <n v="0.1850666835677337"/>
    <n v="2026480000"/>
    <n v="0.11528430276568975"/>
    <n v="1262363000"/>
  </r>
  <r>
    <s v="BIIB"/>
    <n v="1"/>
    <x v="1"/>
    <d v="2013-12-31T00:00:00"/>
    <n v="6932200000"/>
    <n v="857700000"/>
    <n v="1797000000"/>
    <n v="1444100000"/>
    <n v="342900000"/>
    <x v="10"/>
    <x v="87"/>
    <n v="0.87627304463229572"/>
    <n v="6074500000"/>
    <n v="0.35926545685352412"/>
    <n v="2490500000"/>
  </r>
  <r>
    <s v="BIIB"/>
    <n v="2"/>
    <x v="2"/>
    <d v="2014-12-31T00:00:00"/>
    <n v="9703300000"/>
    <n v="1171000000"/>
    <n v="2193400000"/>
    <n v="1893400000"/>
    <n v="489800000"/>
    <x v="10"/>
    <x v="87"/>
    <n v="0.87931940679974852"/>
    <n v="8532300000"/>
    <n v="0.40766543340925254"/>
    <n v="3955700000"/>
  </r>
  <r>
    <s v="BIIB"/>
    <n v="3"/>
    <x v="3"/>
    <d v="2015-12-31T00:00:00"/>
    <n v="10763800000"/>
    <n v="1240400000"/>
    <n v="2143600000"/>
    <n v="2012800000"/>
    <n v="382600000"/>
    <x v="10"/>
    <x v="87"/>
    <n v="0.88476188706590608"/>
    <n v="9523400000"/>
    <n v="0.46307066277708614"/>
    <n v="4984400000"/>
  </r>
  <r>
    <s v="BIIB"/>
    <n v="4"/>
    <x v="4"/>
    <d v="2016-12-31T00:00:00"/>
    <n v="11448800000"/>
    <n v="1478700000"/>
    <n v="1972900000"/>
    <n v="1973300000"/>
    <n v="385600000"/>
    <x v="10"/>
    <x v="87"/>
    <n v="0.87084235902452656"/>
    <n v="9970100000"/>
    <n v="0.49247956117671721"/>
    <n v="5638300000"/>
  </r>
  <r>
    <s v="LKQ"/>
    <n v="1"/>
    <x v="0"/>
    <d v="2012-12-31T00:00:00"/>
    <n v="4122930000"/>
    <n v="2398790000"/>
    <n v="1219343000"/>
    <n v="0"/>
    <n v="64093000"/>
    <x v="1"/>
    <x v="94"/>
    <n v="0.41818318525902698"/>
    <n v="1724140000"/>
    <n v="0.10689097316714084"/>
    <n v="440704000"/>
  </r>
  <r>
    <s v="LKQ"/>
    <n v="2"/>
    <x v="1"/>
    <d v="2013-12-31T00:00:00"/>
    <n v="5062528000"/>
    <n v="2987126000"/>
    <n v="1454080000"/>
    <n v="0"/>
    <n v="80969000"/>
    <x v="1"/>
    <x v="94"/>
    <n v="0.40995368321913483"/>
    <n v="2075402000"/>
    <n v="0.10673580472048748"/>
    <n v="540353000"/>
  </r>
  <r>
    <s v="LKQ"/>
    <n v="3"/>
    <x v="2"/>
    <d v="2014-12-31T00:00:00"/>
    <n v="6740064000"/>
    <n v="4088151000"/>
    <n v="1866520000"/>
    <n v="0"/>
    <n v="120719000"/>
    <x v="1"/>
    <x v="94"/>
    <n v="0.39345516600435837"/>
    <n v="2651913000"/>
    <n v="9.8615384067569686E-2"/>
    <n v="664674000"/>
  </r>
  <r>
    <s v="LKQ"/>
    <n v="4"/>
    <x v="3"/>
    <d v="2015-12-31T00:00:00"/>
    <n v="7192633000"/>
    <n v="4359104000"/>
    <n v="1987271000"/>
    <n v="0"/>
    <n v="122120000"/>
    <x v="1"/>
    <x v="94"/>
    <n v="0.39394878064819938"/>
    <n v="2833529000"/>
    <n v="0.10067773512147776"/>
    <n v="724138000"/>
  </r>
  <r>
    <s v="LLL"/>
    <n v="1"/>
    <x v="0"/>
    <d v="2012-12-31T00:00:00"/>
    <n v="13107000000"/>
    <n v="11799000000"/>
    <n v="0"/>
    <n v="0"/>
    <n v="0"/>
    <x v="0"/>
    <x v="52"/>
    <n v="9.9794003204394577E-2"/>
    <n v="1308000000"/>
    <n v="9.9794003204394605E-2"/>
    <n v="1308000000"/>
  </r>
  <r>
    <s v="LLL"/>
    <n v="2"/>
    <x v="1"/>
    <d v="2013-12-31T00:00:00"/>
    <n v="11420000000"/>
    <n v="10303000000"/>
    <n v="0"/>
    <n v="0"/>
    <n v="0"/>
    <x v="0"/>
    <x v="52"/>
    <n v="9.7810858143607682E-2"/>
    <n v="1117000000"/>
    <n v="9.781085814360771E-2"/>
    <n v="1117000000"/>
  </r>
  <r>
    <s v="LLL"/>
    <n v="3"/>
    <x v="2"/>
    <d v="2014-12-31T00:00:00"/>
    <n v="10986000000"/>
    <n v="9974000000"/>
    <n v="0"/>
    <n v="0"/>
    <n v="0"/>
    <x v="0"/>
    <x v="52"/>
    <n v="9.2117240123793964E-2"/>
    <n v="1012000000"/>
    <n v="9.2117240123793923E-2"/>
    <n v="1012000000"/>
  </r>
  <r>
    <s v="LLL"/>
    <n v="4"/>
    <x v="3"/>
    <d v="2015-12-31T00:00:00"/>
    <n v="10466000000"/>
    <n v="9576000000"/>
    <n v="0"/>
    <n v="0"/>
    <n v="0"/>
    <x v="0"/>
    <x v="52"/>
    <n v="8.503726351996943E-2"/>
    <n v="890000000"/>
    <n v="8.503726351996943E-2"/>
    <n v="890000000"/>
  </r>
  <r>
    <s v="LLTC"/>
    <n v="1"/>
    <x v="1"/>
    <d v="2013-06-30T00:00:00"/>
    <n v="1282236000"/>
    <n v="322516000"/>
    <n v="151382000"/>
    <n v="235184000"/>
    <n v="0"/>
    <x v="2"/>
    <x v="7"/>
    <n v="0.74847375990067344"/>
    <n v="959720000"/>
    <n v="0.4469957168571152"/>
    <n v="573154000"/>
  </r>
  <r>
    <s v="LLTC"/>
    <n v="2"/>
    <x v="2"/>
    <d v="2014-06-29T00:00:00"/>
    <n v="1388386000"/>
    <n v="338580000"/>
    <n v="159642000"/>
    <n v="250434000"/>
    <n v="0"/>
    <x v="2"/>
    <x v="7"/>
    <n v="0.75613410103530287"/>
    <n v="1049806000"/>
    <n v="0.46077243648380206"/>
    <n v="639730000"/>
  </r>
  <r>
    <s v="LLTC"/>
    <n v="3"/>
    <x v="3"/>
    <d v="2015-06-28T00:00:00"/>
    <n v="1475139000"/>
    <n v="355727000"/>
    <n v="169952000"/>
    <n v="266761000"/>
    <n v="0"/>
    <x v="2"/>
    <x v="7"/>
    <n v="0.75885187768745865"/>
    <n v="1119412000"/>
    <n v="0.46280316634567997"/>
    <n v="682699000"/>
  </r>
  <r>
    <s v="LLTC"/>
    <n v="4"/>
    <x v="4"/>
    <d v="2016-07-03T00:00:00"/>
    <n v="1423936000"/>
    <n v="343801000"/>
    <n v="170120000"/>
    <n v="276462000"/>
    <n v="0"/>
    <x v="2"/>
    <x v="7"/>
    <n v="0.75855586206121628"/>
    <n v="1080135000"/>
    <n v="0.44493081149714592"/>
    <n v="633553000"/>
  </r>
  <r>
    <s v="BMY"/>
    <n v="1"/>
    <x v="0"/>
    <d v="2012-12-31T00:00:00"/>
    <n v="17621000000"/>
    <n v="4610000000"/>
    <n v="5017000000"/>
    <n v="3904000000"/>
    <n v="0"/>
    <x v="10"/>
    <x v="85"/>
    <n v="0.73838034163781852"/>
    <n v="13011000000"/>
    <n v="0.23210941490267295"/>
    <n v="4090000000"/>
  </r>
  <r>
    <s v="BMY"/>
    <n v="2"/>
    <x v="1"/>
    <d v="2013-12-31T00:00:00"/>
    <n v="16385000000"/>
    <n v="4619000000"/>
    <n v="4939000000"/>
    <n v="3731000000"/>
    <n v="0"/>
    <x v="10"/>
    <x v="85"/>
    <n v="0.71809581934696376"/>
    <n v="11766000000"/>
    <n v="0.1889533109551419"/>
    <n v="3096000000"/>
  </r>
  <r>
    <s v="BMY"/>
    <n v="3"/>
    <x v="2"/>
    <d v="2014-12-31T00:00:00"/>
    <n v="15879000000"/>
    <n v="3932000000"/>
    <n v="4822000000"/>
    <n v="4534000000"/>
    <n v="0"/>
    <x v="10"/>
    <x v="85"/>
    <n v="0.75237735373764092"/>
    <n v="11947000000"/>
    <n v="0.16317148435039991"/>
    <n v="2591000000"/>
  </r>
  <r>
    <s v="BMY"/>
    <n v="4"/>
    <x v="3"/>
    <d v="2015-12-31T00:00:00"/>
    <n v="16560000000"/>
    <n v="3909000000"/>
    <n v="4841000000"/>
    <n v="5920000000"/>
    <n v="0"/>
    <x v="10"/>
    <x v="85"/>
    <n v="0.76394927536231882"/>
    <n v="12651000000"/>
    <n v="0.11413043478260869"/>
    <n v="1890000000"/>
  </r>
  <r>
    <s v="LMT"/>
    <n v="1"/>
    <x v="1"/>
    <d v="2013-12-31T00:00:00"/>
    <n v="45358000000"/>
    <n v="41171000000"/>
    <n v="-318000000"/>
    <n v="0"/>
    <n v="0"/>
    <x v="0"/>
    <x v="28"/>
    <n v="9.2310066581418937E-2"/>
    <n v="4187000000"/>
    <n v="9.9320957714184935E-2"/>
    <n v="4505000000"/>
  </r>
  <r>
    <s v="LMT"/>
    <n v="2"/>
    <x v="2"/>
    <d v="2014-12-31T00:00:00"/>
    <n v="39946000000"/>
    <n v="35263000000"/>
    <n v="-329000000"/>
    <n v="0"/>
    <n v="0"/>
    <x v="0"/>
    <x v="28"/>
    <n v="0.11723326490762531"/>
    <n v="4683000000"/>
    <n v="0.12546938366795174"/>
    <n v="5012000000"/>
  </r>
  <r>
    <s v="LMT"/>
    <n v="3"/>
    <x v="3"/>
    <d v="2015-12-31T00:00:00"/>
    <n v="40536000000"/>
    <n v="36044000000"/>
    <n v="-220000000"/>
    <n v="0"/>
    <n v="0"/>
    <x v="0"/>
    <x v="28"/>
    <n v="0.11081507795539769"/>
    <n v="4492000000"/>
    <n v="0.11624235247681074"/>
    <n v="4712000000"/>
  </r>
  <r>
    <s v="LMT"/>
    <n v="4"/>
    <x v="4"/>
    <d v="2016-12-31T00:00:00"/>
    <n v="47248000000"/>
    <n v="42186000000"/>
    <n v="-487000000"/>
    <n v="0"/>
    <n v="0"/>
    <x v="0"/>
    <x v="28"/>
    <n v="0.10713681002370468"/>
    <n v="5062000000"/>
    <n v="0.11744412461903149"/>
    <n v="5549000000"/>
  </r>
  <r>
    <s v="LNT"/>
    <n v="1"/>
    <x v="0"/>
    <d v="2012-12-31T00:00:00"/>
    <n v="3094500000"/>
    <n v="2144200000"/>
    <n v="98200000"/>
    <n v="0"/>
    <n v="332400000"/>
    <x v="5"/>
    <x v="11"/>
    <n v="0.30709322992405885"/>
    <n v="950300000"/>
    <n v="0.16794312489901439"/>
    <n v="519700000"/>
  </r>
  <r>
    <s v="LNT"/>
    <n v="2"/>
    <x v="1"/>
    <d v="2013-12-31T00:00:00"/>
    <n v="3276800000"/>
    <n v="2272400000"/>
    <n v="99600000"/>
    <n v="0"/>
    <n v="370900000"/>
    <x v="5"/>
    <x v="11"/>
    <n v="0.3065185546875"/>
    <n v="1004400000"/>
    <n v="0.162933349609375"/>
    <n v="533900000"/>
  </r>
  <r>
    <s v="LNT"/>
    <n v="3"/>
    <x v="2"/>
    <d v="2014-12-31T00:00:00"/>
    <n v="3350300000"/>
    <n v="2317500000"/>
    <n v="101100000"/>
    <n v="0"/>
    <n v="388100000"/>
    <x v="5"/>
    <x v="11"/>
    <n v="0.30827090111333311"/>
    <n v="1032800000"/>
    <n v="0.16225412649613469"/>
    <n v="543600000"/>
  </r>
  <r>
    <s v="LNT"/>
    <n v="4"/>
    <x v="3"/>
    <d v="2015-12-31T00:00:00"/>
    <n v="3253600000"/>
    <n v="2171600000"/>
    <n v="103700000"/>
    <n v="0"/>
    <n v="401300000"/>
    <x v="5"/>
    <x v="11"/>
    <n v="0.33255470863044012"/>
    <n v="1082000000"/>
    <n v="0.17734202114580772"/>
    <n v="577000000"/>
  </r>
  <r>
    <s v="LOW"/>
    <n v="1"/>
    <x v="1"/>
    <d v="2013-02-01T00:00:00"/>
    <n v="50521000000"/>
    <n v="33194000000"/>
    <n v="12244000000"/>
    <n v="0"/>
    <n v="1523000000"/>
    <x v="1"/>
    <x v="79"/>
    <n v="0.34296629124522471"/>
    <n v="17327000000"/>
    <n v="7.0465746917123567E-2"/>
    <n v="3560000000"/>
  </r>
  <r>
    <s v="LOW"/>
    <n v="2"/>
    <x v="2"/>
    <d v="2014-01-31T00:00:00"/>
    <n v="53417000000"/>
    <n v="34941000000"/>
    <n v="12865000000"/>
    <n v="0"/>
    <n v="1462000000"/>
    <x v="1"/>
    <x v="79"/>
    <n v="0.34588239698972234"/>
    <n v="18476000000"/>
    <n v="7.7671902203418394E-2"/>
    <n v="4149000000"/>
  </r>
  <r>
    <s v="LOW"/>
    <n v="3"/>
    <x v="3"/>
    <d v="2015-01-30T00:00:00"/>
    <n v="56223000000"/>
    <n v="36665000000"/>
    <n v="13281000000"/>
    <n v="0"/>
    <n v="1485000000"/>
    <x v="1"/>
    <x v="79"/>
    <n v="0.34786475285915019"/>
    <n v="19558000000"/>
    <n v="8.5232022481902425E-2"/>
    <n v="4792000000"/>
  </r>
  <r>
    <s v="LOW"/>
    <n v="4"/>
    <x v="4"/>
    <d v="2016-01-29T00:00:00"/>
    <n v="59074000000"/>
    <n v="38504000000"/>
    <n v="14115000000"/>
    <n v="0"/>
    <n v="1484000000"/>
    <x v="1"/>
    <x v="79"/>
    <n v="0.34820733317533936"/>
    <n v="20570000000"/>
    <n v="8.4148694857297632E-2"/>
    <n v="4971000000"/>
  </r>
  <r>
    <s v="LRCX"/>
    <n v="1"/>
    <x v="1"/>
    <d v="2013-06-30T00:00:00"/>
    <n v="3598916000"/>
    <n v="2195857000"/>
    <n v="601300000"/>
    <n v="683688000"/>
    <n v="0"/>
    <x v="2"/>
    <x v="19"/>
    <n v="0.38985600108477103"/>
    <n v="1403059000"/>
    <n v="3.2807378666242837E-2"/>
    <n v="118071000"/>
  </r>
  <r>
    <s v="LRCX"/>
    <n v="2"/>
    <x v="2"/>
    <d v="2014-06-29T00:00:00"/>
    <n v="4607309000"/>
    <n v="2599828000"/>
    <n v="613341000"/>
    <n v="716471000"/>
    <n v="0"/>
    <x v="2"/>
    <x v="19"/>
    <n v="0.43571659725883372"/>
    <n v="2007481000"/>
    <n v="0.1470856415317488"/>
    <n v="677669000"/>
  </r>
  <r>
    <s v="LRCX"/>
    <n v="3"/>
    <x v="3"/>
    <d v="2015-06-28T00:00:00"/>
    <n v="5259312000"/>
    <n v="2974976000"/>
    <n v="591611000"/>
    <n v="825242000"/>
    <n v="0"/>
    <x v="2"/>
    <x v="19"/>
    <n v="0.43434122181760659"/>
    <n v="2284336000"/>
    <n v="0.16494229663499713"/>
    <n v="867483000"/>
  </r>
  <r>
    <s v="LRCX"/>
    <n v="4"/>
    <x v="4"/>
    <d v="2016-06-26T00:00:00"/>
    <n v="5885893000"/>
    <n v="3266971000"/>
    <n v="630954000"/>
    <n v="913712000"/>
    <n v="0"/>
    <x v="2"/>
    <x v="19"/>
    <n v="0.44494896526321492"/>
    <n v="2618922000"/>
    <n v="0.18251368144137176"/>
    <n v="1074256000"/>
  </r>
  <r>
    <s v="BSX"/>
    <n v="1"/>
    <x v="0"/>
    <d v="2012-12-31T00:00:00"/>
    <n v="7249000000"/>
    <n v="2349000000"/>
    <n v="2529000000"/>
    <n v="886000000"/>
    <n v="395000000"/>
    <x v="10"/>
    <x v="86"/>
    <n v="0.67595530417988692"/>
    <n v="4900000000"/>
    <n v="0.15036556766450546"/>
    <n v="1090000000"/>
  </r>
  <r>
    <s v="BSX"/>
    <n v="2"/>
    <x v="1"/>
    <d v="2013-12-31T00:00:00"/>
    <n v="7143000000"/>
    <n v="2174000000"/>
    <n v="2678000000"/>
    <n v="861000000"/>
    <n v="410000000"/>
    <x v="10"/>
    <x v="86"/>
    <n v="0.69564608707825837"/>
    <n v="4969000000"/>
    <n v="0.14279714405711885"/>
    <n v="1020000000"/>
  </r>
  <r>
    <s v="BSX"/>
    <n v="3"/>
    <x v="2"/>
    <d v="2014-12-31T00:00:00"/>
    <n v="7380000000"/>
    <n v="2210000000"/>
    <n v="2817000000"/>
    <n v="817000000"/>
    <n v="438000000"/>
    <x v="10"/>
    <x v="86"/>
    <n v="0.70054200542005418"/>
    <n v="5170000000"/>
    <n v="0.14878048780487804"/>
    <n v="1098000000"/>
  </r>
  <r>
    <s v="BSX"/>
    <n v="4"/>
    <x v="3"/>
    <d v="2015-12-31T00:00:00"/>
    <n v="7477000000"/>
    <n v="2173000000"/>
    <n v="2996000000"/>
    <n v="876000000"/>
    <n v="495000000"/>
    <x v="10"/>
    <x v="86"/>
    <n v="0.709375417948375"/>
    <n v="5304000000"/>
    <n v="0.1253176407650127"/>
    <n v="937000000"/>
  </r>
  <r>
    <s v="LUV"/>
    <n v="1"/>
    <x v="1"/>
    <d v="2013-12-31T00:00:00"/>
    <n v="17699000000"/>
    <n v="8307000000"/>
    <n v="7161000000"/>
    <n v="0"/>
    <n v="867000000"/>
    <x v="0"/>
    <x v="0"/>
    <n v="0.53065144923442009"/>
    <n v="9392000000"/>
    <n v="7.706650093225606E-2"/>
    <n v="1364000000"/>
  </r>
  <r>
    <s v="LUV"/>
    <n v="2"/>
    <x v="2"/>
    <d v="2014-12-31T00:00:00"/>
    <n v="18605000000"/>
    <n v="7677000000"/>
    <n v="7639000000"/>
    <n v="0"/>
    <n v="938000000"/>
    <x v="0"/>
    <x v="0"/>
    <n v="0.58736898683149685"/>
    <n v="10928000000"/>
    <n v="0.12636388067723731"/>
    <n v="2351000000"/>
  </r>
  <r>
    <s v="LUV"/>
    <n v="3"/>
    <x v="3"/>
    <d v="2015-12-31T00:00:00"/>
    <n v="19820000000"/>
    <n v="6025000000"/>
    <n v="8625000000"/>
    <n v="0"/>
    <n v="1015000000"/>
    <x v="0"/>
    <x v="0"/>
    <n v="0.69601412714429867"/>
    <n v="13795000000"/>
    <n v="0.20963673057517659"/>
    <n v="4155000000"/>
  </r>
  <r>
    <s v="LUV"/>
    <n v="4"/>
    <x v="4"/>
    <d v="2016-12-31T00:00:00"/>
    <n v="20425000000"/>
    <n v="6132000000"/>
    <n v="9312000000"/>
    <n v="0"/>
    <n v="1221000000"/>
    <x v="0"/>
    <x v="0"/>
    <n v="0.6997796817625459"/>
    <n v="14293000000"/>
    <n v="0.18408812729498164"/>
    <n v="3760000000"/>
  </r>
  <r>
    <s v="LVLT"/>
    <n v="1"/>
    <x v="0"/>
    <d v="2012-12-31T00:00:00"/>
    <n v="6376000000"/>
    <n v="3851000000"/>
    <n v="1201000000"/>
    <n v="0"/>
    <n v="749000000"/>
    <x v="9"/>
    <x v="95"/>
    <n v="0.39601631116687575"/>
    <n v="2525000000"/>
    <n v="9.0181932245922206E-2"/>
    <n v="575000000"/>
  </r>
  <r>
    <s v="LVLT"/>
    <n v="2"/>
    <x v="1"/>
    <d v="2013-12-31T00:00:00"/>
    <n v="6313000000"/>
    <n v="3685000000"/>
    <n v="1162000000"/>
    <n v="0"/>
    <n v="800000000"/>
    <x v="9"/>
    <x v="95"/>
    <n v="0.4162838587042611"/>
    <n v="2628000000"/>
    <n v="0.10549659432916204"/>
    <n v="666000000"/>
  </r>
  <r>
    <s v="LVLT"/>
    <n v="3"/>
    <x v="2"/>
    <d v="2014-12-31T00:00:00"/>
    <n v="6777000000"/>
    <n v="3775000000"/>
    <n v="1181000000"/>
    <n v="0"/>
    <n v="808000000"/>
    <x v="9"/>
    <x v="95"/>
    <n v="0.4429688652796222"/>
    <n v="3002000000"/>
    <n v="0.14947616939648811"/>
    <n v="1013000000"/>
  </r>
  <r>
    <s v="LVLT"/>
    <n v="4"/>
    <x v="3"/>
    <d v="2015-12-31T00:00:00"/>
    <n v="8229000000"/>
    <n v="4265000000"/>
    <n v="1467000000"/>
    <n v="0"/>
    <n v="1166000000"/>
    <x v="9"/>
    <x v="95"/>
    <n v="0.48171102199538218"/>
    <n v="3964000000"/>
    <n v="0.16174504800097217"/>
    <n v="1331000000"/>
  </r>
  <r>
    <s v="LYB"/>
    <n v="1"/>
    <x v="0"/>
    <d v="2012-12-31T00:00:00"/>
    <n v="45352000000"/>
    <n v="39595000000"/>
    <n v="909000000"/>
    <n v="172000000"/>
    <n v="0"/>
    <x v="7"/>
    <x v="61"/>
    <n v="0.12694037749162113"/>
    <n v="5757000000"/>
    <n v="0.10310460398659375"/>
    <n v="4676000000"/>
  </r>
  <r>
    <s v="LYB"/>
    <n v="2"/>
    <x v="1"/>
    <d v="2013-12-31T00:00:00"/>
    <n v="44062000000"/>
    <n v="37940000000"/>
    <n v="870000000"/>
    <n v="150000000"/>
    <n v="0"/>
    <x v="7"/>
    <x v="61"/>
    <n v="0.13894058372293583"/>
    <n v="6122000000"/>
    <n v="0.11579138486677863"/>
    <n v="5102000000"/>
  </r>
  <r>
    <s v="LYB"/>
    <n v="3"/>
    <x v="2"/>
    <d v="2014-12-31T00:00:00"/>
    <n v="45608000000"/>
    <n v="38939000000"/>
    <n v="806000000"/>
    <n v="127000000"/>
    <n v="0"/>
    <x v="7"/>
    <x v="61"/>
    <n v="0.14622434660585859"/>
    <n v="6669000000"/>
    <n v="0.12576740922645149"/>
    <n v="5736000000"/>
  </r>
  <r>
    <s v="LYB"/>
    <n v="4"/>
    <x v="3"/>
    <d v="2015-12-31T00:00:00"/>
    <n v="32735000000"/>
    <n v="25683000000"/>
    <n v="828000000"/>
    <n v="102000000"/>
    <n v="0"/>
    <x v="7"/>
    <x v="61"/>
    <n v="0.21542691308996487"/>
    <n v="7052000000"/>
    <n v="0.18701695433022758"/>
    <n v="6122000000"/>
  </r>
  <r>
    <s v="M"/>
    <n v="1"/>
    <x v="1"/>
    <d v="2013-02-02T00:00:00"/>
    <n v="27686000000"/>
    <n v="16538000000"/>
    <n v="8482000000"/>
    <n v="0"/>
    <n v="0"/>
    <x v="1"/>
    <x v="91"/>
    <n v="0.40265838329841797"/>
    <n v="11148000000"/>
    <n v="9.6294155891064076E-2"/>
    <n v="2666000000"/>
  </r>
  <r>
    <s v="M"/>
    <n v="2"/>
    <x v="2"/>
    <d v="2014-02-01T00:00:00"/>
    <n v="27931000000"/>
    <n v="16725000000"/>
    <n v="8440000000"/>
    <n v="0"/>
    <n v="0"/>
    <x v="1"/>
    <x v="91"/>
    <n v="0.40120296444810422"/>
    <n v="11206000000"/>
    <n v="9.9029751888582582E-2"/>
    <n v="2766000000"/>
  </r>
  <r>
    <s v="M"/>
    <n v="3"/>
    <x v="3"/>
    <d v="2015-01-31T00:00:00"/>
    <n v="28105000000"/>
    <n v="16863000000"/>
    <n v="8355000000"/>
    <n v="0"/>
    <n v="0"/>
    <x v="1"/>
    <x v="91"/>
    <n v="0.4"/>
    <n v="11242000000"/>
    <n v="0.10272193559864792"/>
    <n v="2887000000"/>
  </r>
  <r>
    <s v="M"/>
    <n v="4"/>
    <x v="4"/>
    <d v="2016-01-30T00:00:00"/>
    <n v="27079000000"/>
    <n v="16496000000"/>
    <n v="8256000000"/>
    <n v="0"/>
    <n v="0"/>
    <x v="1"/>
    <x v="91"/>
    <n v="0.39081945418959341"/>
    <n v="10583000000"/>
    <n v="8.5933749399903989E-2"/>
    <n v="2327000000"/>
  </r>
  <r>
    <s v="MA"/>
    <n v="1"/>
    <x v="1"/>
    <d v="2013-12-31T00:00:00"/>
    <n v="8312000000"/>
    <n v="0"/>
    <n v="3456000000"/>
    <n v="0"/>
    <n v="258000000"/>
    <x v="2"/>
    <x v="15"/>
    <n v="1"/>
    <n v="8312000000"/>
    <n v="0.55317613089509143"/>
    <n v="4598000000"/>
  </r>
  <r>
    <s v="MA"/>
    <n v="2"/>
    <x v="2"/>
    <d v="2014-12-31T00:00:00"/>
    <n v="9441000000"/>
    <n v="0"/>
    <n v="4014000000"/>
    <n v="0"/>
    <n v="321000000"/>
    <x v="2"/>
    <x v="15"/>
    <n v="1"/>
    <n v="9441000000"/>
    <n v="0.54083253892596128"/>
    <n v="5106000000"/>
  </r>
  <r>
    <s v="MA"/>
    <n v="3"/>
    <x v="3"/>
    <d v="2015-12-31T00:00:00"/>
    <n v="9667000000"/>
    <n v="0"/>
    <n v="4162000000"/>
    <n v="0"/>
    <n v="366000000"/>
    <x v="2"/>
    <x v="15"/>
    <n v="1"/>
    <n v="9667000000"/>
    <n v="0.53160235853936066"/>
    <n v="5139000000"/>
  </r>
  <r>
    <s v="MA"/>
    <n v="4"/>
    <x v="4"/>
    <d v="2016-12-31T00:00:00"/>
    <n v="10776000000"/>
    <n v="0"/>
    <n v="4525000000"/>
    <n v="0"/>
    <n v="373000000"/>
    <x v="2"/>
    <x v="15"/>
    <n v="1"/>
    <n v="10776000000"/>
    <n v="0.54547141796585008"/>
    <n v="5878000000"/>
  </r>
  <r>
    <s v="MAA"/>
    <n v="1"/>
    <x v="0"/>
    <d v="2012-12-31T00:00:00"/>
    <n v="475888000"/>
    <n v="117275000"/>
    <n v="47115000"/>
    <n v="0"/>
    <n v="121211000"/>
    <x v="6"/>
    <x v="67"/>
    <n v="0.75356596510103224"/>
    <n v="358613000"/>
    <n v="0.39985668896883303"/>
    <n v="190287000"/>
  </r>
  <r>
    <s v="MAA"/>
    <n v="2"/>
    <x v="1"/>
    <d v="2013-12-31T00:00:00"/>
    <n v="635490000"/>
    <n v="172050000"/>
    <n v="43720000"/>
    <n v="0"/>
    <n v="186979000"/>
    <x v="6"/>
    <x v="67"/>
    <n v="0.72926403247887461"/>
    <n v="463440000"/>
    <n v="0.36623865049017296"/>
    <n v="232741000"/>
  </r>
  <r>
    <s v="MAA"/>
    <n v="3"/>
    <x v="2"/>
    <d v="2014-12-31T00:00:00"/>
    <n v="992332000"/>
    <n v="275379000"/>
    <n v="57664000"/>
    <n v="0"/>
    <n v="301812000"/>
    <x v="6"/>
    <x v="67"/>
    <n v="0.72249307691377485"/>
    <n v="716953000"/>
    <n v="0.36023931506794099"/>
    <n v="357477000"/>
  </r>
  <r>
    <s v="MAA"/>
    <n v="4"/>
    <x v="3"/>
    <d v="2015-12-31T00:00:00"/>
    <n v="1042779000"/>
    <n v="280901000"/>
    <n v="53992000"/>
    <n v="0"/>
    <n v="294520000"/>
    <x v="6"/>
    <x v="67"/>
    <n v="0.73062269186471918"/>
    <n v="761878000"/>
    <n v="0.39640805961761794"/>
    <n v="413366000"/>
  </r>
  <r>
    <s v="MAC"/>
    <n v="1"/>
    <x v="0"/>
    <d v="2012-12-31T00:00:00"/>
    <n v="797517000"/>
    <n v="337533000"/>
    <n v="20412000"/>
    <n v="0"/>
    <n v="277621000"/>
    <x v="6"/>
    <x v="73"/>
    <n v="0.57677015035416179"/>
    <n v="459984000"/>
    <n v="0.20306902548785793"/>
    <n v="161951000"/>
  </r>
  <r>
    <s v="MAC"/>
    <n v="2"/>
    <x v="1"/>
    <d v="2013-12-31T00:00:00"/>
    <n v="1029475000"/>
    <n v="423256000"/>
    <n v="27772000"/>
    <n v="0"/>
    <n v="357165000"/>
    <x v="6"/>
    <x v="73"/>
    <n v="0.58886228417397213"/>
    <n v="606219000"/>
    <n v="0.21494645328929796"/>
    <n v="221282000"/>
  </r>
  <r>
    <s v="MAC"/>
    <n v="3"/>
    <x v="2"/>
    <d v="2014-12-31T00:00:00"/>
    <n v="1105247000"/>
    <n v="441929000"/>
    <n v="29412000"/>
    <n v="0"/>
    <n v="378716000"/>
    <x v="6"/>
    <x v="73"/>
    <n v="0.60015363081736472"/>
    <n v="663318000"/>
    <n v="0.23088956586174855"/>
    <n v="255190000"/>
  </r>
  <r>
    <s v="MAC"/>
    <n v="4"/>
    <x v="3"/>
    <d v="2015-12-31T00:00:00"/>
    <n v="1288149000"/>
    <n v="497359000"/>
    <n v="29870000"/>
    <n v="0"/>
    <n v="464472000"/>
    <x v="6"/>
    <x v="73"/>
    <n v="0.61389637378905704"/>
    <n v="790790000"/>
    <n v="0.23013486793841395"/>
    <n v="296448000"/>
  </r>
  <r>
    <s v="MAR"/>
    <n v="1"/>
    <x v="0"/>
    <d v="2012-12-31T00:00:00"/>
    <n v="11814000000"/>
    <n v="10190000000"/>
    <n v="582000000"/>
    <n v="0"/>
    <n v="102000000"/>
    <x v="1"/>
    <x v="41"/>
    <n v="0.13746402573218219"/>
    <n v="1624000000"/>
    <n v="7.9566615879465036E-2"/>
    <n v="940000000"/>
  </r>
  <r>
    <s v="MAR"/>
    <n v="2"/>
    <x v="1"/>
    <d v="2013-12-31T00:00:00"/>
    <n v="12784000000"/>
    <n v="11020000000"/>
    <n v="649000000"/>
    <n v="0"/>
    <n v="127000000"/>
    <x v="1"/>
    <x v="41"/>
    <n v="0.13798498122653313"/>
    <n v="1764000000"/>
    <n v="7.7284105131414274E-2"/>
    <n v="988000000"/>
  </r>
  <r>
    <s v="MAR"/>
    <n v="3"/>
    <x v="2"/>
    <d v="2014-12-31T00:00:00"/>
    <n v="13796000000"/>
    <n v="11830000000"/>
    <n v="659000000"/>
    <n v="0"/>
    <n v="148000000"/>
    <x v="1"/>
    <x v="41"/>
    <n v="0.14250507393447376"/>
    <n v="1966000000"/>
    <n v="8.400985792983473E-2"/>
    <n v="1159000000"/>
  </r>
  <r>
    <s v="MAR"/>
    <n v="4"/>
    <x v="3"/>
    <d v="2015-12-31T00:00:00"/>
    <n v="14486000000"/>
    <n v="12363000000"/>
    <n v="634000000"/>
    <n v="0"/>
    <n v="139000000"/>
    <x v="1"/>
    <x v="41"/>
    <n v="0.14655529476736162"/>
    <n v="2123000000"/>
    <n v="9.319342813751208E-2"/>
    <n v="1350000000"/>
  </r>
  <r>
    <s v="MAS"/>
    <n v="1"/>
    <x v="1"/>
    <d v="2013-12-31T00:00:00"/>
    <n v="6761000000"/>
    <n v="4802000000"/>
    <n v="1347000000"/>
    <n v="0"/>
    <n v="0"/>
    <x v="0"/>
    <x v="18"/>
    <n v="0.28975003697677859"/>
    <n v="1959000000"/>
    <n v="9.0519153971306027E-2"/>
    <n v="612000000"/>
  </r>
  <r>
    <s v="MAS"/>
    <n v="2"/>
    <x v="2"/>
    <d v="2014-12-31T00:00:00"/>
    <n v="7006000000"/>
    <n v="4946000000"/>
    <n v="1338000000"/>
    <n v="0"/>
    <n v="0"/>
    <x v="0"/>
    <x v="18"/>
    <n v="0.29403368541250352"/>
    <n v="2060000000"/>
    <n v="0.10305452469312018"/>
    <n v="722000000"/>
  </r>
  <r>
    <s v="MAS"/>
    <n v="3"/>
    <x v="3"/>
    <d v="2015-12-31T00:00:00"/>
    <n v="7142000000"/>
    <n v="4889000000"/>
    <n v="1339000000"/>
    <n v="0"/>
    <n v="0"/>
    <x v="0"/>
    <x v="18"/>
    <n v="0.31545785494259315"/>
    <n v="2253000000"/>
    <n v="0.12797535704284513"/>
    <n v="914000000"/>
  </r>
  <r>
    <s v="MAS"/>
    <n v="4"/>
    <x v="4"/>
    <d v="2016-12-31T00:00:00"/>
    <n v="7357000000"/>
    <n v="4901000000"/>
    <n v="1403000000"/>
    <n v="0"/>
    <n v="0"/>
    <x v="0"/>
    <x v="18"/>
    <n v="0.33383172488786195"/>
    <n v="2456000000"/>
    <n v="0.14312899279597663"/>
    <n v="1053000000"/>
  </r>
  <r>
    <s v="MAT"/>
    <n v="1"/>
    <x v="0"/>
    <d v="2012-12-31T00:00:00"/>
    <n v="6420881000"/>
    <n v="3011684000"/>
    <n v="2388182000"/>
    <n v="0"/>
    <n v="0"/>
    <x v="1"/>
    <x v="77"/>
    <n v="0.53095470855167692"/>
    <n v="3409197000"/>
    <n v="0.15901478317383549"/>
    <n v="1021015000"/>
  </r>
  <r>
    <s v="MAT"/>
    <n v="2"/>
    <x v="1"/>
    <d v="2013-12-31T00:00:00"/>
    <n v="6484892000"/>
    <n v="3006009000"/>
    <n v="2310780000"/>
    <n v="0"/>
    <n v="0"/>
    <x v="1"/>
    <x v="77"/>
    <n v="0.53645966656036825"/>
    <n v="3478883000"/>
    <n v="0.18012682400878843"/>
    <n v="1168103000"/>
  </r>
  <r>
    <s v="MAT"/>
    <n v="3"/>
    <x v="2"/>
    <d v="2014-12-31T00:00:00"/>
    <n v="6023819000"/>
    <n v="3022797000"/>
    <n v="2347308000"/>
    <n v="0"/>
    <n v="0"/>
    <x v="1"/>
    <x v="77"/>
    <n v="0.49819259177608088"/>
    <n v="3001022000"/>
    <n v="0.10852152098195514"/>
    <n v="653714000"/>
  </r>
  <r>
    <s v="MAT"/>
    <n v="4"/>
    <x v="3"/>
    <d v="2015-12-31T00:00:00"/>
    <n v="5702613000"/>
    <n v="2896255000"/>
    <n v="2265436000"/>
    <n v="0"/>
    <n v="0"/>
    <x v="1"/>
    <x v="77"/>
    <n v="0.49211791156089324"/>
    <n v="2806358000"/>
    <n v="9.4855112910520137E-2"/>
    <n v="540922000"/>
  </r>
  <r>
    <s v="MCD"/>
    <n v="1"/>
    <x v="0"/>
    <d v="2012-12-31T00:00:00"/>
    <n v="27567000000"/>
    <n v="16750700000"/>
    <n v="2211700000"/>
    <n v="0"/>
    <n v="0"/>
    <x v="1"/>
    <x v="50"/>
    <n v="0.39236405847571376"/>
    <n v="10816300000"/>
    <n v="0.31213407334856896"/>
    <n v="8604600000"/>
  </r>
  <r>
    <s v="MCD"/>
    <n v="2"/>
    <x v="1"/>
    <d v="2013-12-31T00:00:00"/>
    <n v="28105700000"/>
    <n v="17203000000"/>
    <n v="2138400000"/>
    <n v="0"/>
    <n v="0"/>
    <x v="1"/>
    <x v="50"/>
    <n v="0.38791775333829082"/>
    <n v="10902700000"/>
    <n v="0.31183354266216462"/>
    <n v="8764300000"/>
  </r>
  <r>
    <s v="MCD"/>
    <n v="3"/>
    <x v="2"/>
    <d v="2014-12-31T00:00:00"/>
    <n v="27441300000"/>
    <n v="16985600000"/>
    <n v="2506500000"/>
    <n v="0"/>
    <n v="0"/>
    <x v="1"/>
    <x v="50"/>
    <n v="0.38102057847113657"/>
    <n v="10455700000"/>
    <n v="0.28968015363703614"/>
    <n v="7949200000"/>
  </r>
  <r>
    <s v="MCD"/>
    <n v="4"/>
    <x v="3"/>
    <d v="2015-12-31T00:00:00"/>
    <n v="25413000000"/>
    <n v="15623800000"/>
    <n v="2643700000"/>
    <n v="0"/>
    <n v="0"/>
    <x v="1"/>
    <x v="50"/>
    <n v="0.3852044229331445"/>
    <n v="9789200000"/>
    <n v="0.28117498917876677"/>
    <n v="7145500000"/>
  </r>
  <r>
    <s v="MCHP"/>
    <n v="1"/>
    <x v="1"/>
    <d v="2013-03-31T00:00:00"/>
    <n v="1581623000"/>
    <n v="743164000"/>
    <n v="261471000"/>
    <n v="254723000"/>
    <n v="111537000"/>
    <x v="2"/>
    <x v="7"/>
    <n v="0.53012569999298187"/>
    <n v="838459000"/>
    <n v="0.13323529058441866"/>
    <n v="210728000"/>
  </r>
  <r>
    <s v="MCHP"/>
    <n v="2"/>
    <x v="2"/>
    <d v="2014-03-31T00:00:00"/>
    <n v="1931217000"/>
    <n v="802474000"/>
    <n v="267278000"/>
    <n v="305043000"/>
    <n v="94534000"/>
    <x v="2"/>
    <x v="7"/>
    <n v="0.58447238192290141"/>
    <n v="1128743000"/>
    <n v="0.23916939422136405"/>
    <n v="461888000"/>
  </r>
  <r>
    <s v="MCHP"/>
    <n v="3"/>
    <x v="3"/>
    <d v="2015-03-31T00:00:00"/>
    <n v="2147036000"/>
    <n v="917472000"/>
    <n v="274815000"/>
    <n v="349543000"/>
    <n v="176746000"/>
    <x v="2"/>
    <x v="7"/>
    <n v="0.57267973149961149"/>
    <n v="1229564000"/>
    <n v="0.19955883366650581"/>
    <n v="428460000"/>
  </r>
  <r>
    <s v="MCHP"/>
    <n v="4"/>
    <x v="4"/>
    <d v="2016-03-31T00:00:00"/>
    <n v="2173334000"/>
    <n v="967870000"/>
    <n v="301670000"/>
    <n v="372596000"/>
    <n v="174896000"/>
    <x v="2"/>
    <x v="7"/>
    <n v="0.5546611795517854"/>
    <n v="1205464000"/>
    <n v="0.16394258774767248"/>
    <n v="356302000"/>
  </r>
  <r>
    <s v="CAH"/>
    <n v="1"/>
    <x v="1"/>
    <d v="2013-06-30T00:00:00"/>
    <n v="101093000000"/>
    <n v="96172000000"/>
    <n v="2875000000"/>
    <n v="0"/>
    <n v="158000000"/>
    <x v="10"/>
    <x v="85"/>
    <n v="4.8677950006429715E-2"/>
    <n v="4921000000"/>
    <n v="1.8675872711265865E-2"/>
    <n v="1888000000"/>
  </r>
  <r>
    <s v="CAH"/>
    <n v="2"/>
    <x v="2"/>
    <d v="2014-06-30T00:00:00"/>
    <n v="91084000000"/>
    <n v="85923000000"/>
    <n v="3028000000"/>
    <n v="0"/>
    <n v="223000000"/>
    <x v="10"/>
    <x v="85"/>
    <n v="5.6661982345966311E-2"/>
    <n v="5161000000"/>
    <n v="2.0969654384963329E-2"/>
    <n v="1910000000"/>
  </r>
  <r>
    <s v="CAH"/>
    <n v="3"/>
    <x v="3"/>
    <d v="2015-06-30T00:00:00"/>
    <n v="102531000000"/>
    <n v="96819000000"/>
    <n v="3240000000"/>
    <n v="0"/>
    <n v="281000000"/>
    <x v="10"/>
    <x v="85"/>
    <n v="5.570998039617292E-2"/>
    <n v="5712000000"/>
    <n v="2.1369146892159446E-2"/>
    <n v="2191000000"/>
  </r>
  <r>
    <s v="CAH"/>
    <n v="4"/>
    <x v="4"/>
    <d v="2016-06-30T00:00:00"/>
    <n v="121546000000"/>
    <n v="115003000000"/>
    <n v="3648000000"/>
    <n v="0"/>
    <n v="459000000"/>
    <x v="10"/>
    <x v="85"/>
    <n v="5.3831471212545057E-2"/>
    <n v="6543000000"/>
    <n v="2.004179487601402E-2"/>
    <n v="2436000000"/>
  </r>
  <r>
    <s v="CELG"/>
    <n v="1"/>
    <x v="1"/>
    <d v="2013-12-31T00:00:00"/>
    <n v="6493900000"/>
    <n v="340400000"/>
    <n v="1684500000"/>
    <n v="2226200000"/>
    <n v="262800000"/>
    <x v="10"/>
    <x v="87"/>
    <n v="0.94758157655646069"/>
    <n v="6153500000"/>
    <n v="0.30490152296770817"/>
    <n v="1980000000"/>
  </r>
  <r>
    <s v="CELG"/>
    <n v="2"/>
    <x v="2"/>
    <d v="2014-12-31T00:00:00"/>
    <n v="7670400000"/>
    <n v="385900000"/>
    <n v="2027900000"/>
    <n v="2430600000"/>
    <n v="258300000"/>
    <x v="10"/>
    <x v="87"/>
    <n v="0.94968971631205679"/>
    <n v="7284500000"/>
    <n v="0.33475438047559447"/>
    <n v="2567700000"/>
  </r>
  <r>
    <s v="CELG"/>
    <n v="3"/>
    <x v="3"/>
    <d v="2015-12-31T00:00:00"/>
    <n v="9256000000"/>
    <n v="420100000"/>
    <n v="2305400000"/>
    <n v="3697300000"/>
    <n v="279000000"/>
    <x v="10"/>
    <x v="87"/>
    <n v="0.95461322385479686"/>
    <n v="8835900000"/>
    <n v="0.27595073465859982"/>
    <n v="2554200000"/>
  </r>
  <r>
    <s v="CELG"/>
    <n v="4"/>
    <x v="4"/>
    <d v="2016-12-31T00:00:00"/>
    <n v="11229200000"/>
    <n v="438000000"/>
    <n v="2657700000"/>
    <n v="4470100000"/>
    <n v="459000000"/>
    <x v="10"/>
    <x v="87"/>
    <n v="0.96099454992341393"/>
    <n v="10791200000"/>
    <n v="0.28536316033199161"/>
    <n v="3204400000"/>
  </r>
  <r>
    <s v="MDLZ"/>
    <n v="1"/>
    <x v="0"/>
    <d v="2012-12-31T00:00:00"/>
    <n v="35015000000"/>
    <n v="21939000000"/>
    <n v="9176000000"/>
    <n v="0"/>
    <n v="217000000"/>
    <x v="4"/>
    <x v="37"/>
    <n v="0.37343995430529775"/>
    <n v="13076000000"/>
    <n v="0.1051834927888048"/>
    <n v="3683000000"/>
  </r>
  <r>
    <s v="MDLZ"/>
    <n v="2"/>
    <x v="1"/>
    <d v="2013-12-31T00:00:00"/>
    <n v="35299000000"/>
    <n v="22189000000"/>
    <n v="8679000000"/>
    <n v="0"/>
    <n v="217000000"/>
    <x v="4"/>
    <x v="37"/>
    <n v="0.37139862319045869"/>
    <n v="13110000000"/>
    <n v="0.11938015241224964"/>
    <n v="4214000000"/>
  </r>
  <r>
    <s v="MDLZ"/>
    <n v="3"/>
    <x v="2"/>
    <d v="2014-12-31T00:00:00"/>
    <n v="34244000000"/>
    <n v="21647000000"/>
    <n v="8457000000"/>
    <n v="0"/>
    <n v="206000000"/>
    <x v="4"/>
    <x v="37"/>
    <n v="0.36786006307674335"/>
    <n v="12597000000"/>
    <n v="0.11488143908421913"/>
    <n v="3934000000"/>
  </r>
  <r>
    <s v="MDLZ"/>
    <n v="4"/>
    <x v="3"/>
    <d v="2015-12-31T00:00:00"/>
    <n v="29636000000"/>
    <n v="18124000000"/>
    <n v="7577000000"/>
    <n v="0"/>
    <n v="181000000"/>
    <x v="4"/>
    <x v="37"/>
    <n v="0.38844648400593873"/>
    <n v="11512000000"/>
    <n v="0.12667026589283303"/>
    <n v="3754000000"/>
  </r>
  <r>
    <s v="CERN"/>
    <n v="1"/>
    <x v="1"/>
    <d v="2013-12-28T00:00:00"/>
    <n v="2910748000"/>
    <n v="514722000"/>
    <n v="1468434000"/>
    <n v="338786000"/>
    <n v="12794000"/>
    <x v="10"/>
    <x v="96"/>
    <n v="0.82316504211288644"/>
    <n v="2396026000"/>
    <n v="0.19789140111064235"/>
    <n v="576012000"/>
  </r>
  <r>
    <s v="CERN"/>
    <n v="2"/>
    <x v="3"/>
    <d v="2015-01-03T00:00:00"/>
    <n v="3402703000"/>
    <n v="604377000"/>
    <n v="1628961000"/>
    <n v="392805000"/>
    <n v="13476000"/>
    <x v="10"/>
    <x v="96"/>
    <n v="0.82238326412854723"/>
    <n v="2798326000"/>
    <n v="0.22425818533089723"/>
    <n v="763084000"/>
  </r>
  <r>
    <s v="CERN"/>
    <n v="3"/>
    <x v="4"/>
    <d v="2016-01-02T00:00:00"/>
    <n v="4425267000"/>
    <n v="750781000"/>
    <n v="2262024000"/>
    <n v="539799000"/>
    <n v="91527000"/>
    <x v="10"/>
    <x v="96"/>
    <n v="0.83034221437938094"/>
    <n v="3674486000"/>
    <n v="0.17651725873263693"/>
    <n v="781136000"/>
  </r>
  <r>
    <s v="CERN"/>
    <n v="4"/>
    <x v="4"/>
    <d v="2016-12-31T00:00:00"/>
    <n v="4796473000"/>
    <n v="779116000"/>
    <n v="2464380000"/>
    <n v="551418000"/>
    <n v="90546000"/>
    <x v="10"/>
    <x v="96"/>
    <n v="0.8375648106431538"/>
    <n v="4017357000"/>
    <n v="0.18993393687403223"/>
    <n v="911013000"/>
  </r>
  <r>
    <s v="MHK"/>
    <n v="1"/>
    <x v="0"/>
    <d v="2012-12-31T00:00:00"/>
    <n v="5787980000"/>
    <n v="4297922000"/>
    <n v="1110550000"/>
    <n v="0"/>
    <n v="0"/>
    <x v="1"/>
    <x v="97"/>
    <n v="0.25744007408456837"/>
    <n v="1490058000"/>
    <n v="6.5568298439179121E-2"/>
    <n v="379508000"/>
  </r>
  <r>
    <s v="MHK"/>
    <n v="2"/>
    <x v="1"/>
    <d v="2013-12-31T00:00:00"/>
    <n v="7348754000"/>
    <n v="5427945000"/>
    <n v="1373878000"/>
    <n v="0"/>
    <n v="0"/>
    <x v="1"/>
    <x v="97"/>
    <n v="0.26137886776452168"/>
    <n v="1920809000"/>
    <n v="7.4424997761525294E-2"/>
    <n v="546931000"/>
  </r>
  <r>
    <s v="MHK"/>
    <n v="3"/>
    <x v="2"/>
    <d v="2014-12-31T00:00:00"/>
    <n v="7803446000"/>
    <n v="5649254000"/>
    <n v="1381396000"/>
    <n v="0"/>
    <n v="0"/>
    <x v="1"/>
    <x v="97"/>
    <n v="0.27605650119190928"/>
    <n v="2154192000"/>
    <n v="9.9032658135905602E-2"/>
    <n v="772796000"/>
  </r>
  <r>
    <s v="MHK"/>
    <n v="4"/>
    <x v="3"/>
    <d v="2015-12-31T00:00:00"/>
    <n v="8071563000"/>
    <n v="5660877000"/>
    <n v="1573120000"/>
    <n v="0"/>
    <n v="0"/>
    <x v="1"/>
    <x v="97"/>
    <n v="0.29866408773616704"/>
    <n v="2410686000"/>
    <n v="0.10376751070393678"/>
    <n v="837566000"/>
  </r>
  <r>
    <s v="MJN"/>
    <n v="1"/>
    <x v="0"/>
    <d v="2012-12-31T00:00:00"/>
    <n v="3901300000"/>
    <n v="1503800000"/>
    <n v="1457300000"/>
    <n v="100100000"/>
    <n v="0"/>
    <x v="4"/>
    <x v="37"/>
    <n v="0.61453874349575788"/>
    <n v="2397500000"/>
    <n v="0.21533847691795044"/>
    <n v="840100000"/>
  </r>
  <r>
    <s v="MJN"/>
    <n v="2"/>
    <x v="1"/>
    <d v="2013-12-31T00:00:00"/>
    <n v="4200700000"/>
    <n v="1528500000"/>
    <n v="1548600000"/>
    <n v="100200000"/>
    <n v="0"/>
    <x v="4"/>
    <x v="37"/>
    <n v="0.63613207322589094"/>
    <n v="2672200000"/>
    <n v="0.24362606232294617"/>
    <n v="1023400000"/>
  </r>
  <r>
    <s v="MJN"/>
    <n v="3"/>
    <x v="2"/>
    <d v="2014-12-31T00:00:00"/>
    <n v="4409300000"/>
    <n v="1700600000"/>
    <n v="1617600000"/>
    <n v="115100000"/>
    <n v="0"/>
    <x v="4"/>
    <x v="37"/>
    <n v="0.61431519742362739"/>
    <n v="2708700000"/>
    <n v="0.22135032771641758"/>
    <n v="976000000"/>
  </r>
  <r>
    <s v="MJN"/>
    <n v="4"/>
    <x v="3"/>
    <d v="2015-12-31T00:00:00"/>
    <n v="4071300000"/>
    <n v="1455300000"/>
    <n v="1532400000"/>
    <n v="108400000"/>
    <n v="0"/>
    <x v="4"/>
    <x v="37"/>
    <n v="0.64254660673494945"/>
    <n v="2616000000"/>
    <n v="0.23953037113452705"/>
    <n v="975200000"/>
  </r>
  <r>
    <s v="MKC"/>
    <n v="1"/>
    <x v="1"/>
    <d v="2013-11-30T00:00:00"/>
    <n v="4123400000"/>
    <n v="2457600000"/>
    <n v="1090300000"/>
    <n v="0"/>
    <n v="0"/>
    <x v="4"/>
    <x v="37"/>
    <n v="0.40398700101857687"/>
    <n v="1665800000"/>
    <n v="0.13956928748120484"/>
    <n v="575500000"/>
  </r>
  <r>
    <s v="MKC"/>
    <n v="2"/>
    <x v="2"/>
    <d v="2014-11-30T00:00:00"/>
    <n v="4243200000"/>
    <n v="2513000000"/>
    <n v="1122000000"/>
    <n v="0"/>
    <n v="0"/>
    <x v="4"/>
    <x v="37"/>
    <n v="0.40775829562594268"/>
    <n v="1730200000"/>
    <n v="0.14333521870286575"/>
    <n v="608200000"/>
  </r>
  <r>
    <s v="MKC"/>
    <n v="3"/>
    <x v="3"/>
    <d v="2015-11-30T00:00:00"/>
    <n v="4296300000"/>
    <n v="2559000000"/>
    <n v="1127400000"/>
    <n v="0"/>
    <n v="0"/>
    <x v="4"/>
    <x v="37"/>
    <n v="0.40437120312827313"/>
    <n v="1737300000"/>
    <n v="0.14195936037986173"/>
    <n v="609900000"/>
  </r>
  <r>
    <s v="MKC"/>
    <n v="4"/>
    <x v="4"/>
    <d v="2016-11-30T00:00:00"/>
    <n v="4411500000"/>
    <n v="2579800000"/>
    <n v="1175000000"/>
    <n v="0"/>
    <n v="0"/>
    <x v="4"/>
    <x v="37"/>
    <n v="0.4152102459480902"/>
    <n v="1831700000"/>
    <n v="0.14886093165589936"/>
    <n v="656700000"/>
  </r>
  <r>
    <s v="MLM"/>
    <n v="1"/>
    <x v="0"/>
    <d v="2012-12-31T00:00:00"/>
    <n v="2031901000"/>
    <n v="1704767000"/>
    <n v="135824000"/>
    <n v="0"/>
    <n v="0"/>
    <x v="7"/>
    <x v="98"/>
    <n v="0.16099898567892823"/>
    <n v="327134000"/>
    <n v="9.4153209236079907E-2"/>
    <n v="191310000"/>
  </r>
  <r>
    <s v="MLM"/>
    <n v="2"/>
    <x v="1"/>
    <d v="2013-12-31T00:00:00"/>
    <n v="2155551000"/>
    <n v="1791594000"/>
    <n v="145298000"/>
    <n v="0"/>
    <n v="0"/>
    <x v="7"/>
    <x v="98"/>
    <n v="0.16884638776813909"/>
    <n v="363957000"/>
    <n v="0.10143995665145478"/>
    <n v="218659000"/>
  </r>
  <r>
    <s v="MLM"/>
    <n v="3"/>
    <x v="2"/>
    <d v="2014-12-31T00:00:00"/>
    <n v="2957951000"/>
    <n v="2435591000"/>
    <n v="164596000"/>
    <n v="0"/>
    <n v="0"/>
    <x v="7"/>
    <x v="98"/>
    <n v="0.17659521743260786"/>
    <n v="522360000"/>
    <n v="0.12094994136143566"/>
    <n v="357764000"/>
  </r>
  <r>
    <s v="MLM"/>
    <n v="4"/>
    <x v="3"/>
    <d v="2015-12-31T00:00:00"/>
    <n v="3539570000"/>
    <n v="2817803000"/>
    <n v="233887000"/>
    <n v="0"/>
    <n v="0"/>
    <x v="7"/>
    <x v="98"/>
    <n v="0.20391375223544106"/>
    <n v="721767000"/>
    <n v="0.13783595182465666"/>
    <n v="487880000"/>
  </r>
  <r>
    <s v="CI"/>
    <n v="1"/>
    <x v="0"/>
    <d v="2012-12-31T00:00:00"/>
    <n v="29119000000"/>
    <n v="17900000000"/>
    <n v="0"/>
    <n v="0"/>
    <n v="8742000000"/>
    <x v="10"/>
    <x v="89"/>
    <n v="0.38528108794944882"/>
    <n v="11219000000"/>
    <n v="8.5064734365877956E-2"/>
    <n v="2477000000"/>
  </r>
  <r>
    <s v="CI"/>
    <n v="2"/>
    <x v="1"/>
    <d v="2013-12-31T00:00:00"/>
    <n v="32380000000"/>
    <n v="20865000000"/>
    <n v="0"/>
    <n v="0"/>
    <n v="9339000000"/>
    <x v="10"/>
    <x v="89"/>
    <n v="0.35562075355157508"/>
    <n v="11515000000"/>
    <n v="6.7201976528721438E-2"/>
    <n v="2176000000"/>
  </r>
  <r>
    <s v="CI"/>
    <n v="3"/>
    <x v="2"/>
    <d v="2014-12-31T00:00:00"/>
    <n v="34914000000"/>
    <n v="21334000000"/>
    <n v="0"/>
    <n v="0"/>
    <n v="10276000000"/>
    <x v="10"/>
    <x v="89"/>
    <n v="0.38895571976857424"/>
    <n v="13580000000"/>
    <n v="9.4632525634415987E-2"/>
    <n v="3304000000"/>
  </r>
  <r>
    <s v="CI"/>
    <n v="4"/>
    <x v="3"/>
    <d v="2015-12-31T00:00:00"/>
    <n v="37876000000"/>
    <n v="23290000000"/>
    <n v="0"/>
    <n v="0"/>
    <n v="11259000000"/>
    <x v="10"/>
    <x v="89"/>
    <n v="0.38509874326750448"/>
    <n v="14586000000"/>
    <n v="8.7839264969901784E-2"/>
    <n v="3327000000"/>
  </r>
  <r>
    <s v="MMM"/>
    <n v="1"/>
    <x v="1"/>
    <d v="2013-12-31T00:00:00"/>
    <n v="30871000000"/>
    <n v="16106000000"/>
    <n v="6384000000"/>
    <n v="1715000000"/>
    <n v="0"/>
    <x v="0"/>
    <x v="52"/>
    <n v="0.47828058695863429"/>
    <n v="14765000000"/>
    <n v="0.21593080884972951"/>
    <n v="6666000000"/>
  </r>
  <r>
    <s v="MMM"/>
    <n v="2"/>
    <x v="2"/>
    <d v="2014-12-31T00:00:00"/>
    <n v="31821000000"/>
    <n v="16447000000"/>
    <n v="6469000000"/>
    <n v="1770000000"/>
    <n v="0"/>
    <x v="0"/>
    <x v="52"/>
    <n v="0.48314006473712323"/>
    <n v="15374000000"/>
    <n v="0.2242229973916596"/>
    <n v="7135000000"/>
  </r>
  <r>
    <s v="MMM"/>
    <n v="3"/>
    <x v="3"/>
    <d v="2015-12-31T00:00:00"/>
    <n v="30274000000"/>
    <n v="15383000000"/>
    <n v="6182000000"/>
    <n v="1763000000"/>
    <n v="0"/>
    <x v="0"/>
    <x v="52"/>
    <n v="0.49187421549844756"/>
    <n v="14891000000"/>
    <n v="0.22943780141375439"/>
    <n v="6946000000"/>
  </r>
  <r>
    <s v="MMM"/>
    <n v="4"/>
    <x v="4"/>
    <d v="2016-12-31T00:00:00"/>
    <n v="30109000000"/>
    <n v="15040000000"/>
    <n v="6111000000"/>
    <n v="1735000000"/>
    <n v="0"/>
    <x v="0"/>
    <x v="52"/>
    <n v="0.50048158357966055"/>
    <n v="15069000000"/>
    <n v="0.23989504799229466"/>
    <n v="7223000000"/>
  </r>
  <r>
    <s v="MNST"/>
    <n v="1"/>
    <x v="0"/>
    <d v="2012-12-31T00:00:00"/>
    <n v="2060702000"/>
    <n v="995046000"/>
    <n v="0"/>
    <n v="0"/>
    <n v="0"/>
    <x v="4"/>
    <x v="66"/>
    <n v="0.51713251115396597"/>
    <n v="1065656000"/>
    <n v="0.51713251115396597"/>
    <n v="1065656000"/>
  </r>
  <r>
    <s v="MNST"/>
    <n v="2"/>
    <x v="1"/>
    <d v="2013-12-31T00:00:00"/>
    <n v="2246428000"/>
    <n v="1073497000"/>
    <n v="0"/>
    <n v="0"/>
    <n v="0"/>
    <x v="4"/>
    <x v="66"/>
    <n v="0.52213157955652267"/>
    <n v="1172931000"/>
    <n v="0.52213157955652267"/>
    <n v="1172931000"/>
  </r>
  <r>
    <s v="MNST"/>
    <n v="3"/>
    <x v="2"/>
    <d v="2014-12-31T00:00:00"/>
    <n v="2464867000"/>
    <n v="1125057000"/>
    <n v="0"/>
    <n v="0"/>
    <n v="0"/>
    <x v="4"/>
    <x v="66"/>
    <n v="0.54356279669450724"/>
    <n v="1339810000"/>
    <n v="0.54356279669450724"/>
    <n v="1339810000"/>
  </r>
  <r>
    <s v="MNST"/>
    <n v="4"/>
    <x v="3"/>
    <d v="2015-12-31T00:00:00"/>
    <n v="2722564000"/>
    <n v="1090263000"/>
    <n v="0"/>
    <n v="0"/>
    <n v="0"/>
    <x v="4"/>
    <x v="66"/>
    <n v="0.59954550196065182"/>
    <n v="1632301000"/>
    <n v="0.59954550196065182"/>
    <n v="1632301000"/>
  </r>
  <r>
    <s v="MO"/>
    <n v="1"/>
    <x v="0"/>
    <d v="2012-12-31T00:00:00"/>
    <n v="24618000000"/>
    <n v="15055000000"/>
    <n v="2249000000"/>
    <n v="0"/>
    <n v="0"/>
    <x v="4"/>
    <x v="99"/>
    <n v="0.38845560159233083"/>
    <n v="9563000000"/>
    <n v="0.29709968315866442"/>
    <n v="7314000000"/>
  </r>
  <r>
    <s v="MO"/>
    <n v="2"/>
    <x v="1"/>
    <d v="2013-12-31T00:00:00"/>
    <n v="24466000000"/>
    <n v="14009000000"/>
    <n v="2362000000"/>
    <n v="0"/>
    <n v="0"/>
    <x v="4"/>
    <x v="99"/>
    <n v="0.42740946619798903"/>
    <n v="10457000000"/>
    <n v="0.33086732608517944"/>
    <n v="8095000000"/>
  </r>
  <r>
    <s v="MO"/>
    <n v="3"/>
    <x v="2"/>
    <d v="2014-12-31T00:00:00"/>
    <n v="24522000000"/>
    <n v="14362000000"/>
    <n v="2541000000"/>
    <n v="0"/>
    <n v="0"/>
    <x v="4"/>
    <x v="99"/>
    <n v="0.41432183345567242"/>
    <n v="10160000000"/>
    <n v="0.31070059538373707"/>
    <n v="7619000000"/>
  </r>
  <r>
    <s v="MO"/>
    <n v="4"/>
    <x v="3"/>
    <d v="2015-12-31T00:00:00"/>
    <n v="25434000000"/>
    <n v="14320000000"/>
    <n v="2749000000"/>
    <n v="0"/>
    <n v="0"/>
    <x v="4"/>
    <x v="99"/>
    <n v="0.43697412911850275"/>
    <n v="11114000000"/>
    <n v="0.32889046158685226"/>
    <n v="8365000000"/>
  </r>
  <r>
    <s v="MON"/>
    <n v="1"/>
    <x v="1"/>
    <d v="2013-08-31T00:00:00"/>
    <n v="14861000000"/>
    <n v="7208000000"/>
    <n v="2550000000"/>
    <n v="1533000000"/>
    <n v="0"/>
    <x v="7"/>
    <x v="43"/>
    <n v="0.51497207455756677"/>
    <n v="7653000000"/>
    <n v="0.24022609514837495"/>
    <n v="3570000000"/>
  </r>
  <r>
    <s v="MON"/>
    <n v="2"/>
    <x v="2"/>
    <d v="2014-08-31T00:00:00"/>
    <n v="15855000000"/>
    <n v="7281000000"/>
    <n v="2774000000"/>
    <n v="1725000000"/>
    <n v="0"/>
    <x v="7"/>
    <x v="43"/>
    <n v="0.54077578051087982"/>
    <n v="8574000000"/>
    <n v="0.25701671397035636"/>
    <n v="4075000000"/>
  </r>
  <r>
    <s v="MON"/>
    <n v="3"/>
    <x v="3"/>
    <d v="2015-08-31T00:00:00"/>
    <n v="15001000000"/>
    <n v="6819000000"/>
    <n v="2686000000"/>
    <n v="1580000000"/>
    <n v="0"/>
    <x v="7"/>
    <x v="43"/>
    <n v="0.54543030464635689"/>
    <n v="8182000000"/>
    <n v="0.26104926338244117"/>
    <n v="3916000000"/>
  </r>
  <r>
    <s v="MON"/>
    <n v="4"/>
    <x v="4"/>
    <d v="2016-08-31T00:00:00"/>
    <n v="13502000000"/>
    <n v="6485000000"/>
    <n v="2833000000"/>
    <n v="1512000000"/>
    <n v="0"/>
    <x v="7"/>
    <x v="43"/>
    <n v="0.51970078506887862"/>
    <n v="7017000000"/>
    <n v="0.19789660790993926"/>
    <n v="2672000000"/>
  </r>
  <r>
    <s v="MOS"/>
    <n v="1"/>
    <x v="1"/>
    <d v="2013-05-31T00:00:00"/>
    <n v="9974100000"/>
    <n v="7213900000"/>
    <n v="550600000"/>
    <n v="0"/>
    <n v="0"/>
    <x v="7"/>
    <x v="43"/>
    <n v="0.27673674817778049"/>
    <n v="2760200000"/>
    <n v="0.22153377247069911"/>
    <n v="2209600000"/>
  </r>
  <r>
    <s v="MOS"/>
    <n v="2"/>
    <x v="2"/>
    <d v="2014-12-31T00:00:00"/>
    <n v="9055800000"/>
    <n v="7129200000"/>
    <n v="505800000"/>
    <n v="0"/>
    <n v="0"/>
    <x v="7"/>
    <x v="43"/>
    <n v="0.21274763135228247"/>
    <n v="1926600000"/>
    <n v="0.15689392433578481"/>
    <n v="1420800000"/>
  </r>
  <r>
    <s v="MOS"/>
    <n v="3"/>
    <x v="3"/>
    <d v="2015-12-31T00:00:00"/>
    <n v="8895300000"/>
    <n v="7177400000"/>
    <n v="439100000"/>
    <n v="0"/>
    <n v="0"/>
    <x v="7"/>
    <x v="43"/>
    <n v="0.1931244589839578"/>
    <n v="1717900000"/>
    <n v="0.14376131215360921"/>
    <n v="1278800000"/>
  </r>
  <r>
    <s v="MOS"/>
    <n v="4"/>
    <x v="4"/>
    <d v="2016-12-31T00:00:00"/>
    <n v="7162800000"/>
    <n v="6352800000"/>
    <n v="491000000"/>
    <n v="0"/>
    <n v="0"/>
    <x v="7"/>
    <x v="43"/>
    <n v="0.11308426872172894"/>
    <n v="810000000"/>
    <n v="4.4535656447199416E-2"/>
    <n v="319000000"/>
  </r>
  <r>
    <s v="MPC"/>
    <n v="1"/>
    <x v="0"/>
    <d v="2012-12-31T00:00:00"/>
    <n v="82243000000"/>
    <n v="68948000000"/>
    <n v="7202000000"/>
    <n v="0"/>
    <n v="995000000"/>
    <x v="8"/>
    <x v="92"/>
    <n v="0.16165509526646649"/>
    <n v="13295000000"/>
    <n v="6.198703841056382E-2"/>
    <n v="5098000000"/>
  </r>
  <r>
    <s v="MPC"/>
    <n v="2"/>
    <x v="1"/>
    <d v="2013-12-31T00:00:00"/>
    <n v="100160000000"/>
    <n v="87758000000"/>
    <n v="7851000000"/>
    <n v="0"/>
    <n v="1220000000"/>
    <x v="8"/>
    <x v="92"/>
    <n v="0.12382188498402558"/>
    <n v="12402000000"/>
    <n v="3.3256789137380192E-2"/>
    <n v="3331000000"/>
  </r>
  <r>
    <s v="MPC"/>
    <n v="3"/>
    <x v="2"/>
    <d v="2014-12-31T00:00:00"/>
    <n v="97817000000"/>
    <n v="84275000000"/>
    <n v="8450000000"/>
    <n v="0"/>
    <n v="1326000000"/>
    <x v="8"/>
    <x v="92"/>
    <n v="0.13844219307482342"/>
    <n v="13542000000"/>
    <n v="3.8500465154318778E-2"/>
    <n v="3766000000"/>
  </r>
  <r>
    <s v="MPC"/>
    <n v="4"/>
    <x v="3"/>
    <d v="2015-12-31T00:00:00"/>
    <n v="72051000000"/>
    <n v="55891000000"/>
    <n v="10029000000"/>
    <n v="0"/>
    <n v="1646000000"/>
    <x v="8"/>
    <x v="92"/>
    <n v="0.22428557549513539"/>
    <n v="16160000000"/>
    <n v="6.2247574634633804E-2"/>
    <n v="4485000000"/>
  </r>
  <r>
    <s v="CNC"/>
    <n v="1"/>
    <x v="0"/>
    <d v="2012-12-31T00:00:00"/>
    <n v="8110000000"/>
    <n v="6781000000"/>
    <n v="1105000000"/>
    <n v="0"/>
    <n v="88000000"/>
    <x v="10"/>
    <x v="89"/>
    <n v="0.16387176325524044"/>
    <n v="1329000000"/>
    <n v="1.6769420468557335E-2"/>
    <n v="136000000"/>
  </r>
  <r>
    <s v="CNC"/>
    <n v="2"/>
    <x v="1"/>
    <d v="2013-12-31T00:00:00"/>
    <n v="10863000000"/>
    <n v="8995000000"/>
    <n v="1264000000"/>
    <n v="0"/>
    <n v="327000000"/>
    <x v="10"/>
    <x v="89"/>
    <n v="0.17195986375770966"/>
    <n v="1868000000"/>
    <n v="2.5499401638589707E-2"/>
    <n v="277000000"/>
  </r>
  <r>
    <s v="CNC"/>
    <n v="3"/>
    <x v="2"/>
    <d v="2014-12-31T00:00:00"/>
    <n v="16560000000"/>
    <n v="12678000000"/>
    <n v="2012000000"/>
    <n v="0"/>
    <n v="1406000000"/>
    <x v="10"/>
    <x v="89"/>
    <n v="0.23442028985507246"/>
    <n v="3882000000"/>
    <n v="2.8019323671497585E-2"/>
    <n v="464000000"/>
  </r>
  <r>
    <s v="CNC"/>
    <n v="4"/>
    <x v="3"/>
    <d v="2015-12-31T00:00:00"/>
    <n v="22760000000"/>
    <n v="17242000000"/>
    <n v="2977000000"/>
    <n v="0"/>
    <n v="1836000000"/>
    <x v="10"/>
    <x v="89"/>
    <n v="0.24244288224956068"/>
    <n v="5518000000"/>
    <n v="3.0975395430579963E-2"/>
    <n v="705000000"/>
  </r>
  <r>
    <s v="MRO"/>
    <n v="1"/>
    <x v="0"/>
    <d v="2012-12-31T00:00:00"/>
    <n v="11966000000"/>
    <n v="2079000000"/>
    <n v="4017000000"/>
    <n v="0"/>
    <n v="2008000000"/>
    <x v="8"/>
    <x v="25"/>
    <n v="0.82625773023566773"/>
    <n v="9887000000"/>
    <n v="0.32274778539194382"/>
    <n v="3862000000"/>
  </r>
  <r>
    <s v="MRO"/>
    <n v="2"/>
    <x v="1"/>
    <d v="2013-12-31T00:00:00"/>
    <n v="11325000000"/>
    <n v="2156000000"/>
    <n v="3469000000"/>
    <n v="0"/>
    <n v="2500000000"/>
    <x v="8"/>
    <x v="25"/>
    <n v="0.80962472406181019"/>
    <n v="9169000000"/>
    <n v="0.282560706401766"/>
    <n v="3200000000"/>
  </r>
  <r>
    <s v="MRO"/>
    <n v="3"/>
    <x v="2"/>
    <d v="2014-12-31T00:00:00"/>
    <n v="10846000000"/>
    <n v="2246000000"/>
    <n v="3627000000"/>
    <n v="0"/>
    <n v="2861000000"/>
    <x v="8"/>
    <x v="25"/>
    <n v="0.79291904849714179"/>
    <n v="8600000000"/>
    <n v="0.1947261663286004"/>
    <n v="2112000000"/>
  </r>
  <r>
    <s v="MRO"/>
    <n v="4"/>
    <x v="3"/>
    <d v="2015-12-31T00:00:00"/>
    <n v="5522000000"/>
    <n v="1694000000"/>
    <n v="1831000000"/>
    <n v="0"/>
    <n v="2957000000"/>
    <x v="8"/>
    <x v="25"/>
    <n v="0.69322709163346619"/>
    <n v="3828000000"/>
    <n v="-0.17385005432814199"/>
    <n v="-960000000"/>
  </r>
  <r>
    <s v="MSFT"/>
    <n v="1"/>
    <x v="1"/>
    <d v="2013-06-30T00:00:00"/>
    <n v="77849000000"/>
    <n v="20385000000"/>
    <n v="20289000000"/>
    <n v="10411000000"/>
    <n v="0"/>
    <x v="2"/>
    <x v="100"/>
    <n v="0.73814692545825888"/>
    <n v="57464000000"/>
    <n v="0.34379375457616668"/>
    <n v="26764000000"/>
  </r>
  <r>
    <s v="MSFT"/>
    <n v="2"/>
    <x v="2"/>
    <d v="2014-06-30T00:00:00"/>
    <n v="86833000000"/>
    <n v="27078000000"/>
    <n v="20488000000"/>
    <n v="11381000000"/>
    <n v="0"/>
    <x v="2"/>
    <x v="100"/>
    <n v="0.68816003132449644"/>
    <n v="59755000000"/>
    <n v="0.32114518673776099"/>
    <n v="27886000000"/>
  </r>
  <r>
    <s v="MSFT"/>
    <n v="3"/>
    <x v="3"/>
    <d v="2015-06-30T00:00:00"/>
    <n v="93580000000"/>
    <n v="33038000000"/>
    <n v="20324000000"/>
    <n v="12046000000"/>
    <n v="0"/>
    <x v="2"/>
    <x v="100"/>
    <n v="0.64695447745244716"/>
    <n v="60542000000"/>
    <n v="0.30104723231459712"/>
    <n v="28172000000"/>
  </r>
  <r>
    <s v="MSFT"/>
    <n v="4"/>
    <x v="4"/>
    <d v="2016-06-30T00:00:00"/>
    <n v="85320000000"/>
    <n v="32780000000"/>
    <n v="19260000000"/>
    <n v="11988000000"/>
    <n v="0"/>
    <x v="2"/>
    <x v="100"/>
    <n v="0.61579934364744493"/>
    <n v="52540000000"/>
    <n v="0.24955461790904829"/>
    <n v="21292000000"/>
  </r>
  <r>
    <s v="COO"/>
    <n v="1"/>
    <x v="1"/>
    <d v="2013-10-31T00:00:00"/>
    <n v="1587725000"/>
    <n v="560917000"/>
    <n v="610735000"/>
    <n v="58827000"/>
    <n v="30239000"/>
    <x v="10"/>
    <x v="101"/>
    <n v="0.64671652836605831"/>
    <n v="1026808000"/>
    <n v="0.20595947031129447"/>
    <n v="327007000"/>
  </r>
  <r>
    <s v="COO"/>
    <n v="2"/>
    <x v="2"/>
    <d v="2014-10-31T00:00:00"/>
    <n v="1717776000"/>
    <n v="626206000"/>
    <n v="683115000"/>
    <n v="66259000"/>
    <n v="35710000"/>
    <x v="10"/>
    <x v="101"/>
    <n v="0.63545537951397624"/>
    <n v="1091570000"/>
    <n v="0.17842023639869226"/>
    <n v="306486000"/>
  </r>
  <r>
    <s v="COO"/>
    <n v="3"/>
    <x v="3"/>
    <d v="2015-10-31T00:00:00"/>
    <n v="1797060000"/>
    <n v="726798000"/>
    <n v="712543000"/>
    <n v="69589000"/>
    <n v="51459000"/>
    <x v="10"/>
    <x v="101"/>
    <n v="0.59556275249574298"/>
    <n v="1070262000"/>
    <n v="0.13169899725106562"/>
    <n v="236671000"/>
  </r>
  <r>
    <s v="COO"/>
    <n v="4"/>
    <x v="4"/>
    <d v="2016-10-31T00:00:00"/>
    <n v="1966814000"/>
    <n v="793735000"/>
    <n v="722798000"/>
    <n v="65411000"/>
    <n v="60790000"/>
    <x v="10"/>
    <x v="101"/>
    <n v="0.59643616529066801"/>
    <n v="1173079000"/>
    <n v="0.16477409658462874"/>
    <n v="324080000"/>
  </r>
  <r>
    <s v="DGX"/>
    <n v="1"/>
    <x v="0"/>
    <d v="2012-12-31T00:00:00"/>
    <n v="7383000000"/>
    <n v="4365000000"/>
    <n v="1742000000"/>
    <n v="0"/>
    <n v="75000000"/>
    <x v="10"/>
    <x v="102"/>
    <n v="0.40877691995123933"/>
    <n v="3018000000"/>
    <n v="0.16267100094812406"/>
    <n v="1201000000"/>
  </r>
  <r>
    <s v="DGX"/>
    <n v="2"/>
    <x v="1"/>
    <d v="2013-12-31T00:00:00"/>
    <n v="7146000000"/>
    <n v="4326000000"/>
    <n v="1740000000"/>
    <n v="0"/>
    <n v="79000000"/>
    <x v="10"/>
    <x v="102"/>
    <n v="0.39462636439966414"/>
    <n v="2820000000"/>
    <n v="0.14007836551917158"/>
    <n v="1001000000"/>
  </r>
  <r>
    <s v="DGX"/>
    <n v="3"/>
    <x v="2"/>
    <d v="2014-12-31T00:00:00"/>
    <n v="7435000000"/>
    <n v="4637000000"/>
    <n v="1721000000"/>
    <n v="0"/>
    <n v="94000000"/>
    <x v="10"/>
    <x v="102"/>
    <n v="0.37632817753866843"/>
    <n v="2798000000"/>
    <n v="0.13221250840618695"/>
    <n v="983000000"/>
  </r>
  <r>
    <s v="DGX"/>
    <n v="4"/>
    <x v="3"/>
    <d v="2015-12-31T00:00:00"/>
    <n v="7493000000"/>
    <n v="4657000000"/>
    <n v="1356000000"/>
    <n v="0"/>
    <n v="81000000"/>
    <x v="10"/>
    <x v="102"/>
    <n v="0.37848658748164954"/>
    <n v="2836000000"/>
    <n v="0.18670759375417056"/>
    <n v="1399000000"/>
  </r>
  <r>
    <s v="MU"/>
    <n v="1"/>
    <x v="1"/>
    <d v="2013-08-29T00:00:00"/>
    <n v="9073000000"/>
    <n v="7226000000"/>
    <n v="554000000"/>
    <n v="931000000"/>
    <n v="0"/>
    <x v="2"/>
    <x v="7"/>
    <n v="0.20357103493882944"/>
    <n v="1847000000"/>
    <n v="3.9898600242477683E-2"/>
    <n v="362000000"/>
  </r>
  <r>
    <s v="MU"/>
    <n v="2"/>
    <x v="2"/>
    <d v="2014-08-28T00:00:00"/>
    <n v="16358000000"/>
    <n v="10921000000"/>
    <n v="939000000"/>
    <n v="1371000000"/>
    <n v="0"/>
    <x v="2"/>
    <x v="7"/>
    <n v="0.33237559603863553"/>
    <n v="5437000000"/>
    <n v="0.19116028854383177"/>
    <n v="3127000000"/>
  </r>
  <r>
    <s v="MU"/>
    <n v="3"/>
    <x v="3"/>
    <d v="2015-09-03T00:00:00"/>
    <n v="16192000000"/>
    <n v="10977000000"/>
    <n v="674000000"/>
    <n v="1540000000"/>
    <n v="0"/>
    <x v="2"/>
    <x v="7"/>
    <n v="0.32207262845849804"/>
    <n v="5215000000"/>
    <n v="0.18533843873517786"/>
    <n v="3001000000"/>
  </r>
  <r>
    <s v="MU"/>
    <n v="4"/>
    <x v="4"/>
    <d v="2016-09-01T00:00:00"/>
    <n v="12399000000"/>
    <n v="9894000000"/>
    <n v="653000000"/>
    <n v="1617000000"/>
    <n v="0"/>
    <x v="2"/>
    <x v="7"/>
    <n v="0.20203242196951365"/>
    <n v="2505000000"/>
    <n v="1.8953141382369545E-2"/>
    <n v="235000000"/>
  </r>
  <r>
    <s v="MUR"/>
    <n v="1"/>
    <x v="0"/>
    <d v="2012-12-31T00:00:00"/>
    <n v="4608563000"/>
    <n v="1079136000"/>
    <n v="285144000"/>
    <n v="0"/>
    <n v="1291456000"/>
    <x v="8"/>
    <x v="46"/>
    <n v="0.76584110925683335"/>
    <n v="3529427000"/>
    <n v="0.42373880968970157"/>
    <n v="1952827000"/>
  </r>
  <r>
    <s v="MUR"/>
    <n v="2"/>
    <x v="1"/>
    <d v="2013-12-31T00:00:00"/>
    <n v="5312686000"/>
    <n v="1252812000"/>
    <n v="466498000"/>
    <n v="0"/>
    <n v="1602390000"/>
    <x v="8"/>
    <x v="46"/>
    <n v="0.76418482101144314"/>
    <n v="4059874000"/>
    <n v="0.37476071426016894"/>
    <n v="1990986000"/>
  </r>
  <r>
    <s v="MUR"/>
    <n v="3"/>
    <x v="2"/>
    <d v="2014-12-31T00:00:00"/>
    <n v="5288933000"/>
    <n v="1089888000"/>
    <n v="471219000"/>
    <n v="0"/>
    <n v="1957025000"/>
    <x v="8"/>
    <x v="46"/>
    <n v="0.79393045818504415"/>
    <n v="4199045000"/>
    <n v="0.33481252267706929"/>
    <n v="1770801000"/>
  </r>
  <r>
    <s v="MUR"/>
    <n v="4"/>
    <x v="3"/>
    <d v="2015-12-31T00:00:00"/>
    <n v="2787116000"/>
    <n v="832306000"/>
    <n v="372457000"/>
    <n v="0"/>
    <n v="1668489000"/>
    <x v="8"/>
    <x v="46"/>
    <n v="0.70137374978292977"/>
    <n v="1954810000"/>
    <n v="-3.0905064590063709E-2"/>
    <n v="-86136000"/>
  </r>
  <r>
    <s v="DVA"/>
    <n v="1"/>
    <x v="0"/>
    <d v="2012-12-31T00:00:00"/>
    <n v="8186280000"/>
    <n v="5583549000"/>
    <n v="889879000"/>
    <n v="0"/>
    <n v="341969000"/>
    <x v="10"/>
    <x v="102"/>
    <n v="0.31793818437678656"/>
    <n v="2602731000"/>
    <n v="0.16746104457702399"/>
    <n v="1370883000"/>
  </r>
  <r>
    <s v="DVA"/>
    <n v="2"/>
    <x v="1"/>
    <d v="2013-12-31T00:00:00"/>
    <n v="11764050000"/>
    <n v="8198377000"/>
    <n v="1516508000"/>
    <n v="0"/>
    <n v="528737000"/>
    <x v="10"/>
    <x v="102"/>
    <n v="0.30309910277497976"/>
    <n v="3565673000"/>
    <n v="0.12924358532988214"/>
    <n v="1520428000"/>
  </r>
  <r>
    <s v="NBL"/>
    <n v="1"/>
    <x v="1"/>
    <d v="2013-12-31T00:00:00"/>
    <n v="5015000000"/>
    <n v="844000000"/>
    <n v="446000000"/>
    <n v="0"/>
    <n v="1568000000"/>
    <x v="8"/>
    <x v="25"/>
    <n v="0.83170488534396814"/>
    <n v="4171000000"/>
    <n v="0.43010967098703889"/>
    <n v="2157000000"/>
  </r>
  <r>
    <s v="NBL"/>
    <n v="2"/>
    <x v="2"/>
    <d v="2014-12-31T00:00:00"/>
    <n v="5115000000"/>
    <n v="945000000"/>
    <n v="495000000"/>
    <n v="0"/>
    <n v="1759000000"/>
    <x v="8"/>
    <x v="25"/>
    <n v="0.81524926686217003"/>
    <n v="4170000000"/>
    <n v="0.37458455522971651"/>
    <n v="1916000000"/>
  </r>
  <r>
    <s v="NBL"/>
    <n v="3"/>
    <x v="3"/>
    <d v="2015-12-31T00:00:00"/>
    <n v="3183000000"/>
    <n v="979000000"/>
    <n v="745000000"/>
    <n v="0"/>
    <n v="2131000000"/>
    <x v="8"/>
    <x v="25"/>
    <n v="0.69242852654728249"/>
    <n v="2204000000"/>
    <n v="-0.21112158341187559"/>
    <n v="-672000000"/>
  </r>
  <r>
    <s v="NBL"/>
    <n v="4"/>
    <x v="4"/>
    <d v="2016-12-31T00:00:00"/>
    <n v="3491000000"/>
    <n v="1083000000"/>
    <n v="233000000"/>
    <n v="0"/>
    <n v="2454000000"/>
    <x v="8"/>
    <x v="25"/>
    <n v="0.68977370380979663"/>
    <n v="2408000000"/>
    <n v="-7.9919793755370949E-2"/>
    <n v="-279000000"/>
  </r>
  <r>
    <s v="DVA"/>
    <n v="3"/>
    <x v="2"/>
    <d v="2014-12-31T00:00:00"/>
    <n v="12795106000"/>
    <n v="9119305000"/>
    <n v="1278506000"/>
    <n v="0"/>
    <n v="590935000"/>
    <x v="10"/>
    <x v="102"/>
    <n v="0.28728179352324246"/>
    <n v="3675801000"/>
    <n v="0.14117585270493266"/>
    <n v="1806360000"/>
  </r>
  <r>
    <s v="DVA"/>
    <n v="4"/>
    <x v="3"/>
    <d v="2015-12-31T00:00:00"/>
    <n v="13781837000"/>
    <n v="9824834000"/>
    <n v="1947135000"/>
    <n v="0"/>
    <n v="638024000"/>
    <x v="10"/>
    <x v="102"/>
    <n v="0.28711723988609061"/>
    <n v="3957003000"/>
    <n v="9.9539996010691467E-2"/>
    <n v="1371844000"/>
  </r>
  <r>
    <s v="EW"/>
    <n v="1"/>
    <x v="0"/>
    <d v="2012-12-31T00:00:00"/>
    <n v="1899600000"/>
    <n v="491000000"/>
    <n v="697400000"/>
    <n v="291300000"/>
    <n v="0"/>
    <x v="10"/>
    <x v="86"/>
    <n v="0.74152453148031161"/>
    <n v="1408600000"/>
    <n v="0.22104653611286587"/>
    <n v="419900000"/>
  </r>
  <r>
    <s v="EW"/>
    <n v="2"/>
    <x v="1"/>
    <d v="2013-12-31T00:00:00"/>
    <n v="2045500000"/>
    <n v="516600000"/>
    <n v="749700000"/>
    <n v="323000000"/>
    <n v="0"/>
    <x v="10"/>
    <x v="86"/>
    <n v="0.74744561231972617"/>
    <n v="1528900000"/>
    <n v="0.2230261549743339"/>
    <n v="456200000"/>
  </r>
  <r>
    <s v="NEE"/>
    <n v="1"/>
    <x v="0"/>
    <d v="2012-12-31T00:00:00"/>
    <n v="14256000000"/>
    <n v="8276000000"/>
    <n v="1186000000"/>
    <n v="0"/>
    <n v="1518000000"/>
    <x v="5"/>
    <x v="10"/>
    <n v="0.41947250280583614"/>
    <n v="5980000000"/>
    <n v="0.22979797979797981"/>
    <n v="3276000000"/>
  </r>
  <r>
    <s v="NEE"/>
    <n v="2"/>
    <x v="1"/>
    <d v="2013-12-31T00:00:00"/>
    <n v="15136000000"/>
    <n v="8152000000"/>
    <n v="1280000000"/>
    <n v="0"/>
    <n v="2163000000"/>
    <x v="5"/>
    <x v="10"/>
    <n v="0.46141649048625788"/>
    <n v="6984000000"/>
    <n v="0.23394556025369978"/>
    <n v="3541000000"/>
  </r>
  <r>
    <s v="NEE"/>
    <n v="3"/>
    <x v="2"/>
    <d v="2014-12-31T00:00:00"/>
    <n v="17021000000"/>
    <n v="8751000000"/>
    <n v="1324000000"/>
    <n v="0"/>
    <n v="2551000000"/>
    <x v="5"/>
    <x v="10"/>
    <n v="0.48587039539392518"/>
    <n v="8270000000"/>
    <n v="0.25821044591974618"/>
    <n v="4395000000"/>
  </r>
  <r>
    <s v="NEE"/>
    <n v="4"/>
    <x v="3"/>
    <d v="2015-12-31T00:00:00"/>
    <n v="17486000000"/>
    <n v="8596000000"/>
    <n v="1399000000"/>
    <n v="0"/>
    <n v="2831000000"/>
    <x v="5"/>
    <x v="10"/>
    <n v="0.50840672538030418"/>
    <n v="8890000000"/>
    <n v="0.26649891341644744"/>
    <n v="4660000000"/>
  </r>
  <r>
    <s v="NEM"/>
    <n v="1"/>
    <x v="0"/>
    <d v="2012-12-31T00:00:00"/>
    <n v="9964000000"/>
    <n v="4334000000"/>
    <n v="757000000"/>
    <n v="704000000"/>
    <n v="1032000000"/>
    <x v="7"/>
    <x v="103"/>
    <n v="0.56503412284223198"/>
    <n v="5630000000"/>
    <n v="0.31483340024086715"/>
    <n v="3137000000"/>
  </r>
  <r>
    <s v="NEM"/>
    <n v="2"/>
    <x v="1"/>
    <d v="2013-12-31T00:00:00"/>
    <n v="8414000000"/>
    <n v="5299000000"/>
    <n v="584000000"/>
    <n v="469000000"/>
    <n v="1362000000"/>
    <x v="7"/>
    <x v="103"/>
    <n v="0.37021630615640599"/>
    <n v="3115000000"/>
    <n v="8.3194675540765387E-2"/>
    <n v="700000000"/>
  </r>
  <r>
    <s v="NEM"/>
    <n v="3"/>
    <x v="2"/>
    <d v="2014-12-31T00:00:00"/>
    <n v="7292000000"/>
    <n v="4457000000"/>
    <n v="545000000"/>
    <n v="325000000"/>
    <n v="1229000000"/>
    <x v="7"/>
    <x v="103"/>
    <n v="0.38878222709818977"/>
    <n v="2835000000"/>
    <n v="0.10093252879868349"/>
    <n v="736000000"/>
  </r>
  <r>
    <s v="NEM"/>
    <n v="4"/>
    <x v="3"/>
    <d v="2015-12-31T00:00:00"/>
    <n v="7729000000"/>
    <n v="4312000000"/>
    <n v="670000000"/>
    <n v="289000000"/>
    <n v="1239000000"/>
    <x v="7"/>
    <x v="103"/>
    <n v="0.44210117738387888"/>
    <n v="3417000000"/>
    <n v="0.15771768663475222"/>
    <n v="1219000000"/>
  </r>
  <r>
    <s v="NFLX"/>
    <n v="1"/>
    <x v="1"/>
    <d v="2013-12-31T00:00:00"/>
    <n v="4374562000"/>
    <n v="3117203000"/>
    <n v="650243000"/>
    <n v="378769000"/>
    <n v="0"/>
    <x v="2"/>
    <x v="15"/>
    <n v="0.28742511821754957"/>
    <n v="1257359000"/>
    <n v="5.2198825848164911E-2"/>
    <n v="228347000"/>
  </r>
  <r>
    <s v="NFLX"/>
    <n v="2"/>
    <x v="2"/>
    <d v="2014-12-31T00:00:00"/>
    <n v="5504656000"/>
    <n v="3752760000"/>
    <n v="876927000"/>
    <n v="472321000"/>
    <n v="0"/>
    <x v="2"/>
    <x v="15"/>
    <n v="0.31825712633087333"/>
    <n v="1751896000"/>
    <n v="7.3146805177289914E-2"/>
    <n v="402648000"/>
  </r>
  <r>
    <s v="NFLX"/>
    <n v="3"/>
    <x v="3"/>
    <d v="2015-12-31T00:00:00"/>
    <n v="6779511000"/>
    <n v="4591476000"/>
    <n v="1231421000"/>
    <n v="650788000"/>
    <n v="0"/>
    <x v="2"/>
    <x v="15"/>
    <n v="0.32274230398033132"/>
    <n v="2188035000"/>
    <n v="4.5110333178897413E-2"/>
    <n v="305826000"/>
  </r>
  <r>
    <s v="NFLX"/>
    <n v="4"/>
    <x v="4"/>
    <d v="2016-12-31T00:00:00"/>
    <n v="8830669000"/>
    <n v="6029901000"/>
    <n v="1568877000"/>
    <n v="852098000"/>
    <n v="0"/>
    <x v="2"/>
    <x v="15"/>
    <n v="0.31716373923651764"/>
    <n v="2800768000"/>
    <n v="4.3008406271370835E-2"/>
    <n v="379793000"/>
  </r>
  <r>
    <s v="NFX"/>
    <n v="1"/>
    <x v="0"/>
    <d v="2012-12-31T00:00:00"/>
    <n v="1562000000"/>
    <n v="413000000"/>
    <n v="311000000"/>
    <n v="0"/>
    <n v="704000000"/>
    <x v="8"/>
    <x v="25"/>
    <n v="0.73559539052496792"/>
    <n v="1149000000"/>
    <n v="8.5787451984635082E-2"/>
    <n v="134000000"/>
  </r>
  <r>
    <s v="NFX"/>
    <n v="2"/>
    <x v="1"/>
    <d v="2013-12-31T00:00:00"/>
    <n v="1857000000"/>
    <n v="411000000"/>
    <n v="311000000"/>
    <n v="0"/>
    <n v="685000000"/>
    <x v="8"/>
    <x v="25"/>
    <n v="0.77867528271405495"/>
    <n v="1446000000"/>
    <n v="0.24232633279483037"/>
    <n v="450000000"/>
  </r>
  <r>
    <s v="NFX"/>
    <n v="3"/>
    <x v="2"/>
    <d v="2014-12-31T00:00:00"/>
    <n v="2288000000"/>
    <n v="485000000"/>
    <n v="358000000"/>
    <n v="0"/>
    <n v="870000000"/>
    <x v="8"/>
    <x v="25"/>
    <n v="0.78802447552447552"/>
    <n v="1803000000"/>
    <n v="0.2513111888111888"/>
    <n v="575000000"/>
  </r>
  <r>
    <s v="NFX"/>
    <n v="4"/>
    <x v="3"/>
    <d v="2015-12-31T00:00:00"/>
    <n v="1557000000"/>
    <n v="497000000"/>
    <n v="5204000000"/>
    <n v="0"/>
    <n v="917000000"/>
    <x v="8"/>
    <x v="25"/>
    <n v="0.680796403339756"/>
    <n v="1060000000"/>
    <n v="-3.2504816955684008"/>
    <n v="-5061000000"/>
  </r>
  <r>
    <s v="NKE"/>
    <n v="1"/>
    <x v="1"/>
    <d v="2013-05-31T00:00:00"/>
    <n v="25313000000"/>
    <n v="14279000000"/>
    <n v="7796000000"/>
    <n v="0"/>
    <n v="0"/>
    <x v="1"/>
    <x v="78"/>
    <n v="0.4359025006913444"/>
    <n v="11034000000"/>
    <n v="0.12791846086990874"/>
    <n v="3238000000"/>
  </r>
  <r>
    <s v="NKE"/>
    <n v="2"/>
    <x v="2"/>
    <d v="2014-05-31T00:00:00"/>
    <n v="27799000000"/>
    <n v="15353000000"/>
    <n v="8766000000"/>
    <n v="0"/>
    <n v="0"/>
    <x v="1"/>
    <x v="78"/>
    <n v="0.44771394654483976"/>
    <n v="12446000000"/>
    <n v="0.13237886254901254"/>
    <n v="3680000000"/>
  </r>
  <r>
    <s v="NKE"/>
    <n v="3"/>
    <x v="3"/>
    <d v="2015-05-31T00:00:00"/>
    <n v="30601000000"/>
    <n v="16534000000"/>
    <n v="9892000000"/>
    <n v="0"/>
    <n v="0"/>
    <x v="1"/>
    <x v="78"/>
    <n v="0.45969085977582436"/>
    <n v="14067000000"/>
    <n v="0.13643344988725858"/>
    <n v="4175000000"/>
  </r>
  <r>
    <s v="NKE"/>
    <n v="4"/>
    <x v="4"/>
    <d v="2016-05-31T00:00:00"/>
    <n v="32376000000"/>
    <n v="17405000000"/>
    <n v="10469000000"/>
    <n v="0"/>
    <n v="0"/>
    <x v="1"/>
    <x v="78"/>
    <n v="0.46241042747714356"/>
    <n v="14971000000"/>
    <n v="0.13905361996540647"/>
    <n v="4502000000"/>
  </r>
  <r>
    <s v="NLSN"/>
    <n v="1"/>
    <x v="1"/>
    <d v="2013-12-31T00:00:00"/>
    <n v="5703000000"/>
    <n v="2398000000"/>
    <n v="1815000000"/>
    <n v="0"/>
    <n v="510000000"/>
    <x v="0"/>
    <x v="65"/>
    <n v="0.57951955111344899"/>
    <n v="3305000000"/>
    <n v="0.17183938278099245"/>
    <n v="980000000"/>
  </r>
  <r>
    <s v="NLSN"/>
    <n v="2"/>
    <x v="2"/>
    <d v="2014-12-31T00:00:00"/>
    <n v="6288000000"/>
    <n v="2620000000"/>
    <n v="1917000000"/>
    <n v="0"/>
    <n v="573000000"/>
    <x v="0"/>
    <x v="65"/>
    <n v="0.58333333333333326"/>
    <n v="3668000000"/>
    <n v="0.18734096692111959"/>
    <n v="1178000000"/>
  </r>
  <r>
    <s v="NLSN"/>
    <n v="3"/>
    <x v="3"/>
    <d v="2015-12-31T00:00:00"/>
    <n v="6172000000"/>
    <n v="2539000000"/>
    <n v="1915000000"/>
    <n v="0"/>
    <n v="574000000"/>
    <x v="0"/>
    <x v="65"/>
    <n v="0.58862605314322747"/>
    <n v="3633000000"/>
    <n v="0.18535320803629293"/>
    <n v="1144000000"/>
  </r>
  <r>
    <s v="NLSN"/>
    <n v="4"/>
    <x v="4"/>
    <d v="2016-12-31T00:00:00"/>
    <n v="6309000000"/>
    <n v="2607000000"/>
    <n v="1851000000"/>
    <n v="0"/>
    <n v="603000000"/>
    <x v="0"/>
    <x v="65"/>
    <n v="0.58678078934854971"/>
    <n v="3702000000"/>
    <n v="0.19781264859724204"/>
    <n v="1248000000"/>
  </r>
  <r>
    <s v="NOV"/>
    <n v="1"/>
    <x v="0"/>
    <d v="2012-12-31T00:00:00"/>
    <n v="17194000000"/>
    <n v="12151000000"/>
    <n v="1654000000"/>
    <n v="0"/>
    <n v="0"/>
    <x v="8"/>
    <x v="34"/>
    <n v="0.29329998836803539"/>
    <n v="5043000000"/>
    <n v="0.19710364080493195"/>
    <n v="3389000000"/>
  </r>
  <r>
    <s v="NOV"/>
    <n v="2"/>
    <x v="1"/>
    <d v="2013-12-31T00:00:00"/>
    <n v="19221000000"/>
    <n v="14117000000"/>
    <n v="1905000000"/>
    <n v="0"/>
    <n v="0"/>
    <x v="8"/>
    <x v="34"/>
    <n v="0.26554289579106183"/>
    <n v="5104000000"/>
    <n v="0.16643254773424901"/>
    <n v="3199000000"/>
  </r>
  <r>
    <s v="NOV"/>
    <n v="3"/>
    <x v="2"/>
    <d v="2014-12-31T00:00:00"/>
    <n v="21440000000"/>
    <n v="15631000000"/>
    <n v="2092000000"/>
    <n v="0"/>
    <n v="0"/>
    <x v="8"/>
    <x v="34"/>
    <n v="0.27094216417910444"/>
    <n v="5809000000"/>
    <n v="0.17336753731343282"/>
    <n v="3717000000"/>
  </r>
  <r>
    <s v="NOV"/>
    <n v="4"/>
    <x v="3"/>
    <d v="2015-12-31T00:00:00"/>
    <n v="14757000000"/>
    <n v="11694000000"/>
    <n v="1764000000"/>
    <n v="0"/>
    <n v="0"/>
    <x v="8"/>
    <x v="34"/>
    <n v="0.20756251270583448"/>
    <n v="3063000000"/>
    <n v="8.8026021549095348E-2"/>
    <n v="1299000000"/>
  </r>
  <r>
    <s v="NSC"/>
    <n v="1"/>
    <x v="1"/>
    <d v="2013-12-31T00:00:00"/>
    <n v="11245000000"/>
    <n v="4070000000"/>
    <n v="3002000000"/>
    <n v="0"/>
    <n v="916000000"/>
    <x v="0"/>
    <x v="57"/>
    <n v="0.63806136060471319"/>
    <n v="7175000000"/>
    <n v="0.28963983992885728"/>
    <n v="3257000000"/>
  </r>
  <r>
    <s v="NSC"/>
    <n v="2"/>
    <x v="2"/>
    <d v="2014-12-31T00:00:00"/>
    <n v="11624000000"/>
    <n v="4201000000"/>
    <n v="2897000000"/>
    <n v="0"/>
    <n v="951000000"/>
    <x v="0"/>
    <x v="57"/>
    <n v="0.63859256710254653"/>
    <n v="7423000000"/>
    <n v="0.30755333792154166"/>
    <n v="3575000000"/>
  </r>
  <r>
    <s v="NSC"/>
    <n v="3"/>
    <x v="3"/>
    <d v="2015-12-31T00:00:00"/>
    <n v="10511000000"/>
    <n v="3662000000"/>
    <n v="2911000000"/>
    <n v="0"/>
    <n v="1054000000"/>
    <x v="0"/>
    <x v="57"/>
    <n v="0.65160308248501564"/>
    <n v="6849000000"/>
    <n v="0.27437922176767199"/>
    <n v="2884000000"/>
  </r>
  <r>
    <s v="NSC"/>
    <n v="4"/>
    <x v="4"/>
    <d v="2016-12-31T00:00:00"/>
    <n v="9888000000"/>
    <n v="3045000000"/>
    <n v="2743000000"/>
    <n v="0"/>
    <n v="1026000000"/>
    <x v="0"/>
    <x v="57"/>
    <n v="0.69205097087378642"/>
    <n v="6843000000"/>
    <n v="0.31088187702265374"/>
    <n v="3074000000"/>
  </r>
  <r>
    <s v="NTAP"/>
    <n v="1"/>
    <x v="1"/>
    <d v="2013-04-26T00:00:00"/>
    <n v="6332400000"/>
    <n v="2571300000"/>
    <n v="2247400000"/>
    <n v="904200000"/>
    <n v="0"/>
    <x v="2"/>
    <x v="15"/>
    <n v="0.59394542353610014"/>
    <n v="3761100000"/>
    <n v="9.6251026467058298E-2"/>
    <n v="609500000"/>
  </r>
  <r>
    <s v="NTAP"/>
    <n v="2"/>
    <x v="2"/>
    <d v="2014-04-25T00:00:00"/>
    <n v="6325000000"/>
    <n v="2406000000"/>
    <n v="2179000000"/>
    <n v="918000000"/>
    <n v="0"/>
    <x v="2"/>
    <x v="15"/>
    <n v="0.61960474308300395"/>
    <n v="3919000000"/>
    <n v="0.12996047430830041"/>
    <n v="822000000"/>
  </r>
  <r>
    <s v="NTAP"/>
    <n v="3"/>
    <x v="3"/>
    <d v="2015-04-24T00:00:00"/>
    <n v="6123000000"/>
    <n v="2290000000"/>
    <n v="2197000000"/>
    <n v="920000000"/>
    <n v="0"/>
    <x v="2"/>
    <x v="15"/>
    <n v="0.62600032663726934"/>
    <n v="3833000000"/>
    <n v="0.11693614241384942"/>
    <n v="716000000"/>
  </r>
  <r>
    <s v="NTAP"/>
    <n v="4"/>
    <x v="4"/>
    <d v="2016-04-29T00:00:00"/>
    <n v="5546000000"/>
    <n v="2173000000"/>
    <n v="2099000000"/>
    <n v="861000000"/>
    <n v="0"/>
    <x v="2"/>
    <x v="15"/>
    <n v="0.60818608005769925"/>
    <n v="3373000000"/>
    <n v="7.4468085106382975E-2"/>
    <n v="413000000"/>
  </r>
  <r>
    <s v="NUE"/>
    <n v="1"/>
    <x v="0"/>
    <d v="2012-12-31T00:00:00"/>
    <n v="19429273000"/>
    <n v="17915735000"/>
    <n v="454900000"/>
    <n v="0"/>
    <n v="0"/>
    <x v="7"/>
    <x v="104"/>
    <n v="7.7899878188957494E-2"/>
    <n v="1513538000"/>
    <n v="5.448675305555694E-2"/>
    <n v="1058638000"/>
  </r>
  <r>
    <s v="NUE"/>
    <n v="2"/>
    <x v="1"/>
    <d v="2013-12-31T00:00:00"/>
    <n v="19052046000"/>
    <n v="17641421000"/>
    <n v="467904000"/>
    <n v="0"/>
    <n v="0"/>
    <x v="7"/>
    <x v="104"/>
    <n v="7.4040604352939354E-2"/>
    <n v="1410625000"/>
    <n v="4.9481352291507172E-2"/>
    <n v="942721000"/>
  </r>
  <r>
    <s v="NUE"/>
    <n v="3"/>
    <x v="2"/>
    <d v="2014-12-31T00:00:00"/>
    <n v="21105141000"/>
    <n v="19198615000"/>
    <n v="520805000"/>
    <n v="0"/>
    <n v="0"/>
    <x v="7"/>
    <x v="104"/>
    <n v="9.03346724857228E-2"/>
    <n v="1906526000"/>
    <n v="6.5657983521645272E-2"/>
    <n v="1385721000"/>
  </r>
  <r>
    <s v="NUE"/>
    <n v="4"/>
    <x v="3"/>
    <d v="2015-12-31T00:00:00"/>
    <n v="16439276000"/>
    <n v="14858014000"/>
    <n v="458989000"/>
    <n v="0"/>
    <n v="0"/>
    <x v="7"/>
    <x v="104"/>
    <n v="9.6188055970348074E-2"/>
    <n v="1581262000"/>
    <n v="6.8267787462172907E-2"/>
    <n v="1122273000"/>
  </r>
  <r>
    <s v="NVDA"/>
    <n v="1"/>
    <x v="1"/>
    <d v="2013-01-27T00:00:00"/>
    <n v="4280159000"/>
    <n v="2053816000"/>
    <n v="430822000"/>
    <n v="1147282000"/>
    <n v="0"/>
    <x v="2"/>
    <x v="7"/>
    <n v="0.52015427464260089"/>
    <n v="2226343000"/>
    <n v="0.15145208390622872"/>
    <n v="648239000"/>
  </r>
  <r>
    <s v="NVDA"/>
    <n v="2"/>
    <x v="2"/>
    <d v="2014-01-26T00:00:00"/>
    <n v="4130000000"/>
    <n v="1862000000"/>
    <n v="436000000"/>
    <n v="1336000000"/>
    <n v="0"/>
    <x v="2"/>
    <x v="7"/>
    <n v="0.54915254237288136"/>
    <n v="2268000000"/>
    <n v="0.12009685230024213"/>
    <n v="496000000"/>
  </r>
  <r>
    <s v="NVDA"/>
    <n v="3"/>
    <x v="3"/>
    <d v="2015-01-25T00:00:00"/>
    <n v="4682000000"/>
    <n v="2083000000"/>
    <n v="480000000"/>
    <n v="1360000000"/>
    <n v="0"/>
    <x v="2"/>
    <x v="7"/>
    <n v="0.55510465612985904"/>
    <n v="2599000000"/>
    <n v="0.16211020931225972"/>
    <n v="759000000"/>
  </r>
  <r>
    <s v="NVDA"/>
    <n v="4"/>
    <x v="4"/>
    <d v="2016-01-31T00:00:00"/>
    <n v="5010000000"/>
    <n v="2199000000"/>
    <n v="602000000"/>
    <n v="1331000000"/>
    <n v="0"/>
    <x v="2"/>
    <x v="7"/>
    <n v="0.56107784431137731"/>
    <n v="2811000000"/>
    <n v="0.17524950099800399"/>
    <n v="878000000"/>
  </r>
  <r>
    <s v="NWL"/>
    <n v="1"/>
    <x v="0"/>
    <d v="2012-12-31T00:00:00"/>
    <n v="5508500000"/>
    <n v="3414400000"/>
    <n v="1403500000"/>
    <n v="0"/>
    <n v="0"/>
    <x v="1"/>
    <x v="105"/>
    <n v="0.3801579377325951"/>
    <n v="2094100000"/>
    <n v="0.12536988290823273"/>
    <n v="690600000"/>
  </r>
  <r>
    <s v="NWL"/>
    <n v="2"/>
    <x v="1"/>
    <d v="2013-12-31T00:00:00"/>
    <n v="5607000000"/>
    <n v="3482100000"/>
    <n v="1399500000"/>
    <n v="0"/>
    <n v="0"/>
    <x v="1"/>
    <x v="105"/>
    <n v="0.37897271268057786"/>
    <n v="2124900000"/>
    <n v="0.12937399678972714"/>
    <n v="725400000"/>
  </r>
  <r>
    <s v="NWL"/>
    <n v="3"/>
    <x v="2"/>
    <d v="2014-12-31T00:00:00"/>
    <n v="5727000000"/>
    <n v="3523600000"/>
    <n v="1545900000"/>
    <n v="0"/>
    <n v="0"/>
    <x v="1"/>
    <x v="105"/>
    <n v="0.3847389558232932"/>
    <n v="2203400000"/>
    <n v="0.11480705430417322"/>
    <n v="657500000"/>
  </r>
  <r>
    <s v="NWL"/>
    <n v="4"/>
    <x v="3"/>
    <d v="2015-12-31T00:00:00"/>
    <n v="5915700000"/>
    <n v="3611100000"/>
    <n v="1626000000"/>
    <n v="0"/>
    <n v="0"/>
    <x v="1"/>
    <x v="105"/>
    <n v="0.38957350778437039"/>
    <n v="2304600000"/>
    <n v="0.11471169937623611"/>
    <n v="678600000"/>
  </r>
  <r>
    <s v="O"/>
    <n v="1"/>
    <x v="0"/>
    <d v="2012-12-31T00:00:00"/>
    <n v="484581000"/>
    <n v="21306000"/>
    <n v="38123000"/>
    <n v="0"/>
    <n v="147515000"/>
    <x v="6"/>
    <x v="73"/>
    <n v="0.95603211846935809"/>
    <n v="463275000"/>
    <n v="0.57294239765900845"/>
    <n v="277637000"/>
  </r>
  <r>
    <s v="O"/>
    <n v="2"/>
    <x v="1"/>
    <d v="2013-12-31T00:00:00"/>
    <n v="780209000"/>
    <n v="38851000"/>
    <n v="56881000"/>
    <n v="0"/>
    <n v="306769000"/>
    <x v="6"/>
    <x v="73"/>
    <n v="0.95020436831669464"/>
    <n v="741358000"/>
    <n v="0.48411130863653201"/>
    <n v="377708000"/>
  </r>
  <r>
    <s v="O"/>
    <n v="3"/>
    <x v="2"/>
    <d v="2014-12-31T00:00:00"/>
    <n v="933505000"/>
    <n v="53871000"/>
    <n v="51085000"/>
    <n v="0"/>
    <n v="374661000"/>
    <x v="6"/>
    <x v="73"/>
    <n v="0.94229168563639187"/>
    <n v="879634000"/>
    <n v="0.48621914183641224"/>
    <n v="453888000"/>
  </r>
  <r>
    <s v="O"/>
    <n v="4"/>
    <x v="3"/>
    <d v="2015-12-31T00:00:00"/>
    <n v="1023285000"/>
    <n v="55352000"/>
    <n v="49298000"/>
    <n v="0"/>
    <n v="409215000"/>
    <x v="6"/>
    <x v="73"/>
    <n v="0.94590754286440237"/>
    <n v="967933000"/>
    <n v="0.4978280733129089"/>
    <n v="509420000"/>
  </r>
  <r>
    <s v="OKE"/>
    <n v="1"/>
    <x v="0"/>
    <d v="2012-12-31T00:00:00"/>
    <n v="10184121000"/>
    <n v="8540319000"/>
    <n v="491725000"/>
    <n v="0"/>
    <n v="205334000"/>
    <x v="8"/>
    <x v="25"/>
    <n v="0.16140833362054519"/>
    <n v="1643802000"/>
    <n v="9.2962662167898433E-2"/>
    <n v="946743000"/>
  </r>
  <r>
    <s v="OKE"/>
    <n v="2"/>
    <x v="1"/>
    <d v="2013-12-31T00:00:00"/>
    <n v="11871879000"/>
    <n v="10222213000"/>
    <n v="541586000"/>
    <n v="0"/>
    <n v="239343000"/>
    <x v="8"/>
    <x v="25"/>
    <n v="0.13895576260506026"/>
    <n v="1649666000"/>
    <n v="7.3176032201810681E-2"/>
    <n v="868737000"/>
  </r>
  <r>
    <s v="OKE"/>
    <n v="3"/>
    <x v="2"/>
    <d v="2014-12-31T00:00:00"/>
    <n v="12195091000"/>
    <n v="10088548000"/>
    <n v="674887000"/>
    <n v="0"/>
    <n v="294684000"/>
    <x v="8"/>
    <x v="25"/>
    <n v="0.17273696440641562"/>
    <n v="2106543000"/>
    <n v="9.3231940622665294E-2"/>
    <n v="1136972000"/>
  </r>
  <r>
    <s v="OKE"/>
    <n v="4"/>
    <x v="3"/>
    <d v="2015-12-31T00:00:00"/>
    <n v="7763206000"/>
    <n v="5641052000"/>
    <n v="693331000"/>
    <n v="0"/>
    <n v="354620000"/>
    <x v="8"/>
    <x v="25"/>
    <n v="0.27336051626093649"/>
    <n v="2122154000"/>
    <n v="0.13837105443292372"/>
    <n v="1074203000"/>
  </r>
  <r>
    <s v="OMC"/>
    <n v="1"/>
    <x v="2"/>
    <d v="2014-12-31T00:00:00"/>
    <n v="15317800000"/>
    <n v="12602100000"/>
    <n v="477200000"/>
    <n v="0"/>
    <n v="294400000"/>
    <x v="1"/>
    <x v="88"/>
    <n v="0.17729047252216379"/>
    <n v="2715700000"/>
    <n v="0.12691770358667695"/>
    <n v="1944100000"/>
  </r>
  <r>
    <s v="OMC"/>
    <n v="2"/>
    <x v="3"/>
    <d v="2015-12-31T00:00:00"/>
    <n v="15134400000"/>
    <n v="12491400000"/>
    <n v="431800000"/>
    <n v="0"/>
    <n v="291100000"/>
    <x v="1"/>
    <x v="88"/>
    <n v="0.17463526799873141"/>
    <n v="2643000000"/>
    <n v="0.12686991225288086"/>
    <n v="1920100000"/>
  </r>
  <r>
    <s v="OMC"/>
    <n v="3"/>
    <x v="4"/>
    <d v="2016-12-31T00:00:00"/>
    <n v="15416900000"/>
    <n v="12671200000"/>
    <n v="443900000"/>
    <n v="0"/>
    <n v="292900000"/>
    <x v="1"/>
    <x v="88"/>
    <n v="0.17809676394087004"/>
    <n v="2745700000"/>
    <n v="0.1303050548424132"/>
    <n v="2008900000"/>
  </r>
  <r>
    <s v="ORLY"/>
    <n v="1"/>
    <x v="0"/>
    <d v="2012-12-31T00:00:00"/>
    <n v="6182184000"/>
    <n v="3084766000"/>
    <n v="2120025000"/>
    <n v="0"/>
    <n v="0"/>
    <x v="1"/>
    <x v="24"/>
    <n v="0.50102326297632027"/>
    <n v="3097418000"/>
    <n v="0.15809833547497129"/>
    <n v="977393000"/>
  </r>
  <r>
    <s v="ORLY"/>
    <n v="2"/>
    <x v="1"/>
    <d v="2013-12-31T00:00:00"/>
    <n v="6649237000"/>
    <n v="3280236000"/>
    <n v="2265516000"/>
    <n v="0"/>
    <n v="0"/>
    <x v="1"/>
    <x v="24"/>
    <n v="0.50667482599883262"/>
    <n v="3369001000"/>
    <n v="0.16595663532522603"/>
    <n v="1103485000"/>
  </r>
  <r>
    <s v="ORLY"/>
    <n v="3"/>
    <x v="2"/>
    <d v="2014-12-31T00:00:00"/>
    <n v="7216081000"/>
    <n v="3507180000"/>
    <n v="2438527000"/>
    <n v="0"/>
    <n v="0"/>
    <x v="1"/>
    <x v="24"/>
    <n v="0.51397718512306056"/>
    <n v="3708901000"/>
    <n v="0.17604763582892155"/>
    <n v="1270374000"/>
  </r>
  <r>
    <s v="ORLY"/>
    <n v="4"/>
    <x v="3"/>
    <d v="2015-12-31T00:00:00"/>
    <n v="7966674000"/>
    <n v="3804031000"/>
    <n v="2648622000"/>
    <n v="0"/>
    <n v="0"/>
    <x v="1"/>
    <x v="24"/>
    <n v="0.52250700857095445"/>
    <n v="4162643000"/>
    <n v="0.19004430205127007"/>
    <n v="1514021000"/>
  </r>
  <r>
    <s v="OXY"/>
    <n v="1"/>
    <x v="0"/>
    <d v="2012-12-31T00:00:00"/>
    <n v="20100000000"/>
    <n v="6530000000"/>
    <n v="1879000000"/>
    <n v="0"/>
    <n v="3585000000"/>
    <x v="8"/>
    <x v="25"/>
    <n v="0.67512437810945269"/>
    <n v="13570000000"/>
    <n v="0.40328358208955223"/>
    <n v="8106000000"/>
  </r>
  <r>
    <s v="OXY"/>
    <n v="2"/>
    <x v="1"/>
    <d v="2013-12-31T00:00:00"/>
    <n v="20170000000"/>
    <n v="6497000000"/>
    <n v="2108000000"/>
    <n v="0"/>
    <n v="4203000000"/>
    <x v="8"/>
    <x v="25"/>
    <n v="0.67788795240456123"/>
    <n v="13673000000"/>
    <n v="0.36499752107089739"/>
    <n v="7362000000"/>
  </r>
  <r>
    <s v="OXY"/>
    <n v="3"/>
    <x v="2"/>
    <d v="2014-12-31T00:00:00"/>
    <n v="19312000000"/>
    <n v="6803000000"/>
    <n v="2053000000"/>
    <n v="0"/>
    <n v="4261000000"/>
    <x v="8"/>
    <x v="25"/>
    <n v="0.64773198011598998"/>
    <n v="12509000000"/>
    <n v="0.32078500414250205"/>
    <n v="6195000000"/>
  </r>
  <r>
    <s v="OXY"/>
    <n v="4"/>
    <x v="3"/>
    <d v="2015-12-31T00:00:00"/>
    <n v="12480000000"/>
    <n v="5804000000"/>
    <n v="1613000000"/>
    <n v="0"/>
    <n v="4544000000"/>
    <x v="8"/>
    <x v="25"/>
    <n v="0.53493589743589742"/>
    <n v="6676000000"/>
    <n v="4.158653846153846E-2"/>
    <n v="519000000"/>
  </r>
  <r>
    <s v="EW"/>
    <n v="3"/>
    <x v="2"/>
    <d v="2014-12-31T00:00:00"/>
    <n v="2322900000"/>
    <n v="625600000"/>
    <n v="928700000"/>
    <n v="346500000"/>
    <n v="0"/>
    <x v="10"/>
    <x v="86"/>
    <n v="0.73068147574152997"/>
    <n v="1697300000"/>
    <n v="0.18171251452925222"/>
    <n v="422100000"/>
  </r>
  <r>
    <s v="EW"/>
    <n v="4"/>
    <x v="3"/>
    <d v="2015-12-31T00:00:00"/>
    <n v="2493700000"/>
    <n v="617200000"/>
    <n v="850700000"/>
    <n v="383100000"/>
    <n v="0"/>
    <x v="10"/>
    <x v="86"/>
    <n v="0.75249629065244417"/>
    <n v="1876500000"/>
    <n v="0.25772947828527892"/>
    <n v="642700000"/>
  </r>
  <r>
    <s v="GILD"/>
    <n v="1"/>
    <x v="0"/>
    <d v="2012-12-31T00:00:00"/>
    <n v="9702000000"/>
    <n v="2471000000"/>
    <n v="1461000000"/>
    <n v="1760000000"/>
    <n v="0"/>
    <x v="10"/>
    <x v="87"/>
    <n v="0.74531024531024537"/>
    <n v="7231000000"/>
    <n v="0.41331684188827045"/>
    <n v="4010000000"/>
  </r>
  <r>
    <s v="GILD"/>
    <n v="2"/>
    <x v="1"/>
    <d v="2013-12-31T00:00:00"/>
    <n v="11202000000"/>
    <n v="2859000000"/>
    <n v="1699000000"/>
    <n v="2120000000"/>
    <n v="0"/>
    <x v="10"/>
    <x v="87"/>
    <n v="0.7447777182645956"/>
    <n v="8343000000"/>
    <n v="0.40385645420460631"/>
    <n v="4524000000"/>
  </r>
  <r>
    <s v="PBI"/>
    <n v="1"/>
    <x v="0"/>
    <d v="2012-12-31T00:00:00"/>
    <n v="3823713000"/>
    <n v="1582398000"/>
    <n v="1489735000"/>
    <n v="114250000"/>
    <n v="0"/>
    <x v="0"/>
    <x v="106"/>
    <n v="0.58616193213245871"/>
    <n v="2241315000"/>
    <n v="0.16667830456940674"/>
    <n v="637330000"/>
  </r>
  <r>
    <s v="PBI"/>
    <n v="2"/>
    <x v="1"/>
    <d v="2013-12-31T00:00:00"/>
    <n v="3791335000"/>
    <n v="1650622000"/>
    <n v="1420096000"/>
    <n v="110412000"/>
    <n v="0"/>
    <x v="0"/>
    <x v="106"/>
    <n v="0.56463303823059685"/>
    <n v="2140713000"/>
    <n v="0.16094726527727041"/>
    <n v="610205000"/>
  </r>
  <r>
    <s v="PBI"/>
    <n v="3"/>
    <x v="2"/>
    <d v="2014-12-31T00:00:00"/>
    <n v="3821504000"/>
    <n v="1680791000"/>
    <n v="1378400000"/>
    <n v="109931000"/>
    <n v="0"/>
    <x v="0"/>
    <x v="106"/>
    <n v="0.56017552251678926"/>
    <n v="2140713000"/>
    <n v="0.17071341545108942"/>
    <n v="652382000"/>
  </r>
  <r>
    <s v="PBI"/>
    <n v="4"/>
    <x v="3"/>
    <d v="2015-12-31T00:00:00"/>
    <n v="3578060000"/>
    <n v="1558591000"/>
    <n v="1279961000"/>
    <n v="110156000"/>
    <n v="0"/>
    <x v="0"/>
    <x v="106"/>
    <n v="0.56440333588592706"/>
    <n v="2019469000"/>
    <n v="0.17589196380161318"/>
    <n v="629352000"/>
  </r>
  <r>
    <s v="PCAR"/>
    <n v="1"/>
    <x v="0"/>
    <d v="2012-12-31T00:00:00"/>
    <n v="16596800000"/>
    <n v="13908300000"/>
    <n v="571600000"/>
    <n v="279300000"/>
    <n v="517400000"/>
    <x v="0"/>
    <x v="38"/>
    <n v="0.16198905813168807"/>
    <n v="2688500000"/>
    <n v="7.9545454545454544E-2"/>
    <n v="1320200000"/>
  </r>
  <r>
    <s v="PCAR"/>
    <n v="2"/>
    <x v="1"/>
    <d v="2013-12-31T00:00:00"/>
    <n v="16661000000"/>
    <n v="13900700000"/>
    <n v="559500000"/>
    <n v="251400000"/>
    <n v="571700000"/>
    <x v="0"/>
    <x v="38"/>
    <n v="0.16567432927195247"/>
    <n v="2760300000"/>
    <n v="8.2690114638977255E-2"/>
    <n v="1377700000"/>
  </r>
  <r>
    <s v="PCAR"/>
    <n v="3"/>
    <x v="2"/>
    <d v="2014-12-31T00:00:00"/>
    <n v="18534400000"/>
    <n v="15481600000"/>
    <n v="561400000"/>
    <n v="215600000"/>
    <n v="588500000"/>
    <x v="0"/>
    <x v="38"/>
    <n v="0.16470994475138123"/>
    <n v="3052800000"/>
    <n v="9.1036127417127077E-2"/>
    <n v="1687300000"/>
  </r>
  <r>
    <s v="PCAR"/>
    <n v="4"/>
    <x v="3"/>
    <d v="2015-12-31T00:00:00"/>
    <n v="18671300000"/>
    <n v="15292100000"/>
    <n v="541500000"/>
    <n v="239800000"/>
    <n v="583700000"/>
    <x v="0"/>
    <x v="38"/>
    <n v="0.18098364870148298"/>
    <n v="3379200000"/>
    <n v="0.10787679486698837"/>
    <n v="2014200000"/>
  </r>
  <r>
    <s v="PCG"/>
    <n v="1"/>
    <x v="1"/>
    <d v="2013-12-31T00:00:00"/>
    <n v="15598000000"/>
    <n v="11759000000"/>
    <n v="0"/>
    <n v="0"/>
    <n v="2077000000"/>
    <x v="5"/>
    <x v="10"/>
    <n v="0.24612129760225665"/>
    <n v="3839000000"/>
    <n v="0.11296320041030901"/>
    <n v="1762000000"/>
  </r>
  <r>
    <s v="PCG"/>
    <n v="2"/>
    <x v="2"/>
    <d v="2014-12-31T00:00:00"/>
    <n v="17090000000"/>
    <n v="12207000000"/>
    <n v="0"/>
    <n v="0"/>
    <n v="2433000000"/>
    <x v="5"/>
    <x v="10"/>
    <n v="0.28572264482153309"/>
    <n v="4883000000"/>
    <n v="0.14335868929198362"/>
    <n v="2450000000"/>
  </r>
  <r>
    <s v="PCG"/>
    <n v="3"/>
    <x v="3"/>
    <d v="2015-12-31T00:00:00"/>
    <n v="16833000000"/>
    <n v="12713000000"/>
    <n v="0"/>
    <n v="0"/>
    <n v="2612000000"/>
    <x v="5"/>
    <x v="10"/>
    <n v="0.24475732192716693"/>
    <n v="4120000000"/>
    <n v="8.958593239470089E-2"/>
    <n v="1508000000"/>
  </r>
  <r>
    <s v="PCG"/>
    <n v="4"/>
    <x v="4"/>
    <d v="2016-12-31T00:00:00"/>
    <n v="17666000000"/>
    <n v="12734000000"/>
    <n v="0"/>
    <n v="0"/>
    <n v="2755000000"/>
    <x v="5"/>
    <x v="10"/>
    <n v="0.27918034642816714"/>
    <n v="4932000000"/>
    <n v="0.12323106532321974"/>
    <n v="2177000000"/>
  </r>
  <r>
    <s v="PCLN"/>
    <n v="1"/>
    <x v="0"/>
    <d v="2012-12-31T00:00:00"/>
    <n v="5260956000"/>
    <n v="1177275000"/>
    <n v="2188747000"/>
    <n v="0"/>
    <n v="65141000"/>
    <x v="1"/>
    <x v="23"/>
    <n v="0.77622413112749844"/>
    <n v="4083681000"/>
    <n v="0.3478061781927087"/>
    <n v="1829793000"/>
  </r>
  <r>
    <s v="PCLN"/>
    <n v="2"/>
    <x v="1"/>
    <d v="2013-12-31T00:00:00"/>
    <n v="6793306000"/>
    <n v="1077420000"/>
    <n v="3185497000"/>
    <n v="0"/>
    <n v="117975000"/>
    <x v="1"/>
    <x v="23"/>
    <n v="0.84139975440529247"/>
    <n v="5715886000"/>
    <n v="0.35511634541414738"/>
    <n v="2412414000"/>
  </r>
  <r>
    <s v="PCLN"/>
    <n v="3"/>
    <x v="2"/>
    <d v="2014-12-31T00:00:00"/>
    <n v="8441971000"/>
    <n v="857841000"/>
    <n v="4302998000"/>
    <n v="0"/>
    <n v="207820000"/>
    <x v="1"/>
    <x v="23"/>
    <n v="0.89838380160273001"/>
    <n v="7584130000"/>
    <n v="0.36405147565657359"/>
    <n v="3073312000"/>
  </r>
  <r>
    <s v="PCLN"/>
    <n v="4"/>
    <x v="3"/>
    <d v="2015-12-31T00:00:00"/>
    <n v="9223987000"/>
    <n v="632180000"/>
    <n v="5060406000"/>
    <n v="0"/>
    <n v="272494000"/>
    <x v="1"/>
    <x v="23"/>
    <n v="0.93146347669397189"/>
    <n v="8591807000"/>
    <n v="0.3533078483306622"/>
    <n v="3258907000"/>
  </r>
  <r>
    <s v="GILD"/>
    <n v="3"/>
    <x v="2"/>
    <d v="2014-12-31T00:00:00"/>
    <n v="24890000000"/>
    <n v="3788000000"/>
    <n v="2983000000"/>
    <n v="2854000000"/>
    <n v="0"/>
    <x v="10"/>
    <x v="87"/>
    <n v="0.84781036560867817"/>
    <n v="21102000000"/>
    <n v="0.6132985134592206"/>
    <n v="15265000000"/>
  </r>
  <r>
    <s v="GILD"/>
    <n v="4"/>
    <x v="3"/>
    <d v="2015-12-31T00:00:00"/>
    <n v="32639000000"/>
    <n v="4006000000"/>
    <n v="3426000000"/>
    <n v="3014000000"/>
    <n v="0"/>
    <x v="10"/>
    <x v="87"/>
    <n v="0.87726339655013941"/>
    <n v="28633000000"/>
    <n v="0.67995342994577035"/>
    <n v="22193000000"/>
  </r>
  <r>
    <s v="HCA"/>
    <n v="1"/>
    <x v="0"/>
    <d v="2012-12-31T00:00:00"/>
    <n v="33013000000"/>
    <n v="5717000000"/>
    <n v="20801000000"/>
    <n v="0"/>
    <n v="1679000000"/>
    <x v="10"/>
    <x v="102"/>
    <n v="0.8268257958985854"/>
    <n v="27296000000"/>
    <n v="0.14588192530215369"/>
    <n v="4816000000"/>
  </r>
  <r>
    <s v="HCA"/>
    <n v="2"/>
    <x v="1"/>
    <d v="2013-12-31T00:00:00"/>
    <n v="34182000000"/>
    <n v="5970000000"/>
    <n v="21667000000"/>
    <n v="0"/>
    <n v="1753000000"/>
    <x v="10"/>
    <x v="102"/>
    <n v="0.82534667368790593"/>
    <n v="28212000000"/>
    <n v="0.14019074366625708"/>
    <n v="4792000000"/>
  </r>
  <r>
    <s v="PEG"/>
    <n v="1"/>
    <x v="0"/>
    <d v="2012-12-31T00:00:00"/>
    <n v="9781000000"/>
    <n v="6351000000"/>
    <n v="98000000"/>
    <n v="0"/>
    <n v="1054000000"/>
    <x v="5"/>
    <x v="11"/>
    <n v="0.35067988958184237"/>
    <n v="3430000000"/>
    <n v="0.2329005214190778"/>
    <n v="2278000000"/>
  </r>
  <r>
    <s v="PEG"/>
    <n v="2"/>
    <x v="1"/>
    <d v="2013-12-31T00:00:00"/>
    <n v="9968000000"/>
    <n v="6423000000"/>
    <n v="68000000"/>
    <n v="0"/>
    <n v="1178000000"/>
    <x v="5"/>
    <x v="11"/>
    <n v="0.35563804173354741"/>
    <n v="3545000000"/>
    <n v="0.23063804173354735"/>
    <n v="2299000000"/>
  </r>
  <r>
    <s v="PEG"/>
    <n v="3"/>
    <x v="2"/>
    <d v="2014-12-31T00:00:00"/>
    <n v="10886000000"/>
    <n v="7036000000"/>
    <n v="0"/>
    <n v="0"/>
    <n v="1227000000"/>
    <x v="5"/>
    <x v="11"/>
    <n v="0.35366525812970784"/>
    <n v="3850000000"/>
    <n v="0.24095168105823994"/>
    <n v="2623000000"/>
  </r>
  <r>
    <s v="PEG"/>
    <n v="4"/>
    <x v="3"/>
    <d v="2015-12-31T00:00:00"/>
    <n v="10415000000"/>
    <n v="6239000000"/>
    <n v="0"/>
    <n v="0"/>
    <n v="1214000000"/>
    <x v="5"/>
    <x v="11"/>
    <n v="0.40096015362457993"/>
    <n v="4176000000"/>
    <n v="0.28439750360057608"/>
    <n v="2962000000"/>
  </r>
  <r>
    <s v="PEP"/>
    <n v="1"/>
    <x v="1"/>
    <d v="2013-12-28T00:00:00"/>
    <n v="66415000000"/>
    <n v="31243000000"/>
    <n v="25357000000"/>
    <n v="0"/>
    <n v="110000000"/>
    <x v="4"/>
    <x v="66"/>
    <n v="0.52957916133403593"/>
    <n v="35172000000"/>
    <n v="0.14612662802077844"/>
    <n v="9705000000"/>
  </r>
  <r>
    <s v="PEP"/>
    <n v="2"/>
    <x v="2"/>
    <d v="2014-12-27T00:00:00"/>
    <n v="66683000000"/>
    <n v="31238000000"/>
    <n v="25772000000"/>
    <n v="0"/>
    <n v="92000000"/>
    <x v="4"/>
    <x v="66"/>
    <n v="0.5315447715309749"/>
    <n v="35445000000"/>
    <n v="0.14367979844937989"/>
    <n v="9581000000"/>
  </r>
  <r>
    <s v="PEP"/>
    <n v="3"/>
    <x v="3"/>
    <d v="2015-12-26T00:00:00"/>
    <n v="63056000000"/>
    <n v="28731000000"/>
    <n v="24538000000"/>
    <n v="0"/>
    <n v="75000000"/>
    <x v="4"/>
    <x v="66"/>
    <n v="0.54435739659984783"/>
    <n v="34325000000"/>
    <n v="0.15402182187262117"/>
    <n v="9712000000"/>
  </r>
  <r>
    <s v="PEP"/>
    <n v="4"/>
    <x v="4"/>
    <d v="2016-12-31T00:00:00"/>
    <n v="62799000000"/>
    <n v="28209000000"/>
    <n v="24735000000"/>
    <n v="0"/>
    <n v="70000000"/>
    <x v="4"/>
    <x v="66"/>
    <n v="0.55080494912339373"/>
    <n v="34590000000"/>
    <n v="0.1558145830347617"/>
    <n v="9785000000"/>
  </r>
  <r>
    <s v="HCA"/>
    <n v="3"/>
    <x v="2"/>
    <d v="2014-12-31T00:00:00"/>
    <n v="36918000000"/>
    <n v="6262000000"/>
    <n v="23271000000"/>
    <n v="0"/>
    <n v="1820000000"/>
    <x v="10"/>
    <x v="102"/>
    <n v="0.83038084403272117"/>
    <n v="30656000000"/>
    <n v="0.15073947667804324"/>
    <n v="5565000000"/>
  </r>
  <r>
    <s v="HCA"/>
    <n v="4"/>
    <x v="3"/>
    <d v="2015-12-31T00:00:00"/>
    <n v="39678000000"/>
    <n v="6638000000"/>
    <n v="25171000000"/>
    <n v="0"/>
    <n v="1904000000"/>
    <x v="10"/>
    <x v="102"/>
    <n v="0.83270326125308736"/>
    <n v="33040000000"/>
    <n v="0.15033519834669087"/>
    <n v="5965000000"/>
  </r>
  <r>
    <s v="HOLX"/>
    <n v="1"/>
    <x v="1"/>
    <d v="2013-09-28T00:00:00"/>
    <n v="2492300000"/>
    <n v="1330900000"/>
    <n v="661100000"/>
    <n v="197600000"/>
    <n v="112600000"/>
    <x v="10"/>
    <x v="86"/>
    <n v="0.46599526541748582"/>
    <n v="1161400000"/>
    <n v="7.627492677446536E-2"/>
    <n v="190100000"/>
  </r>
  <r>
    <s v="HOLX"/>
    <n v="2"/>
    <x v="2"/>
    <d v="2014-09-27T00:00:00"/>
    <n v="2530700000"/>
    <n v="1285200000"/>
    <n v="591500000"/>
    <n v="203200000"/>
    <n v="113800000"/>
    <x v="10"/>
    <x v="86"/>
    <n v="0.49215632038566404"/>
    <n v="1245500000"/>
    <n v="0.13316473702928044"/>
    <n v="337000000"/>
  </r>
  <r>
    <s v="HOLX"/>
    <n v="3"/>
    <x v="3"/>
    <d v="2015-09-26T00:00:00"/>
    <n v="2705000000"/>
    <n v="1272300000"/>
    <n v="624000000"/>
    <n v="214900000"/>
    <n v="110200000"/>
    <x v="10"/>
    <x v="86"/>
    <n v="0.52964879852125701"/>
    <n v="1432700000"/>
    <n v="0.17878003696857672"/>
    <n v="483600000"/>
  </r>
  <r>
    <s v="HOLX"/>
    <n v="4"/>
    <x v="4"/>
    <d v="2016-09-24T00:00:00"/>
    <n v="2832700000"/>
    <n v="1269400000"/>
    <n v="682400000"/>
    <n v="232100000"/>
    <n v="89700000"/>
    <x v="10"/>
    <x v="86"/>
    <n v="0.55187630176157021"/>
    <n v="1563300000"/>
    <n v="0.19737353055388851"/>
    <n v="559100000"/>
  </r>
  <r>
    <s v="HSIC"/>
    <n v="1"/>
    <x v="0"/>
    <d v="2012-12-29T00:00:00"/>
    <n v="8939967000"/>
    <n v="6432454000"/>
    <n v="1873360000"/>
    <n v="0"/>
    <n v="0"/>
    <x v="10"/>
    <x v="85"/>
    <n v="0.28048347382042904"/>
    <n v="2507513000"/>
    <n v="7.0934601883877194E-2"/>
    <n v="634153000"/>
  </r>
  <r>
    <s v="HSIC"/>
    <n v="2"/>
    <x v="1"/>
    <d v="2013-12-28T00:00:00"/>
    <n v="9560647000"/>
    <n v="6904633000"/>
    <n v="1978960000"/>
    <n v="0"/>
    <n v="0"/>
    <x v="10"/>
    <x v="85"/>
    <n v="0.27780693084892683"/>
    <n v="2656014000"/>
    <n v="7.0816755393228098E-2"/>
    <n v="677054000"/>
  </r>
  <r>
    <s v="PG"/>
    <n v="1"/>
    <x v="1"/>
    <d v="2013-12-31T00:00:00"/>
    <n v="2104745000"/>
    <n v="155355000"/>
    <n v="346393000"/>
    <n v="859947000"/>
    <n v="0"/>
    <x v="4"/>
    <x v="54"/>
    <n v="0.92618820807271185"/>
    <n v="1949390000"/>
    <n v="0.35303564089711581"/>
    <n v="743050000"/>
  </r>
  <r>
    <s v="PG"/>
    <n v="2"/>
    <x v="2"/>
    <d v="2014-12-31T00:00:00"/>
    <n v="2819557000"/>
    <n v="205018000"/>
    <n v="519267000"/>
    <n v="1271353000"/>
    <n v="0"/>
    <x v="4"/>
    <x v="54"/>
    <n v="0.92728715894021652"/>
    <n v="2614539000"/>
    <n v="0.29221576297269392"/>
    <n v="823919000"/>
  </r>
  <r>
    <s v="PG"/>
    <n v="3"/>
    <x v="3"/>
    <d v="2015-12-31T00:00:00"/>
    <n v="4103728000"/>
    <n v="392709000"/>
    <n v="838526000"/>
    <n v="1620577000"/>
    <n v="0"/>
    <x v="4"/>
    <x v="54"/>
    <n v="0.90430433011154732"/>
    <n v="3711019000"/>
    <n v="0.30506797721486412"/>
    <n v="1251916000"/>
  </r>
  <r>
    <s v="PG"/>
    <n v="4"/>
    <x v="4"/>
    <d v="2016-12-31T00:00:00"/>
    <n v="4860427000"/>
    <n v="299694000"/>
    <n v="1177697000"/>
    <n v="2052295000"/>
    <n v="0"/>
    <x v="4"/>
    <x v="54"/>
    <n v="0.93833998535519614"/>
    <n v="4560733000"/>
    <n v="0.27379096527938801"/>
    <n v="1330741000"/>
  </r>
  <r>
    <s v="HSIC"/>
    <n v="3"/>
    <x v="2"/>
    <d v="2014-12-27T00:00:00"/>
    <n v="10371390000"/>
    <n v="7460075000"/>
    <n v="2196173000"/>
    <n v="0"/>
    <n v="0"/>
    <x v="10"/>
    <x v="85"/>
    <n v="0.28070634697952734"/>
    <n v="2911315000"/>
    <n v="6.8953341837497198E-2"/>
    <n v="715142000"/>
  </r>
  <r>
    <s v="HSIC"/>
    <n v="4"/>
    <x v="3"/>
    <d v="2015-12-26T00:00:00"/>
    <n v="10629719000"/>
    <n v="7617460000"/>
    <n v="2243356000"/>
    <n v="0"/>
    <n v="0"/>
    <x v="10"/>
    <x v="85"/>
    <n v="0.28338086829952891"/>
    <n v="3012259000"/>
    <n v="7.2335214129366915E-2"/>
    <n v="768903000"/>
  </r>
  <r>
    <s v="HUM"/>
    <n v="1"/>
    <x v="1"/>
    <d v="2013-12-31T00:00:00"/>
    <n v="41313000000"/>
    <n v="32564000000"/>
    <n v="0"/>
    <n v="0"/>
    <n v="6688000000"/>
    <x v="10"/>
    <x v="89"/>
    <n v="0.21177353375450825"/>
    <n v="8749000000"/>
    <n v="4.9887444630019609E-2"/>
    <n v="2061000000"/>
  </r>
  <r>
    <s v="HUM"/>
    <n v="2"/>
    <x v="2"/>
    <d v="2014-12-31T00:00:00"/>
    <n v="48500000000"/>
    <n v="38166000000"/>
    <n v="0"/>
    <n v="0"/>
    <n v="7972000000"/>
    <x v="10"/>
    <x v="89"/>
    <n v="0.2130721649484536"/>
    <n v="10334000000"/>
    <n v="4.8701030927835051E-2"/>
    <n v="2362000000"/>
  </r>
  <r>
    <s v="PH"/>
    <n v="1"/>
    <x v="1"/>
    <d v="2013-06-30T00:00:00"/>
    <n v="13015704000"/>
    <n v="10086675000"/>
    <n v="1554973000"/>
    <n v="0"/>
    <n v="0"/>
    <x v="0"/>
    <x v="52"/>
    <n v="0.22503807707981072"/>
    <n v="2929029000"/>
    <n v="0.1055690879264003"/>
    <n v="1374056000"/>
  </r>
  <r>
    <s v="PH"/>
    <n v="2"/>
    <x v="2"/>
    <d v="2014-06-30T00:00:00"/>
    <n v="13215971000"/>
    <n v="10188227000"/>
    <n v="1633992000"/>
    <n v="0"/>
    <n v="0"/>
    <x v="0"/>
    <x v="52"/>
    <n v="0.22909735501084261"/>
    <n v="3027744000"/>
    <n v="0.10545967451048432"/>
    <n v="1393752000"/>
  </r>
  <r>
    <s v="PH"/>
    <n v="3"/>
    <x v="3"/>
    <d v="2015-06-30T00:00:00"/>
    <n v="12711744000"/>
    <n v="9655245000"/>
    <n v="1544746000"/>
    <n v="0"/>
    <n v="0"/>
    <x v="0"/>
    <x v="52"/>
    <n v="0.24044686551271011"/>
    <n v="3056499000"/>
    <n v="0.11892569579752393"/>
    <n v="1511753000"/>
  </r>
  <r>
    <s v="PH"/>
    <n v="4"/>
    <x v="4"/>
    <d v="2016-06-30T00:00:00"/>
    <n v="11360753000"/>
    <n v="8823384000"/>
    <n v="1359360000"/>
    <n v="0"/>
    <n v="0"/>
    <x v="0"/>
    <x v="52"/>
    <n v="0.22334514270312888"/>
    <n v="2537369000"/>
    <n v="0.10369110216549907"/>
    <n v="1178009000"/>
  </r>
  <r>
    <s v="PHM"/>
    <n v="1"/>
    <x v="1"/>
    <d v="2013-12-31T00:00:00"/>
    <n v="5679595000"/>
    <n v="4507196000"/>
    <n v="568500000"/>
    <n v="0"/>
    <n v="0"/>
    <x v="1"/>
    <x v="63"/>
    <n v="0.20642299318877488"/>
    <n v="1172399000"/>
    <n v="0.10632782795252126"/>
    <n v="603899000"/>
  </r>
  <r>
    <s v="PHM"/>
    <n v="2"/>
    <x v="2"/>
    <d v="2014-12-31T00:00:00"/>
    <n v="5822363000"/>
    <n v="4244479000"/>
    <n v="861390000"/>
    <n v="0"/>
    <n v="0"/>
    <x v="1"/>
    <x v="63"/>
    <n v="0.27100405797439975"/>
    <n v="1577884000"/>
    <n v="0.12305897107411544"/>
    <n v="716494000"/>
  </r>
  <r>
    <s v="PHM"/>
    <n v="3"/>
    <x v="3"/>
    <d v="2015-12-31T00:00:00"/>
    <n v="5981964000"/>
    <n v="4353850000"/>
    <n v="794728000"/>
    <n v="0"/>
    <n v="0"/>
    <x v="1"/>
    <x v="63"/>
    <n v="0.27217047778956882"/>
    <n v="1628114000"/>
    <n v="0.13931645192114162"/>
    <n v="833386000"/>
  </r>
  <r>
    <s v="PHM"/>
    <n v="4"/>
    <x v="4"/>
    <d v="2016-12-31T00:00:00"/>
    <n v="7668476000"/>
    <n v="5728662000"/>
    <n v="957150000"/>
    <n v="0"/>
    <n v="0"/>
    <x v="1"/>
    <x v="63"/>
    <n v="0.25295951894483337"/>
    <n v="1939814000"/>
    <n v="0.12814332339307055"/>
    <n v="982664000"/>
  </r>
  <r>
    <s v="HUM"/>
    <n v="3"/>
    <x v="3"/>
    <d v="2015-12-31T00:00:00"/>
    <n v="54289000000"/>
    <n v="44269000000"/>
    <n v="0"/>
    <n v="0"/>
    <n v="7673000000"/>
    <x v="10"/>
    <x v="89"/>
    <n v="0.18456777616091657"/>
    <n v="10020000000"/>
    <n v="4.3231593877212697E-2"/>
    <n v="2347000000"/>
  </r>
  <r>
    <s v="HUM"/>
    <n v="4"/>
    <x v="4"/>
    <d v="2016-12-31T00:00:00"/>
    <n v="54379000000"/>
    <n v="45007000000"/>
    <n v="0"/>
    <n v="0"/>
    <n v="7631000000"/>
    <x v="10"/>
    <x v="89"/>
    <n v="0.17234594236745804"/>
    <n v="9372000000"/>
    <n v="3.2016035601978708E-2"/>
    <n v="1741000000"/>
  </r>
  <r>
    <s v="IDXX"/>
    <n v="1"/>
    <x v="0"/>
    <d v="2012-12-31T00:00:00"/>
    <n v="1293338000"/>
    <n v="594190000"/>
    <n v="354571000"/>
    <n v="82014000"/>
    <n v="0"/>
    <x v="10"/>
    <x v="86"/>
    <n v="0.54057639998206186"/>
    <n v="699148000"/>
    <n v="0.2030118963488276"/>
    <n v="262563000"/>
  </r>
  <r>
    <s v="IDXX"/>
    <n v="2"/>
    <x v="1"/>
    <d v="2013-12-31T00:00:00"/>
    <n v="1377058000"/>
    <n v="620940000"/>
    <n v="401353000"/>
    <n v="88003000"/>
    <n v="0"/>
    <x v="10"/>
    <x v="86"/>
    <n v="0.54908217373560153"/>
    <n v="756118000"/>
    <n v="0.19371878308684165"/>
    <n v="266762000"/>
  </r>
  <r>
    <s v="PM"/>
    <n v="1"/>
    <x v="1"/>
    <d v="2013-12-31T00:00:00"/>
    <n v="80029000000"/>
    <n v="59222000000"/>
    <n v="6890000000"/>
    <n v="0"/>
    <n v="93000000"/>
    <x v="4"/>
    <x v="99"/>
    <n v="0.25999325244598837"/>
    <n v="20807000000"/>
    <n v="0.1727373826987717"/>
    <n v="13824000000"/>
  </r>
  <r>
    <s v="PM"/>
    <n v="2"/>
    <x v="2"/>
    <d v="2014-12-31T00:00:00"/>
    <n v="80106000000"/>
    <n v="60775000000"/>
    <n v="7001000000"/>
    <n v="0"/>
    <n v="93000000"/>
    <x v="4"/>
    <x v="99"/>
    <n v="0.24131775397598187"/>
    <n v="19331000000"/>
    <n v="0.15276009287693806"/>
    <n v="12237000000"/>
  </r>
  <r>
    <s v="PM"/>
    <n v="3"/>
    <x v="3"/>
    <d v="2015-12-31T00:00:00"/>
    <n v="73908000000"/>
    <n v="56479000000"/>
    <n v="6656000000"/>
    <n v="0"/>
    <n v="82000000"/>
    <x v="4"/>
    <x v="99"/>
    <n v="0.23582020890837252"/>
    <n v="17429000000"/>
    <n v="0.14465281160361532"/>
    <n v="10691000000"/>
  </r>
  <r>
    <s v="PM"/>
    <n v="4"/>
    <x v="4"/>
    <d v="2016-12-31T00:00:00"/>
    <n v="74953000000"/>
    <n v="57659000000"/>
    <n v="6405000000"/>
    <n v="0"/>
    <n v="74000000"/>
    <x v="4"/>
    <x v="99"/>
    <n v="0.23073125825517327"/>
    <n v="17294000000"/>
    <n v="0.14429042199778527"/>
    <n v="10815000000"/>
  </r>
  <r>
    <s v="IDXX"/>
    <n v="3"/>
    <x v="2"/>
    <d v="2014-12-31T00:00:00"/>
    <n v="1485807000"/>
    <n v="669691000"/>
    <n v="457598000"/>
    <n v="98263000"/>
    <n v="0"/>
    <x v="10"/>
    <x v="86"/>
    <n v="0.5492745693081269"/>
    <n v="816116000"/>
    <n v="0.17516070391376537"/>
    <n v="260255000"/>
  </r>
  <r>
    <s v="IDXX"/>
    <n v="4"/>
    <x v="3"/>
    <d v="2015-12-31T00:00:00"/>
    <n v="1601892000"/>
    <n v="711622000"/>
    <n v="482465000"/>
    <n v="99681000"/>
    <n v="0"/>
    <x v="10"/>
    <x v="86"/>
    <n v="0.55576156195299053"/>
    <n v="890270000"/>
    <n v="0.19235004607052161"/>
    <n v="308124000"/>
  </r>
  <r>
    <s v="ILMN"/>
    <n v="1"/>
    <x v="1"/>
    <d v="2013-12-29T00:00:00"/>
    <n v="1421178000"/>
    <n v="509291000"/>
    <n v="397285000"/>
    <n v="276743000"/>
    <n v="0"/>
    <x v="10"/>
    <x v="107"/>
    <n v="0.64164165220683123"/>
    <n v="911887000"/>
    <n v="0.16736749372703488"/>
    <n v="237859000"/>
  </r>
  <r>
    <s v="ILMN"/>
    <n v="2"/>
    <x v="2"/>
    <d v="2014-12-28T00:00:00"/>
    <n v="1861358000"/>
    <n v="563648000"/>
    <n v="471921000"/>
    <n v="388055000"/>
    <n v="0"/>
    <x v="10"/>
    <x v="107"/>
    <n v="0.69718452871505643"/>
    <n v="1297710000"/>
    <n v="0.23516916144019581"/>
    <n v="437734000"/>
  </r>
  <r>
    <s v="PNR"/>
    <n v="1"/>
    <x v="0"/>
    <d v="2012-12-31T00:00:00"/>
    <n v="4306800000"/>
    <n v="3040900000"/>
    <n v="1117700000"/>
    <n v="92300000"/>
    <n v="0"/>
    <x v="0"/>
    <x v="51"/>
    <n v="0.29393052846661094"/>
    <n v="1265900000"/>
    <n v="1.2979474319680506E-2"/>
    <n v="55900000"/>
  </r>
  <r>
    <s v="PNR"/>
    <n v="2"/>
    <x v="1"/>
    <d v="2013-12-31T00:00:00"/>
    <n v="6999700000"/>
    <n v="4629600000"/>
    <n v="1493700000"/>
    <n v="122800000"/>
    <n v="0"/>
    <x v="0"/>
    <x v="51"/>
    <n v="0.33860022572395965"/>
    <n v="2370100000"/>
    <n v="0.10766175693243996"/>
    <n v="753600000"/>
  </r>
  <r>
    <s v="PNR"/>
    <n v="3"/>
    <x v="2"/>
    <d v="2014-12-31T00:00:00"/>
    <n v="7039000000"/>
    <n v="4576000000"/>
    <n v="1493800000"/>
    <n v="117300000"/>
    <n v="0"/>
    <x v="0"/>
    <x v="51"/>
    <n v="0.34990765733769003"/>
    <n v="2463000000"/>
    <n v="0.12102571387981248"/>
    <n v="851900000"/>
  </r>
  <r>
    <s v="PNR"/>
    <n v="4"/>
    <x v="3"/>
    <d v="2015-12-31T00:00:00"/>
    <n v="6449000000"/>
    <n v="4263200000"/>
    <n v="1334300000"/>
    <n v="119600000"/>
    <n v="0"/>
    <x v="0"/>
    <x v="51"/>
    <n v="0.33893626918902153"/>
    <n v="2185800000"/>
    <n v="0.11349046363777329"/>
    <n v="731900000"/>
  </r>
  <r>
    <s v="PNW"/>
    <n v="1"/>
    <x v="0"/>
    <d v="2012-12-31T00:00:00"/>
    <n v="3301804000"/>
    <n v="1879559000"/>
    <n v="166154000"/>
    <n v="0"/>
    <n v="404336000"/>
    <x v="5"/>
    <x v="10"/>
    <n v="0.43074785783771541"/>
    <n v="1422245000"/>
    <n v="0.25796655404136648"/>
    <n v="851755000"/>
  </r>
  <r>
    <s v="PNW"/>
    <n v="2"/>
    <x v="1"/>
    <d v="2013-12-31T00:00:00"/>
    <n v="3454628000"/>
    <n v="2020436000"/>
    <n v="172161000"/>
    <n v="0"/>
    <n v="415708000"/>
    <x v="5"/>
    <x v="10"/>
    <n v="0.4151509221832278"/>
    <n v="1434192000"/>
    <n v="0.24498238305253128"/>
    <n v="846323000"/>
  </r>
  <r>
    <s v="PNW"/>
    <n v="3"/>
    <x v="2"/>
    <d v="2014-12-31T00:00:00"/>
    <n v="3491632000"/>
    <n v="2087854000"/>
    <n v="175178000"/>
    <n v="0"/>
    <n v="417358000"/>
    <x v="5"/>
    <x v="10"/>
    <n v="0.40204065033199377"/>
    <n v="1403778000"/>
    <n v="0.23233891773245291"/>
    <n v="811242000"/>
  </r>
  <r>
    <s v="PNW"/>
    <n v="4"/>
    <x v="3"/>
    <d v="2015-12-31T00:00:00"/>
    <n v="3495443000"/>
    <n v="1969675000"/>
    <n v="176744000"/>
    <n v="0"/>
    <n v="494422000"/>
    <x v="5"/>
    <x v="10"/>
    <n v="0.43650203994171843"/>
    <n v="1525768000"/>
    <n v="0.24449032640497928"/>
    <n v="854602000"/>
  </r>
  <r>
    <s v="PPG"/>
    <n v="1"/>
    <x v="1"/>
    <d v="2013-12-31T00:00:00"/>
    <n v="14265000000"/>
    <n v="8314000000"/>
    <n v="3486000000"/>
    <n v="463000000"/>
    <n v="452000000"/>
    <x v="7"/>
    <x v="61"/>
    <n v="0.41717490361023479"/>
    <n v="5951000000"/>
    <n v="0.10865755345250613"/>
    <n v="1550000000"/>
  </r>
  <r>
    <s v="PPG"/>
    <n v="2"/>
    <x v="2"/>
    <d v="2014-12-31T00:00:00"/>
    <n v="14791000000"/>
    <n v="8348000000"/>
    <n v="4013000000"/>
    <n v="483000000"/>
    <n v="450000000"/>
    <x v="7"/>
    <x v="61"/>
    <n v="0.4356027313907106"/>
    <n v="6443000000"/>
    <n v="0.10121019538908796"/>
    <n v="1497000000"/>
  </r>
  <r>
    <s v="PPG"/>
    <n v="3"/>
    <x v="3"/>
    <d v="2015-12-31T00:00:00"/>
    <n v="14766000000"/>
    <n v="8206000000"/>
    <n v="3624000000"/>
    <n v="476000000"/>
    <n v="471000000"/>
    <x v="7"/>
    <x v="61"/>
    <n v="0.44426384938371932"/>
    <n v="6560000000"/>
    <n v="0.13470134091832589"/>
    <n v="1989000000"/>
  </r>
  <r>
    <s v="PPG"/>
    <n v="4"/>
    <x v="4"/>
    <d v="2016-12-31T00:00:00"/>
    <n v="14751000000"/>
    <n v="8063000000"/>
    <n v="4630000000"/>
    <n v="466000000"/>
    <n v="462000000"/>
    <x v="7"/>
    <x v="61"/>
    <n v="0.45339299030574198"/>
    <n v="6688000000"/>
    <n v="7.6604975933835001E-2"/>
    <n v="1130000000"/>
  </r>
  <r>
    <s v="PPL"/>
    <n v="1"/>
    <x v="0"/>
    <d v="2012-12-31T00:00:00"/>
    <n v="12132000000"/>
    <n v="4876000000"/>
    <n v="3143000000"/>
    <n v="0"/>
    <n v="1087000000"/>
    <x v="5"/>
    <x v="11"/>
    <n v="0.59808770194526872"/>
    <n v="7256000000"/>
    <n v="0.249423013517969"/>
    <n v="3026000000"/>
  </r>
  <r>
    <s v="PPL"/>
    <n v="2"/>
    <x v="1"/>
    <d v="2013-12-31T00:00:00"/>
    <n v="7263000000"/>
    <n v="1751000000"/>
    <n v="2108000000"/>
    <n v="0"/>
    <n v="843000000"/>
    <x v="5"/>
    <x v="11"/>
    <n v="0.7589150488778742"/>
    <n v="5512000000"/>
    <n v="0.35260911469089906"/>
    <n v="2561000000"/>
  </r>
  <r>
    <s v="PPL"/>
    <n v="3"/>
    <x v="2"/>
    <d v="2014-12-31T00:00:00"/>
    <n v="7852000000"/>
    <n v="1889000000"/>
    <n v="2173000000"/>
    <n v="0"/>
    <n v="923000000"/>
    <x v="5"/>
    <x v="11"/>
    <n v="0.75942435048395307"/>
    <n v="5963000000"/>
    <n v="0.36512990320937339"/>
    <n v="2867000000"/>
  </r>
  <r>
    <s v="PPL"/>
    <n v="4"/>
    <x v="3"/>
    <d v="2015-12-31T00:00:00"/>
    <n v="7669000000"/>
    <n v="1718000000"/>
    <n v="2237000000"/>
    <n v="0"/>
    <n v="883000000"/>
    <x v="5"/>
    <x v="11"/>
    <n v="0.77598122310601125"/>
    <n v="5951000000"/>
    <n v="0.36914852001564741"/>
    <n v="2831000000"/>
  </r>
  <r>
    <s v="ILMN"/>
    <n v="3"/>
    <x v="4"/>
    <d v="2016-01-03T00:00:00"/>
    <n v="2219762000"/>
    <n v="670472000"/>
    <n v="522046000"/>
    <n v="401527000"/>
    <n v="0"/>
    <x v="10"/>
    <x v="107"/>
    <n v="0.69795320399213967"/>
    <n v="1549290000"/>
    <n v="0.28188472457858094"/>
    <n v="625717000"/>
  </r>
  <r>
    <s v="ILMN"/>
    <n v="4"/>
    <x v="9"/>
    <d v="2017-01-01T00:00:00"/>
    <n v="2398373000"/>
    <n v="731925000"/>
    <n v="584491000"/>
    <n v="504415000"/>
    <n v="0"/>
    <x v="10"/>
    <x v="107"/>
    <n v="0.69482436635168932"/>
    <n v="1666448000"/>
    <n v="0.24080574622879761"/>
    <n v="577542000"/>
  </r>
  <r>
    <s v="ISRG"/>
    <n v="1"/>
    <x v="1"/>
    <d v="2013-12-31T00:00:00"/>
    <n v="2265100000"/>
    <n v="670900000"/>
    <n v="574000000"/>
    <n v="167700000"/>
    <n v="0"/>
    <x v="10"/>
    <x v="86"/>
    <n v="0.7038099863140701"/>
    <n v="1594200000"/>
    <n v="0.37636307447794798"/>
    <n v="852500000"/>
  </r>
  <r>
    <s v="ISRG"/>
    <n v="2"/>
    <x v="2"/>
    <d v="2014-12-31T00:00:00"/>
    <n v="2131700000"/>
    <n v="717900000"/>
    <n v="691000000"/>
    <n v="178000000"/>
    <n v="0"/>
    <x v="10"/>
    <x v="86"/>
    <n v="0.66322653281418587"/>
    <n v="1413800000"/>
    <n v="0.25557067129521038"/>
    <n v="544800000"/>
  </r>
  <r>
    <s v="PSX"/>
    <n v="1"/>
    <x v="0"/>
    <d v="2012-12-31T00:00:00"/>
    <n v="179290000000"/>
    <n v="158446000000"/>
    <n v="15443000000"/>
    <n v="0"/>
    <n v="931000000"/>
    <x v="8"/>
    <x v="92"/>
    <n v="0.1162585754922193"/>
    <n v="20844000000"/>
    <n v="2.4931674940041275E-2"/>
    <n v="4470000000"/>
  </r>
  <r>
    <s v="PSX"/>
    <n v="2"/>
    <x v="1"/>
    <d v="2013-12-31T00:00:00"/>
    <n v="171596000000"/>
    <n v="152451000000"/>
    <n v="15597000000"/>
    <n v="0"/>
    <n v="971000000"/>
    <x v="8"/>
    <x v="92"/>
    <n v="0.11157019977155647"/>
    <n v="19145000000"/>
    <n v="1.5017832583510105E-2"/>
    <n v="2577000000"/>
  </r>
  <r>
    <s v="PSX"/>
    <n v="3"/>
    <x v="2"/>
    <d v="2014-12-31T00:00:00"/>
    <n v="161212000000"/>
    <n v="140183000000"/>
    <n v="16703000000"/>
    <n v="0"/>
    <n v="1019000000"/>
    <x v="8"/>
    <x v="92"/>
    <n v="0.13044314319033323"/>
    <n v="21029000000"/>
    <n v="2.051336128824157E-2"/>
    <n v="3307000000"/>
  </r>
  <r>
    <s v="PSX"/>
    <n v="4"/>
    <x v="3"/>
    <d v="2015-12-31T00:00:00"/>
    <n v="98975000000"/>
    <n v="77693000000"/>
    <n v="15747000000"/>
    <n v="0"/>
    <n v="1099000000"/>
    <x v="8"/>
    <x v="92"/>
    <n v="0.21502399595857535"/>
    <n v="21282000000"/>
    <n v="4.4819398838090427E-2"/>
    <n v="4436000000"/>
  </r>
  <r>
    <s v="PVH"/>
    <n v="1"/>
    <x v="1"/>
    <d v="2013-02-03T00:00:00"/>
    <n v="6043000000"/>
    <n v="2793800000"/>
    <n v="2594300000"/>
    <n v="0"/>
    <n v="0"/>
    <x v="1"/>
    <x v="78"/>
    <n v="0.53767996028462683"/>
    <n v="3249200000"/>
    <n v="0.10837332450769485"/>
    <n v="654900000"/>
  </r>
  <r>
    <s v="PVH"/>
    <n v="2"/>
    <x v="2"/>
    <d v="2014-02-02T00:00:00"/>
    <n v="8186400000"/>
    <n v="3967100000"/>
    <n v="3673500000"/>
    <n v="0"/>
    <n v="0"/>
    <x v="1"/>
    <x v="78"/>
    <n v="0.51540359620834553"/>
    <n v="4219300000"/>
    <n v="6.6671552819310073E-2"/>
    <n v="545800000"/>
  </r>
  <r>
    <s v="PVH"/>
    <n v="3"/>
    <x v="3"/>
    <d v="2015-02-01T00:00:00"/>
    <n v="8241200000"/>
    <n v="3914500000"/>
    <n v="3713600000"/>
    <n v="0"/>
    <n v="0"/>
    <x v="1"/>
    <x v="78"/>
    <n v="0.52500849390865412"/>
    <n v="4326700000"/>
    <n v="7.439450565451633E-2"/>
    <n v="613100000"/>
  </r>
  <r>
    <s v="PVH"/>
    <n v="4"/>
    <x v="4"/>
    <d v="2016-01-31T00:00:00"/>
    <n v="8020300000"/>
    <n v="3858700000"/>
    <n v="3417700000"/>
    <n v="0"/>
    <n v="0"/>
    <x v="1"/>
    <x v="78"/>
    <n v="0.51888333354113936"/>
    <n v="4161600000"/>
    <n v="9.2752141441093228E-2"/>
    <n v="743900000"/>
  </r>
  <r>
    <s v="PWR"/>
    <n v="1"/>
    <x v="0"/>
    <d v="2012-12-31T00:00:00"/>
    <n v="5920269000"/>
    <n v="4982562000"/>
    <n v="434894000"/>
    <n v="0"/>
    <n v="37691000"/>
    <x v="0"/>
    <x v="52"/>
    <n v="0.15838925562335093"/>
    <n v="937707000"/>
    <n v="7.8564335505700841E-2"/>
    <n v="465122000"/>
  </r>
  <r>
    <s v="PWR"/>
    <n v="2"/>
    <x v="1"/>
    <d v="2013-12-31T00:00:00"/>
    <n v="6411577000"/>
    <n v="5424644000"/>
    <n v="485069000"/>
    <n v="0"/>
    <n v="25865000"/>
    <x v="0"/>
    <x v="52"/>
    <n v="0.15392983660650106"/>
    <n v="986933000"/>
    <n v="7.4240549555904894E-2"/>
    <n v="475999000"/>
  </r>
  <r>
    <s v="PWR"/>
    <n v="3"/>
    <x v="2"/>
    <d v="2014-12-31T00:00:00"/>
    <n v="7747229000"/>
    <n v="6578435000"/>
    <n v="705477000"/>
    <n v="0"/>
    <n v="34257000"/>
    <x v="0"/>
    <x v="52"/>
    <n v="0.15086607095259474"/>
    <n v="1168794000"/>
    <n v="5.538238252670729E-2"/>
    <n v="429060000"/>
  </r>
  <r>
    <s v="PWR"/>
    <n v="4"/>
    <x v="3"/>
    <d v="2015-12-31T00:00:00"/>
    <n v="7572436000"/>
    <n v="6648771000"/>
    <n v="592863000"/>
    <n v="0"/>
    <n v="34848000"/>
    <x v="0"/>
    <x v="52"/>
    <n v="0.12197726068599324"/>
    <n v="923665000"/>
    <n v="3.9083063891196965E-2"/>
    <n v="295954000"/>
  </r>
  <r>
    <s v="PX"/>
    <n v="1"/>
    <x v="0"/>
    <d v="2012-12-31T00:00:00"/>
    <n v="11224000000"/>
    <n v="6396000000"/>
    <n v="1227000000"/>
    <n v="98000000"/>
    <n v="1001000000"/>
    <x v="7"/>
    <x v="26"/>
    <n v="0.43014967925873127"/>
    <n v="4828000000"/>
    <n v="0.22291518175338559"/>
    <n v="2502000000"/>
  </r>
  <r>
    <s v="PX"/>
    <n v="2"/>
    <x v="1"/>
    <d v="2013-12-31T00:00:00"/>
    <n v="11925000000"/>
    <n v="6744000000"/>
    <n v="1349000000"/>
    <n v="98000000"/>
    <n v="1109000000"/>
    <x v="7"/>
    <x v="26"/>
    <n v="0.43446540880503148"/>
    <n v="5181000000"/>
    <n v="0.22012578616352202"/>
    <n v="2625000000"/>
  </r>
  <r>
    <s v="PX"/>
    <n v="3"/>
    <x v="2"/>
    <d v="2014-12-31T00:00:00"/>
    <n v="12273000000"/>
    <n v="6962000000"/>
    <n v="1437000000"/>
    <n v="96000000"/>
    <n v="1170000000"/>
    <x v="7"/>
    <x v="26"/>
    <n v="0.43273853173633181"/>
    <n v="5311000000"/>
    <n v="0.21249898150411473"/>
    <n v="2608000000"/>
  </r>
  <r>
    <s v="PX"/>
    <n v="4"/>
    <x v="3"/>
    <d v="2015-12-31T00:00:00"/>
    <n v="10776000000"/>
    <n v="5960000000"/>
    <n v="1296000000"/>
    <n v="93000000"/>
    <n v="1106000000"/>
    <x v="7"/>
    <x v="26"/>
    <n v="0.44691907943578324"/>
    <n v="4816000000"/>
    <n v="0.21538604305864886"/>
    <n v="2321000000"/>
  </r>
  <r>
    <s v="QCOM"/>
    <n v="1"/>
    <x v="1"/>
    <d v="2013-09-29T00:00:00"/>
    <n v="24866000000"/>
    <n v="9820000000"/>
    <n v="2849000000"/>
    <n v="4967000000"/>
    <n v="0"/>
    <x v="2"/>
    <x v="7"/>
    <n v="0.60508324619963005"/>
    <n v="15046000000"/>
    <n v="0.2907584653744068"/>
    <n v="7230000000"/>
  </r>
  <r>
    <s v="QCOM"/>
    <n v="2"/>
    <x v="2"/>
    <d v="2014-09-28T00:00:00"/>
    <n v="26487000000"/>
    <n v="10686000000"/>
    <n v="2774000000"/>
    <n v="5477000000"/>
    <n v="0"/>
    <x v="2"/>
    <x v="7"/>
    <n v="0.59655680144976775"/>
    <n v="15801000000"/>
    <n v="0.28504549401593232"/>
    <n v="7550000000"/>
  </r>
  <r>
    <s v="QCOM"/>
    <n v="3"/>
    <x v="3"/>
    <d v="2015-09-27T00:00:00"/>
    <n v="25281000000"/>
    <n v="10378000000"/>
    <n v="3637000000"/>
    <n v="5490000000"/>
    <n v="0"/>
    <x v="2"/>
    <x v="7"/>
    <n v="0.58949408646809864"/>
    <n v="14903000000"/>
    <n v="0.2284719750009889"/>
    <n v="5776000000"/>
  </r>
  <r>
    <s v="QCOM"/>
    <n v="4"/>
    <x v="4"/>
    <d v="2016-09-25T00:00:00"/>
    <n v="23554000000"/>
    <n v="9749000000"/>
    <n v="2159000000"/>
    <n v="5151000000"/>
    <n v="0"/>
    <x v="2"/>
    <x v="7"/>
    <n v="0.58610002547338036"/>
    <n v="13805000000"/>
    <n v="0.27574934193767514"/>
    <n v="6495000000"/>
  </r>
  <r>
    <s v="QRVO"/>
    <n v="1"/>
    <x v="2"/>
    <d v="2014-03-29T00:00:00"/>
    <n v="1148231000"/>
    <n v="743304000"/>
    <n v="180317000"/>
    <n v="197269000"/>
    <n v="0"/>
    <x v="2"/>
    <x v="7"/>
    <n v="0.35265290694990814"/>
    <n v="404927000"/>
    <n v="2.3811410770132491E-2"/>
    <n v="27341000"/>
  </r>
  <r>
    <s v="QRVO"/>
    <n v="2"/>
    <x v="3"/>
    <d v="2015-03-28T00:00:00"/>
    <n v="1710966000"/>
    <n v="1021658000"/>
    <n v="309348000"/>
    <n v="257494000"/>
    <n v="0"/>
    <x v="2"/>
    <x v="7"/>
    <n v="0.40287650368271488"/>
    <n v="689308000"/>
    <n v="7.1577109071717382E-2"/>
    <n v="122466000"/>
  </r>
  <r>
    <s v="QRVO"/>
    <n v="3"/>
    <x v="4"/>
    <d v="2016-04-02T00:00:00"/>
    <n v="2610726000"/>
    <n v="1561173000"/>
    <n v="588822000"/>
    <n v="448763000"/>
    <n v="0"/>
    <x v="2"/>
    <x v="7"/>
    <n v="0.40201576113311011"/>
    <n v="1049553000"/>
    <n v="4.5841654773423179E-3"/>
    <n v="11968000"/>
  </r>
  <r>
    <s v="R"/>
    <n v="1"/>
    <x v="1"/>
    <d v="2013-12-31T00:00:00"/>
    <n v="6419285000"/>
    <n v="5099484000"/>
    <n v="922340000"/>
    <n v="0"/>
    <n v="0"/>
    <x v="0"/>
    <x v="52"/>
    <n v="0.20559937750076529"/>
    <n v="1319801000"/>
    <n v="6.1916708792334352E-2"/>
    <n v="397461000"/>
  </r>
  <r>
    <s v="R"/>
    <n v="2"/>
    <x v="2"/>
    <d v="2014-12-31T00:00:00"/>
    <n v="6638774000"/>
    <n v="5253040000"/>
    <n v="1030014000"/>
    <n v="0"/>
    <n v="0"/>
    <x v="0"/>
    <x v="52"/>
    <n v="0.20873341975491255"/>
    <n v="1385734000"/>
    <n v="5.3582182493333859E-2"/>
    <n v="355720000"/>
  </r>
  <r>
    <s v="R"/>
    <n v="3"/>
    <x v="3"/>
    <d v="2015-12-31T00:00:00"/>
    <n v="6571893000"/>
    <n v="5086449000"/>
    <n v="961579000"/>
    <n v="0"/>
    <n v="0"/>
    <x v="0"/>
    <x v="52"/>
    <n v="0.22602985167287415"/>
    <n v="1485444000"/>
    <n v="7.9712953330189643E-2"/>
    <n v="523865000"/>
  </r>
  <r>
    <s v="R"/>
    <n v="4"/>
    <x v="4"/>
    <d v="2016-12-31T00:00:00"/>
    <n v="6786984000"/>
    <n v="5285568000"/>
    <n v="956158000"/>
    <n v="0"/>
    <n v="0"/>
    <x v="0"/>
    <x v="52"/>
    <n v="0.22121991152476561"/>
    <n v="1501416000"/>
    <n v="8.0338777872468833E-2"/>
    <n v="545258000"/>
  </r>
  <r>
    <s v="RCL"/>
    <n v="1"/>
    <x v="0"/>
    <d v="2012-12-31T00:00:00"/>
    <n v="7688024000"/>
    <n v="5157434000"/>
    <n v="1011543000"/>
    <n v="0"/>
    <n v="730493000"/>
    <x v="1"/>
    <x v="41"/>
    <n v="0.32916000262226031"/>
    <n v="2530590000"/>
    <n v="0.10256913870196034"/>
    <n v="788554000"/>
  </r>
  <r>
    <s v="RCL"/>
    <n v="2"/>
    <x v="1"/>
    <d v="2013-12-31T00:00:00"/>
    <n v="7959894000"/>
    <n v="5305270000"/>
    <n v="1044819000"/>
    <n v="0"/>
    <n v="754711000"/>
    <x v="1"/>
    <x v="41"/>
    <n v="0.33349991846625093"/>
    <n v="2654624000"/>
    <n v="0.1074252998846467"/>
    <n v="855094000"/>
  </r>
  <r>
    <s v="RCL"/>
    <n v="3"/>
    <x v="2"/>
    <d v="2014-12-31T00:00:00"/>
    <n v="8073855000"/>
    <n v="5306281000"/>
    <n v="1048952000"/>
    <n v="0"/>
    <n v="772445000"/>
    <x v="1"/>
    <x v="41"/>
    <n v="0.34278222732511299"/>
    <n v="2767574000"/>
    <n v="0.11719023935901747"/>
    <n v="946177000"/>
  </r>
  <r>
    <s v="RCL"/>
    <n v="4"/>
    <x v="3"/>
    <d v="2015-12-31T00:00:00"/>
    <n v="8299074000"/>
    <n v="5099393000"/>
    <n v="1086504000"/>
    <n v="0"/>
    <n v="827008000"/>
    <x v="1"/>
    <x v="41"/>
    <n v="0.38554674895054553"/>
    <n v="3199681000"/>
    <n v="0.15497741073281188"/>
    <n v="1286169000"/>
  </r>
  <r>
    <s v="ISRG"/>
    <n v="3"/>
    <x v="3"/>
    <d v="2015-12-31T00:00:00"/>
    <n v="2384400000"/>
    <n v="806500000"/>
    <n v="640500000"/>
    <n v="197400000"/>
    <n v="0"/>
    <x v="10"/>
    <x v="86"/>
    <n v="0.66175977185036072"/>
    <n v="1577900000"/>
    <n v="0.31035061231337024"/>
    <n v="740000000"/>
  </r>
  <r>
    <s v="ISRG"/>
    <n v="4"/>
    <x v="4"/>
    <d v="2016-12-31T00:00:00"/>
    <n v="2704400000"/>
    <n v="814300000"/>
    <n v="705300000"/>
    <n v="239600000"/>
    <n v="0"/>
    <x v="10"/>
    <x v="86"/>
    <n v="0.69889809199822506"/>
    <n v="1890100000"/>
    <n v="0.34950451116698711"/>
    <n v="945200000"/>
  </r>
  <r>
    <s v="LH"/>
    <n v="1"/>
    <x v="0"/>
    <d v="2012-12-31T00:00:00"/>
    <n v="5671400000"/>
    <n v="3421700000"/>
    <n v="1114600000"/>
    <n v="0"/>
    <n v="86300000"/>
    <x v="10"/>
    <x v="102"/>
    <n v="0.39667454244101985"/>
    <n v="2249700000"/>
    <n v="0.18492788376767641"/>
    <n v="1048800000"/>
  </r>
  <r>
    <s v="LH"/>
    <n v="2"/>
    <x v="1"/>
    <d v="2013-12-31T00:00:00"/>
    <n v="5808300000"/>
    <n v="3585100000"/>
    <n v="1128800000"/>
    <n v="0"/>
    <n v="81700000"/>
    <x v="10"/>
    <x v="102"/>
    <n v="0.3827625983506362"/>
    <n v="2223200000"/>
    <n v="0.17435394177298005"/>
    <n v="1012700000"/>
  </r>
  <r>
    <s v="RHI"/>
    <n v="1"/>
    <x v="1"/>
    <d v="2013-12-31T00:00:00"/>
    <n v="4245895000"/>
    <n v="2522803000"/>
    <n v="1324815000"/>
    <n v="0"/>
    <n v="1700000"/>
    <x v="0"/>
    <x v="108"/>
    <n v="0.40582539134858497"/>
    <n v="1723092000"/>
    <n v="9.3402451073330825E-2"/>
    <n v="396577000"/>
  </r>
  <r>
    <s v="RHI"/>
    <n v="2"/>
    <x v="2"/>
    <d v="2014-12-31T00:00:00"/>
    <n v="4695014000"/>
    <n v="2772098000"/>
    <n v="1425734000"/>
    <n v="0"/>
    <n v="557000"/>
    <x v="0"/>
    <x v="108"/>
    <n v="0.40956555188120847"/>
    <n v="1922916000"/>
    <n v="0.10577710737390772"/>
    <n v="496625000"/>
  </r>
  <r>
    <s v="RHI"/>
    <n v="3"/>
    <x v="3"/>
    <d v="2015-12-31T00:00:00"/>
    <n v="5094933000"/>
    <n v="2980462000"/>
    <n v="1533799000"/>
    <n v="0"/>
    <n v="192000"/>
    <x v="0"/>
    <x v="108"/>
    <n v="0.41501448596085566"/>
    <n v="2114471000"/>
    <n v="0.11393280343431406"/>
    <n v="580480000"/>
  </r>
  <r>
    <s v="RHI"/>
    <n v="4"/>
    <x v="4"/>
    <d v="2016-12-31T00:00:00"/>
    <n v="5250399000"/>
    <n v="3089723000"/>
    <n v="1606217000"/>
    <n v="0"/>
    <n v="1237000"/>
    <x v="0"/>
    <x v="108"/>
    <n v="0.41152605735297454"/>
    <n v="2160676000"/>
    <n v="0.10536761110917475"/>
    <n v="553222000"/>
  </r>
  <r>
    <s v="RHT"/>
    <n v="1"/>
    <x v="1"/>
    <d v="2013-02-28T00:00:00"/>
    <n v="1328817000"/>
    <n v="200600000"/>
    <n v="660887000"/>
    <n v="263150000"/>
    <n v="0"/>
    <x v="2"/>
    <x v="100"/>
    <n v="0.84903865618817342"/>
    <n v="1128217000"/>
    <n v="0.1536554694890267"/>
    <n v="204180000"/>
  </r>
  <r>
    <s v="RHT"/>
    <n v="2"/>
    <x v="2"/>
    <d v="2014-02-28T00:00:00"/>
    <n v="1534615000"/>
    <n v="232600000"/>
    <n v="750292000"/>
    <n v="317263000"/>
    <n v="0"/>
    <x v="2"/>
    <x v="100"/>
    <n v="0.84843103970702749"/>
    <n v="1302015000"/>
    <n v="0.15278099067192749"/>
    <n v="234460000"/>
  </r>
  <r>
    <s v="RHT"/>
    <n v="3"/>
    <x v="3"/>
    <d v="2015-02-28T00:00:00"/>
    <n v="1789489000"/>
    <n v="273199000"/>
    <n v="898440000"/>
    <n v="367856000"/>
    <n v="0"/>
    <x v="2"/>
    <x v="100"/>
    <n v="0.84733127725289181"/>
    <n v="1516290000"/>
    <n v="0.13970133373270247"/>
    <n v="249994000"/>
  </r>
  <r>
    <s v="RHT"/>
    <n v="4"/>
    <x v="4"/>
    <d v="2016-02-29T00:00:00"/>
    <n v="2052230000"/>
    <n v="309629000"/>
    <n v="1041231000"/>
    <n v="413322000"/>
    <n v="0"/>
    <x v="2"/>
    <x v="100"/>
    <n v="0.84912558533887528"/>
    <n v="1742601000"/>
    <n v="0.14035853681117613"/>
    <n v="288048000"/>
  </r>
  <r>
    <s v="RL"/>
    <n v="1"/>
    <x v="1"/>
    <d v="2013-03-30T00:00:00"/>
    <n v="6945000000"/>
    <n v="2789000000"/>
    <n v="2971000000"/>
    <n v="0"/>
    <n v="27000000"/>
    <x v="1"/>
    <x v="78"/>
    <n v="0.59841612670986322"/>
    <n v="4156000000"/>
    <n v="0.16673866090712744"/>
    <n v="1158000000"/>
  </r>
  <r>
    <s v="RL"/>
    <n v="2"/>
    <x v="2"/>
    <d v="2014-03-29T00:00:00"/>
    <n v="7450000000"/>
    <n v="3140000000"/>
    <n v="3142000000"/>
    <n v="0"/>
    <n v="35000000"/>
    <x v="1"/>
    <x v="78"/>
    <n v="0.57852348993288594"/>
    <n v="4310000000"/>
    <n v="0.15208053691275167"/>
    <n v="1133000000"/>
  </r>
  <r>
    <s v="RL"/>
    <n v="3"/>
    <x v="3"/>
    <d v="2015-03-28T00:00:00"/>
    <n v="7620000000"/>
    <n v="3242000000"/>
    <n v="3301000000"/>
    <n v="0"/>
    <n v="25000000"/>
    <x v="1"/>
    <x v="78"/>
    <n v="0.57454068241469813"/>
    <n v="4378000000"/>
    <n v="0.13805774278215224"/>
    <n v="1052000000"/>
  </r>
  <r>
    <s v="RL"/>
    <n v="4"/>
    <x v="4"/>
    <d v="2016-04-02T00:00:00"/>
    <n v="7405000000"/>
    <n v="3218000000"/>
    <n v="3389000000"/>
    <n v="0"/>
    <n v="24000000"/>
    <x v="1"/>
    <x v="78"/>
    <n v="0.56542876434841327"/>
    <n v="4187000000"/>
    <n v="0.10452397029034437"/>
    <n v="774000000"/>
  </r>
  <r>
    <s v="ROK"/>
    <n v="1"/>
    <x v="1"/>
    <d v="2013-09-30T00:00:00"/>
    <n v="6351900000"/>
    <n v="3778100000"/>
    <n v="1537700000"/>
    <n v="0"/>
    <n v="0"/>
    <x v="0"/>
    <x v="52"/>
    <n v="0.40520159322407467"/>
    <n v="2573800000"/>
    <n v="0.16311654780459389"/>
    <n v="1036100000"/>
  </r>
  <r>
    <s v="ROK"/>
    <n v="2"/>
    <x v="2"/>
    <d v="2014-09-30T00:00:00"/>
    <n v="6623500000"/>
    <n v="3869600000"/>
    <n v="1570100000"/>
    <n v="0"/>
    <n v="0"/>
    <x v="0"/>
    <x v="52"/>
    <n v="0.41577715709217178"/>
    <n v="2753900000"/>
    <n v="0.1787272590020382"/>
    <n v="1183800000"/>
  </r>
  <r>
    <s v="ROK"/>
    <n v="3"/>
    <x v="3"/>
    <d v="2015-09-30T00:00:00"/>
    <n v="6307900000"/>
    <n v="3604800000"/>
    <n v="1506400000"/>
    <n v="0"/>
    <n v="0"/>
    <x v="0"/>
    <x v="52"/>
    <n v="0.42852613389559124"/>
    <n v="2703100000"/>
    <n v="0.18971448501085938"/>
    <n v="1196700000"/>
  </r>
  <r>
    <s v="ROK"/>
    <n v="4"/>
    <x v="4"/>
    <d v="2016-09-30T00:00:00"/>
    <n v="5879500000"/>
    <n v="3404000000"/>
    <n v="1467400000"/>
    <n v="0"/>
    <n v="0"/>
    <x v="0"/>
    <x v="52"/>
    <n v="0.42103920401394679"/>
    <n v="2475500000"/>
    <n v="0.1714601581767157"/>
    <n v="1008100000"/>
  </r>
  <r>
    <s v="ROP"/>
    <n v="1"/>
    <x v="0"/>
    <d v="2012-12-31T00:00:00"/>
    <n v="2993489000"/>
    <n v="1321772000"/>
    <n v="914130000"/>
    <n v="0"/>
    <n v="0"/>
    <x v="0"/>
    <x v="52"/>
    <n v="0.55845102487431886"/>
    <n v="1671717000"/>
    <n v="0.25307826419271962"/>
    <n v="757587000"/>
  </r>
  <r>
    <s v="ROP"/>
    <n v="2"/>
    <x v="1"/>
    <d v="2013-12-31T00:00:00"/>
    <n v="3238128000"/>
    <n v="1355200000"/>
    <n v="1040567000"/>
    <n v="0"/>
    <n v="0"/>
    <x v="0"/>
    <x v="52"/>
    <n v="0.58148658731217551"/>
    <n v="1882928000"/>
    <n v="0.26013826507167104"/>
    <n v="842361000"/>
  </r>
  <r>
    <s v="ROP"/>
    <n v="3"/>
    <x v="2"/>
    <d v="2014-12-31T00:00:00"/>
    <n v="3549494000"/>
    <n v="1447595000"/>
    <n v="1102426000"/>
    <n v="0"/>
    <n v="0"/>
    <x v="0"/>
    <x v="52"/>
    <n v="0.59216863023292898"/>
    <n v="2101899000"/>
    <n v="0.28158182546582694"/>
    <n v="999473000"/>
  </r>
  <r>
    <s v="ROP"/>
    <n v="4"/>
    <x v="3"/>
    <d v="2015-12-31T00:00:00"/>
    <n v="3582395000"/>
    <n v="1417749000"/>
    <n v="1136728000"/>
    <n v="0"/>
    <n v="0"/>
    <x v="0"/>
    <x v="52"/>
    <n v="0.60424548381739029"/>
    <n v="2164646000"/>
    <n v="0.28693597439701651"/>
    <n v="1027918000"/>
  </r>
  <r>
    <s v="ROST"/>
    <n v="1"/>
    <x v="1"/>
    <d v="2013-02-02T00:00:00"/>
    <n v="9721065000"/>
    <n v="7011428000"/>
    <n v="1437886000"/>
    <n v="0"/>
    <n v="0"/>
    <x v="1"/>
    <x v="70"/>
    <n v="0.27873869786900918"/>
    <n v="2709637000"/>
    <n v="0.13082424610883683"/>
    <n v="1271751000"/>
  </r>
  <r>
    <s v="ROST"/>
    <n v="2"/>
    <x v="2"/>
    <d v="2014-02-01T00:00:00"/>
    <n v="10230353000"/>
    <n v="7360924000"/>
    <n v="1526366000"/>
    <n v="0"/>
    <n v="0"/>
    <x v="1"/>
    <x v="70"/>
    <n v="0.28048191494467489"/>
    <n v="2869429000"/>
    <n v="0.13128217569814063"/>
    <n v="1343063000"/>
  </r>
  <r>
    <s v="ROST"/>
    <n v="3"/>
    <x v="3"/>
    <d v="2015-01-31T00:00:00"/>
    <n v="11041677000"/>
    <n v="7937956000"/>
    <n v="1615371000"/>
    <n v="0"/>
    <n v="0"/>
    <x v="1"/>
    <x v="70"/>
    <n v="0.28109145014837877"/>
    <n v="3103721000"/>
    <n v="0.13479383611746656"/>
    <n v="1488350000"/>
  </r>
  <r>
    <s v="ROST"/>
    <n v="4"/>
    <x v="4"/>
    <d v="2016-01-30T00:00:00"/>
    <n v="11939999000"/>
    <n v="8576873000"/>
    <n v="1738755000"/>
    <n v="0"/>
    <n v="0"/>
    <x v="1"/>
    <x v="70"/>
    <n v="0.28166886781146294"/>
    <n v="3363126000"/>
    <n v="0.1360444837558194"/>
    <n v="1624371000"/>
  </r>
  <r>
    <s v="RRC"/>
    <n v="1"/>
    <x v="0"/>
    <d v="2012-12-31T00:00:00"/>
    <n v="1367135000"/>
    <n v="328784000"/>
    <n v="248136000"/>
    <n v="0"/>
    <n v="445228000"/>
    <x v="8"/>
    <x v="25"/>
    <n v="0.75950875370757098"/>
    <n v="1038351000"/>
    <n v="0.25234303854410867"/>
    <n v="344987000"/>
  </r>
  <r>
    <s v="RRC"/>
    <n v="2"/>
    <x v="1"/>
    <d v="2013-12-31T00:00:00"/>
    <n v="1832253000"/>
    <n v="516119000"/>
    <n v="391707000"/>
    <n v="0"/>
    <n v="492397000"/>
    <x v="8"/>
    <x v="25"/>
    <n v="0.71831455590467042"/>
    <n v="1316134000"/>
    <n v="0.23579167287487043"/>
    <n v="432030000"/>
  </r>
  <r>
    <s v="RRC"/>
    <n v="3"/>
    <x v="2"/>
    <d v="2014-12-31T00:00:00"/>
    <n v="2042537000"/>
    <n v="605752000"/>
    <n v="191802000"/>
    <n v="0"/>
    <n v="551032000"/>
    <x v="8"/>
    <x v="25"/>
    <n v="0.70343156574397425"/>
    <n v="1436785000"/>
    <n v="0.33974953697289206"/>
    <n v="693951000"/>
  </r>
  <r>
    <s v="RRC"/>
    <n v="4"/>
    <x v="3"/>
    <d v="2015-12-31T00:00:00"/>
    <n v="1181704000"/>
    <n v="648968000"/>
    <n v="165318000"/>
    <n v="0"/>
    <n v="581155000"/>
    <x v="8"/>
    <x v="25"/>
    <n v="0.45082017154888199"/>
    <n v="532736000"/>
    <n v="-0.18087185961966787"/>
    <n v="-213737000"/>
  </r>
  <r>
    <s v="RSG"/>
    <n v="1"/>
    <x v="1"/>
    <d v="2013-12-31T00:00:00"/>
    <n v="8417200000"/>
    <n v="5234700000"/>
    <n v="1088100000"/>
    <n v="0"/>
    <n v="877400000"/>
    <x v="0"/>
    <x v="52"/>
    <n v="0.37809485339542837"/>
    <n v="3182500000"/>
    <n v="0.14458489759064772"/>
    <n v="1217000000"/>
  </r>
  <r>
    <s v="RSG"/>
    <n v="2"/>
    <x v="2"/>
    <d v="2014-12-31T00:00:00"/>
    <n v="8803300000"/>
    <n v="5643100000"/>
    <n v="998400000"/>
    <n v="0"/>
    <n v="906900000"/>
    <x v="0"/>
    <x v="52"/>
    <n v="0.35897901923142461"/>
    <n v="3160200000"/>
    <n v="0.14254881692092738"/>
    <n v="1254900000"/>
  </r>
  <r>
    <s v="RSG"/>
    <n v="3"/>
    <x v="3"/>
    <d v="2015-12-31T00:00:00"/>
    <n v="9115000000"/>
    <n v="5518600000"/>
    <n v="1067000000"/>
    <n v="0"/>
    <n v="970600000"/>
    <x v="0"/>
    <x v="52"/>
    <n v="0.39455842018650578"/>
    <n v="3596400000"/>
    <n v="0.17101481075150851"/>
    <n v="1558800000"/>
  </r>
  <r>
    <s v="RSG"/>
    <n v="4"/>
    <x v="4"/>
    <d v="2016-12-31T00:00:00"/>
    <n v="9387700000"/>
    <n v="5764000000"/>
    <n v="1054500000"/>
    <n v="0"/>
    <n v="991100000"/>
    <x v="0"/>
    <x v="52"/>
    <n v="0.38600509176901687"/>
    <n v="3623700000"/>
    <n v="0.16810294321292754"/>
    <n v="1578100000"/>
  </r>
  <r>
    <s v="SBUX"/>
    <n v="1"/>
    <x v="1"/>
    <d v="2013-09-29T00:00:00"/>
    <n v="14866800000"/>
    <n v="6382300000"/>
    <n v="5655800000"/>
    <n v="0"/>
    <n v="621400000"/>
    <x v="1"/>
    <x v="50"/>
    <n v="0.57070115963085533"/>
    <n v="8484500000"/>
    <n v="0.14847176258508893"/>
    <n v="2207300000"/>
  </r>
  <r>
    <s v="SBUX"/>
    <n v="2"/>
    <x v="2"/>
    <d v="2014-09-28T00:00:00"/>
    <n v="16447800000"/>
    <n v="6858800000"/>
    <n v="6086800000"/>
    <n v="0"/>
    <n v="709600000"/>
    <x v="1"/>
    <x v="50"/>
    <n v="0.58299590218752662"/>
    <n v="9589000000"/>
    <n v="0.1697856248252046"/>
    <n v="2792600000"/>
  </r>
  <r>
    <s v="SBUX"/>
    <n v="3"/>
    <x v="3"/>
    <d v="2015-09-27T00:00:00"/>
    <n v="19162700000"/>
    <n v="7787500000"/>
    <n v="7130200000"/>
    <n v="0"/>
    <n v="893900000"/>
    <x v="1"/>
    <x v="50"/>
    <n v="0.59361154743329492"/>
    <n v="11375200000"/>
    <n v="0.17487619176838337"/>
    <n v="3351100000"/>
  </r>
  <r>
    <s v="SBUX"/>
    <n v="4"/>
    <x v="4"/>
    <d v="2016-10-02T00:00:00"/>
    <n v="21315900000"/>
    <n v="8511100000"/>
    <n v="7970300000"/>
    <n v="0"/>
    <n v="980800000"/>
    <x v="1"/>
    <x v="50"/>
    <n v="0.60071589752250665"/>
    <n v="12804800000"/>
    <n v="0.18078992676828096"/>
    <n v="3853700000"/>
  </r>
  <r>
    <s v="SCG"/>
    <n v="1"/>
    <x v="0"/>
    <d v="2012-12-31T00:00:00"/>
    <n v="4176000000"/>
    <n v="2754000000"/>
    <n v="207000000"/>
    <n v="0"/>
    <n v="356000000"/>
    <x v="5"/>
    <x v="10"/>
    <n v="0.34051724137931039"/>
    <n v="1422000000"/>
    <n v="0.20569923371647508"/>
    <n v="859000000"/>
  </r>
  <r>
    <s v="SCG"/>
    <n v="2"/>
    <x v="1"/>
    <d v="2013-12-31T00:00:00"/>
    <n v="4495000000"/>
    <n v="2987000000"/>
    <n v="220000000"/>
    <n v="0"/>
    <n v="378000000"/>
    <x v="5"/>
    <x v="10"/>
    <n v="0.3354838709677419"/>
    <n v="1508000000"/>
    <n v="0.20244716351501668"/>
    <n v="910000000"/>
  </r>
  <r>
    <s v="SCG"/>
    <n v="3"/>
    <x v="2"/>
    <d v="2014-12-31T00:00:00"/>
    <n v="4951000000"/>
    <n v="3331000000"/>
    <n v="229000000"/>
    <n v="0"/>
    <n v="384000000"/>
    <x v="5"/>
    <x v="10"/>
    <n v="0.32720662492425767"/>
    <n v="1620000000"/>
    <n v="0.20339325388810342"/>
    <n v="1007000000"/>
  </r>
  <r>
    <s v="SCG"/>
    <n v="4"/>
    <x v="3"/>
    <d v="2015-12-31T00:00:00"/>
    <n v="4380000000"/>
    <n v="2714000000"/>
    <n v="234000000"/>
    <n v="0"/>
    <n v="358000000"/>
    <x v="5"/>
    <x v="10"/>
    <n v="0.38036529680365294"/>
    <n v="1666000000"/>
    <n v="0.24520547945205479"/>
    <n v="1074000000"/>
  </r>
  <r>
    <s v="SE"/>
    <n v="1"/>
    <x v="0"/>
    <d v="2012-12-31T00:00:00"/>
    <n v="5075000000"/>
    <n v="2417000000"/>
    <n v="337000000"/>
    <n v="0"/>
    <n v="746000000"/>
    <x v="8"/>
    <x v="92"/>
    <n v="0.52374384236453198"/>
    <n v="2658000000"/>
    <n v="0.31034482758620691"/>
    <n v="1575000000"/>
  </r>
  <r>
    <s v="SE"/>
    <n v="2"/>
    <x v="1"/>
    <d v="2013-12-31T00:00:00"/>
    <n v="5518000000"/>
    <n v="2707000000"/>
    <n v="373000000"/>
    <n v="0"/>
    <n v="772000000"/>
    <x v="8"/>
    <x v="92"/>
    <n v="0.50942370424066685"/>
    <n v="2811000000"/>
    <n v="0.30192098586444366"/>
    <n v="1666000000"/>
  </r>
  <r>
    <s v="SE"/>
    <n v="3"/>
    <x v="2"/>
    <d v="2014-12-31T00:00:00"/>
    <n v="5903000000"/>
    <n v="2790000000"/>
    <n v="393000000"/>
    <n v="0"/>
    <n v="796000000"/>
    <x v="8"/>
    <x v="92"/>
    <n v="0.52735897001524656"/>
    <n v="3113000000"/>
    <n v="0.32593596476367948"/>
    <n v="1924000000"/>
  </r>
  <r>
    <s v="SE"/>
    <n v="4"/>
    <x v="3"/>
    <d v="2015-12-31T00:00:00"/>
    <n v="5234000000"/>
    <n v="2335000000"/>
    <n v="353000000"/>
    <n v="0"/>
    <n v="764000000"/>
    <x v="8"/>
    <x v="92"/>
    <n v="0.55387848681696594"/>
    <n v="2899000000"/>
    <n v="0.34046618265189149"/>
    <n v="1782000000"/>
  </r>
  <r>
    <s v="SEE"/>
    <n v="1"/>
    <x v="1"/>
    <d v="2013-12-31T00:00:00"/>
    <n v="7690800000"/>
    <n v="5100900000"/>
    <n v="1788300000"/>
    <n v="0"/>
    <n v="123200000"/>
    <x v="7"/>
    <x v="30"/>
    <n v="0.33675300358870341"/>
    <n v="2589900000"/>
    <n v="8.8209289020648049E-2"/>
    <n v="678400000"/>
  </r>
  <r>
    <s v="SEE"/>
    <n v="2"/>
    <x v="2"/>
    <d v="2014-12-31T00:00:00"/>
    <n v="7750500000"/>
    <n v="5062900000"/>
    <n v="1849400000"/>
    <n v="0"/>
    <n v="118900000"/>
    <x v="7"/>
    <x v="30"/>
    <n v="0.34676472485646093"/>
    <n v="2687600000"/>
    <n v="9.2806915682859176E-2"/>
    <n v="719300000"/>
  </r>
  <r>
    <s v="SEE"/>
    <n v="3"/>
    <x v="3"/>
    <d v="2015-12-31T00:00:00"/>
    <n v="7031500000"/>
    <n v="4444900000"/>
    <n v="1656200000"/>
    <n v="0"/>
    <n v="88700000"/>
    <x v="7"/>
    <x v="30"/>
    <n v="0.36785892057171299"/>
    <n v="2586600000"/>
    <n v="0.11970418829552727"/>
    <n v="841700000"/>
  </r>
  <r>
    <s v="SEE"/>
    <n v="4"/>
    <x v="4"/>
    <d v="2016-12-31T00:00:00"/>
    <n v="6778300000"/>
    <n v="4246700000"/>
    <n v="1604400000"/>
    <n v="0"/>
    <n v="94900000"/>
    <x v="7"/>
    <x v="30"/>
    <n v="0.37348597730994493"/>
    <n v="2531600000"/>
    <n v="0.12278889987164923"/>
    <n v="832300000"/>
  </r>
  <r>
    <s v="SHW"/>
    <n v="1"/>
    <x v="0"/>
    <d v="2012-12-31T00:00:00"/>
    <n v="9534462000"/>
    <n v="5328236000"/>
    <n v="3264896000"/>
    <n v="0"/>
    <n v="0"/>
    <x v="7"/>
    <x v="16"/>
    <n v="0.44116028780648553"/>
    <n v="4206226000"/>
    <n v="9.8729220379713087E-2"/>
    <n v="941330000"/>
  </r>
  <r>
    <s v="SHW"/>
    <n v="2"/>
    <x v="1"/>
    <d v="2013-12-31T00:00:00"/>
    <n v="10185532000"/>
    <n v="5568966000"/>
    <n v="3470200000"/>
    <n v="0"/>
    <n v="0"/>
    <x v="7"/>
    <x v="16"/>
    <n v="0.45324741015000491"/>
    <n v="4616566000"/>
    <n v="0.11254846580424076"/>
    <n v="1146366000"/>
  </r>
  <r>
    <s v="SHW"/>
    <n v="3"/>
    <x v="2"/>
    <d v="2014-12-31T00:00:00"/>
    <n v="11129533000"/>
    <n v="5965049000"/>
    <n v="3860448000"/>
    <n v="0"/>
    <n v="0"/>
    <x v="7"/>
    <x v="16"/>
    <n v="0.46403420520879002"/>
    <n v="5164484000"/>
    <n v="0.11716897735062198"/>
    <n v="1304036000"/>
  </r>
  <r>
    <s v="SHW"/>
    <n v="4"/>
    <x v="3"/>
    <d v="2015-12-31T00:00:00"/>
    <n v="11339304000"/>
    <n v="5780078000"/>
    <n v="3943786000"/>
    <n v="0"/>
    <n v="0"/>
    <x v="7"/>
    <x v="16"/>
    <n v="0.49026165979852021"/>
    <n v="5559226000"/>
    <n v="0.14246377026314844"/>
    <n v="1615440000"/>
  </r>
  <r>
    <s v="SIG"/>
    <n v="1"/>
    <x v="1"/>
    <d v="2013-02-02T00:00:00"/>
    <n v="3983400000"/>
    <n v="2446000000"/>
    <n v="976900000"/>
    <n v="0"/>
    <n v="0"/>
    <x v="1"/>
    <x v="24"/>
    <n v="0.38595169955314557"/>
    <n v="1537400000"/>
    <n v="0.14070894210975549"/>
    <n v="560500000"/>
  </r>
  <r>
    <s v="SIG"/>
    <n v="2"/>
    <x v="2"/>
    <d v="2014-02-01T00:00:00"/>
    <n v="4209200000"/>
    <n v="2628700000"/>
    <n v="1010000000"/>
    <n v="0"/>
    <n v="0"/>
    <x v="1"/>
    <x v="24"/>
    <n v="0.37548702841395043"/>
    <n v="1580500000"/>
    <n v="0.13553644397985365"/>
    <n v="570500000"/>
  </r>
  <r>
    <s v="SIG"/>
    <n v="3"/>
    <x v="3"/>
    <d v="2015-02-02T00:00:00"/>
    <n v="5736300000"/>
    <n v="3662100000"/>
    <n v="1497600000"/>
    <n v="0"/>
    <n v="0"/>
    <x v="1"/>
    <x v="24"/>
    <n v="0.36159196694733542"/>
    <n v="2074200000"/>
    <n v="0.10051775534752366"/>
    <n v="576600000"/>
  </r>
  <r>
    <s v="SIG"/>
    <n v="4"/>
    <x v="4"/>
    <d v="2016-01-30T00:00:00"/>
    <n v="6550200000"/>
    <n v="4109800000"/>
    <n v="1736700000"/>
    <n v="0"/>
    <n v="0"/>
    <x v="1"/>
    <x v="24"/>
    <n v="0.37256877652590759"/>
    <n v="2440400000"/>
    <n v="0.10743183414246893"/>
    <n v="703700000"/>
  </r>
  <r>
    <s v="SJM"/>
    <n v="1"/>
    <x v="1"/>
    <d v="2013-04-30T00:00:00"/>
    <n v="5897700000"/>
    <n v="3870100000"/>
    <n v="1020400000"/>
    <n v="0"/>
    <n v="96800000"/>
    <x v="4"/>
    <x v="37"/>
    <n v="0.34379503874391715"/>
    <n v="2027600000"/>
    <n v="0.15436526103396239"/>
    <n v="910400000"/>
  </r>
  <r>
    <s v="SJM"/>
    <n v="2"/>
    <x v="2"/>
    <d v="2014-04-30T00:00:00"/>
    <n v="5610600000"/>
    <n v="3579600000"/>
    <n v="1013100000"/>
    <n v="0"/>
    <n v="98900000"/>
    <x v="4"/>
    <x v="37"/>
    <n v="0.36199336969308094"/>
    <n v="2031000000"/>
    <n v="0.16379709834955264"/>
    <n v="919000000"/>
  </r>
  <r>
    <s v="SJM"/>
    <n v="3"/>
    <x v="3"/>
    <d v="2015-04-30T00:00:00"/>
    <n v="5692700000"/>
    <n v="3724000000"/>
    <n v="1085800000"/>
    <n v="0"/>
    <n v="110900000"/>
    <x v="4"/>
    <x v="37"/>
    <n v="0.34582886855095119"/>
    <n v="1968700000"/>
    <n v="0.13561227537021098"/>
    <n v="772000000"/>
  </r>
  <r>
    <s v="SJM"/>
    <n v="4"/>
    <x v="4"/>
    <d v="2016-04-30T00:00:00"/>
    <n v="7811200000"/>
    <n v="4843400000"/>
    <n v="1614100000"/>
    <n v="0"/>
    <n v="208400000"/>
    <x v="4"/>
    <x v="37"/>
    <n v="0.37994162228594841"/>
    <n v="2967800000"/>
    <n v="0.14662279803359279"/>
    <n v="1145300000"/>
  </r>
  <r>
    <s v="SLG"/>
    <n v="1"/>
    <x v="0"/>
    <d v="2012-12-31T00:00:00"/>
    <n v="1290052000"/>
    <n v="470243000"/>
    <n v="120310000"/>
    <n v="0"/>
    <n v="330418000"/>
    <x v="6"/>
    <x v="109"/>
    <n v="0.63548523625404241"/>
    <n v="819809000"/>
    <n v="0.28609776970230655"/>
    <n v="369081000"/>
  </r>
  <r>
    <s v="SLG"/>
    <n v="2"/>
    <x v="1"/>
    <d v="2013-12-31T00:00:00"/>
    <n v="1371065000"/>
    <n v="479665000"/>
    <n v="122128000"/>
    <n v="0"/>
    <n v="340316000"/>
    <x v="6"/>
    <x v="109"/>
    <n v="0.6501515245447882"/>
    <n v="891400000"/>
    <n v="0.31286335804648213"/>
    <n v="428956000"/>
  </r>
  <r>
    <s v="SLG"/>
    <n v="3"/>
    <x v="2"/>
    <d v="2014-12-31T00:00:00"/>
    <n v="1519978000"/>
    <n v="500126000"/>
    <n v="133502000"/>
    <n v="0"/>
    <n v="393987000"/>
    <x v="6"/>
    <x v="109"/>
    <n v="0.67096497449305192"/>
    <n v="1019852000"/>
    <n v="0.32392771474323973"/>
    <n v="492363000"/>
  </r>
  <r>
    <s v="SLG"/>
    <n v="4"/>
    <x v="3"/>
    <d v="2015-12-31T00:00:00"/>
    <n v="1662829000"/>
    <n v="534326000"/>
    <n v="139137000"/>
    <n v="0"/>
    <n v="588235000"/>
    <x v="6"/>
    <x v="109"/>
    <n v="0.6786644928612624"/>
    <n v="1128503000"/>
    <n v="0.24123406555935697"/>
    <n v="401131000"/>
  </r>
  <r>
    <s v="SNA"/>
    <n v="1"/>
    <x v="1"/>
    <d v="2013-12-31T00:00:00"/>
    <n v="3237500000"/>
    <n v="1638900000"/>
    <n v="1012400000"/>
    <n v="0"/>
    <n v="0"/>
    <x v="1"/>
    <x v="110"/>
    <n v="0.49377606177606181"/>
    <n v="1598600000"/>
    <n v="0.18106563706563705"/>
    <n v="586200000"/>
  </r>
  <r>
    <s v="SNA"/>
    <n v="2"/>
    <x v="3"/>
    <d v="2015-01-03T00:00:00"/>
    <n v="3492600000"/>
    <n v="1759200000"/>
    <n v="1048700000"/>
    <n v="0"/>
    <n v="0"/>
    <x v="1"/>
    <x v="110"/>
    <n v="0.49630647655042093"/>
    <n v="1733400000"/>
    <n v="0.19604306247494704"/>
    <n v="684700000"/>
  </r>
  <r>
    <s v="SNA"/>
    <n v="3"/>
    <x v="4"/>
    <d v="2016-01-02T00:00:00"/>
    <n v="3593100000"/>
    <n v="1774600000"/>
    <n v="1053700000"/>
    <n v="0"/>
    <n v="0"/>
    <x v="1"/>
    <x v="110"/>
    <n v="0.50610893100665166"/>
    <n v="1818500000"/>
    <n v="0.21285241156661378"/>
    <n v="764800000"/>
  </r>
  <r>
    <s v="SNA"/>
    <n v="4"/>
    <x v="4"/>
    <d v="2016-12-31T00:00:00"/>
    <n v="3711800000"/>
    <n v="1803500000"/>
    <n v="1054100000"/>
    <n v="0"/>
    <n v="0"/>
    <x v="1"/>
    <x v="110"/>
    <n v="0.51411713993210839"/>
    <n v="1908300000"/>
    <n v="0.23013093377875962"/>
    <n v="854200000"/>
  </r>
  <r>
    <s v="SNI"/>
    <n v="1"/>
    <x v="0"/>
    <d v="2012-12-31T00:00:00"/>
    <n v="2307182000"/>
    <n v="610836000"/>
    <n v="655473000"/>
    <n v="0"/>
    <n v="107591000"/>
    <x v="1"/>
    <x v="64"/>
    <n v="0.73524585403318854"/>
    <n v="1696346000"/>
    <n v="0.40451165100975994"/>
    <n v="933282000"/>
  </r>
  <r>
    <s v="SNI"/>
    <n v="2"/>
    <x v="1"/>
    <d v="2013-12-31T00:00:00"/>
    <n v="2530809000"/>
    <n v="699294000"/>
    <n v="729055000"/>
    <n v="0"/>
    <n v="117580000"/>
    <x v="1"/>
    <x v="64"/>
    <n v="0.72368756393706524"/>
    <n v="1831515000"/>
    <n v="0.38915619471876384"/>
    <n v="984880000"/>
  </r>
  <r>
    <s v="SNI"/>
    <n v="3"/>
    <x v="2"/>
    <d v="2014-12-31T00:00:00"/>
    <n v="2665456000"/>
    <n v="778896000"/>
    <n v="764799000"/>
    <n v="0"/>
    <n v="128582000"/>
    <x v="1"/>
    <x v="64"/>
    <n v="0.70778133272505717"/>
    <n v="1886560000"/>
    <n v="0.37261129052589875"/>
    <n v="993179000"/>
  </r>
  <r>
    <s v="SNI"/>
    <n v="4"/>
    <x v="3"/>
    <d v="2015-12-31T00:00:00"/>
    <n v="3018227000"/>
    <n v="987357000"/>
    <n v="785179000"/>
    <n v="0"/>
    <n v="137596000"/>
    <x v="1"/>
    <x v="64"/>
    <n v="0.67286854169683064"/>
    <n v="2030870000"/>
    <n v="0.3671344136806145"/>
    <n v="1108095000"/>
  </r>
  <r>
    <s v="SO"/>
    <n v="1"/>
    <x v="0"/>
    <d v="2012-12-31T00:00:00"/>
    <n v="16537000000"/>
    <n v="9373000000"/>
    <n v="914000000"/>
    <n v="0"/>
    <n v="1787000000"/>
    <x v="5"/>
    <x v="11"/>
    <n v="0.43321037673096696"/>
    <n v="7164000000"/>
    <n v="0.26987966378424139"/>
    <n v="4463000000"/>
  </r>
  <r>
    <s v="SO"/>
    <n v="2"/>
    <x v="1"/>
    <d v="2013-12-31T00:00:00"/>
    <n v="17087000000"/>
    <n v="9817000000"/>
    <n v="934000000"/>
    <n v="0"/>
    <n v="1901000000"/>
    <x v="5"/>
    <x v="11"/>
    <n v="0.42546965529349801"/>
    <n v="7270000000"/>
    <n v="0.25955404693626732"/>
    <n v="4435000000"/>
  </r>
  <r>
    <s v="SO"/>
    <n v="3"/>
    <x v="2"/>
    <d v="2014-12-31T00:00:00"/>
    <n v="18467000000"/>
    <n v="11031000000"/>
    <n v="981000000"/>
    <n v="0"/>
    <n v="1945000000"/>
    <x v="5"/>
    <x v="11"/>
    <n v="0.40266421183733148"/>
    <n v="7436000000"/>
    <n v="0.24421941842205014"/>
    <n v="4510000000"/>
  </r>
  <r>
    <s v="SO"/>
    <n v="4"/>
    <x v="3"/>
    <d v="2015-12-31T00:00:00"/>
    <n v="17489000000"/>
    <n v="9811000000"/>
    <n v="997000000"/>
    <n v="0"/>
    <n v="2034000000"/>
    <x v="5"/>
    <x v="11"/>
    <n v="0.43901881182457547"/>
    <n v="7678000000"/>
    <n v="0.26570987477843216"/>
    <n v="4647000000"/>
  </r>
  <r>
    <s v="SPG"/>
    <n v="1"/>
    <x v="0"/>
    <d v="2012-12-31T00:00:00"/>
    <n v="4256157000"/>
    <n v="800380000"/>
    <n v="376687000"/>
    <n v="0"/>
    <n v="1068382000"/>
    <x v="6"/>
    <x v="13"/>
    <n v="0.81194772655238046"/>
    <n v="3455777000"/>
    <n v="0.47242336220209924"/>
    <n v="2010708000"/>
  </r>
  <r>
    <s v="SPG"/>
    <n v="2"/>
    <x v="1"/>
    <d v="2013-12-31T00:00:00"/>
    <n v="4543849000"/>
    <n v="837946000"/>
    <n v="402369000"/>
    <n v="0"/>
    <n v="1107700000"/>
    <x v="6"/>
    <x v="13"/>
    <n v="0.81558674154884991"/>
    <n v="3705903000"/>
    <n v="0.48325417503970752"/>
    <n v="2195834000"/>
  </r>
  <r>
    <s v="SPG"/>
    <n v="3"/>
    <x v="2"/>
    <d v="2014-12-31T00:00:00"/>
    <n v="4870818000"/>
    <n v="882803000"/>
    <n v="446845000"/>
    <n v="0"/>
    <n v="1143827000"/>
    <x v="6"/>
    <x v="13"/>
    <n v="0.8187567262829365"/>
    <n v="3988015000"/>
    <n v="0.49218488557774076"/>
    <n v="2397343000"/>
  </r>
  <r>
    <s v="SPG"/>
    <n v="4"/>
    <x v="3"/>
    <d v="2015-12-31T00:00:00"/>
    <n v="5266103000"/>
    <n v="960192000"/>
    <n v="452835000"/>
    <n v="0"/>
    <n v="1177568000"/>
    <x v="6"/>
    <x v="13"/>
    <n v="0.81766554888880827"/>
    <n v="4305911000"/>
    <n v="0.50806222362152809"/>
    <n v="2675508000"/>
  </r>
  <r>
    <s v="SPLS"/>
    <n v="1"/>
    <x v="1"/>
    <d v="2013-02-02T00:00:00"/>
    <n v="24380510000"/>
    <n v="17889249000"/>
    <n v="4884284000"/>
    <n v="0"/>
    <n v="78900000"/>
    <x v="1"/>
    <x v="24"/>
    <n v="0.26624795789751732"/>
    <n v="6491261000"/>
    <n v="6.2676170432858044E-2"/>
    <n v="1528077000"/>
  </r>
  <r>
    <s v="SPLS"/>
    <n v="2"/>
    <x v="2"/>
    <d v="2014-02-01T00:00:00"/>
    <n v="23114000000"/>
    <n v="17082000000"/>
    <n v="4735000000"/>
    <n v="0"/>
    <n v="55000000"/>
    <x v="1"/>
    <x v="24"/>
    <n v="0.26096737907761525"/>
    <n v="6032000000"/>
    <n v="5.3733667906896251E-2"/>
    <n v="1242000000"/>
  </r>
  <r>
    <s v="SPLS"/>
    <n v="3"/>
    <x v="3"/>
    <d v="2015-01-31T00:00:00"/>
    <n v="22492000000"/>
    <n v="16691000000"/>
    <n v="4816000000"/>
    <n v="0"/>
    <n v="62000000"/>
    <x v="1"/>
    <x v="24"/>
    <n v="0.25791392495109378"/>
    <n v="5801000000"/>
    <n v="4.1036813089098345E-2"/>
    <n v="923000000"/>
  </r>
  <r>
    <s v="SPLS"/>
    <n v="4"/>
    <x v="4"/>
    <d v="2016-01-30T00:00:00"/>
    <n v="21059000000"/>
    <n v="15545000000"/>
    <n v="4600000000"/>
    <n v="0"/>
    <n v="67000000"/>
    <x v="1"/>
    <x v="24"/>
    <n v="0.26183579467211171"/>
    <n v="5514000000"/>
    <n v="4.0220333349161877E-2"/>
    <n v="847000000"/>
  </r>
  <r>
    <s v="SRCL"/>
    <n v="1"/>
    <x v="0"/>
    <d v="2012-12-31T00:00:00"/>
    <n v="1913149000"/>
    <n v="1055844000"/>
    <n v="356817000"/>
    <n v="0"/>
    <n v="31652000"/>
    <x v="0"/>
    <x v="52"/>
    <n v="0.44811198709562083"/>
    <n v="857305000"/>
    <n v="0.24505984635802019"/>
    <n v="468836000"/>
  </r>
  <r>
    <s v="SRCL"/>
    <n v="2"/>
    <x v="1"/>
    <d v="2013-12-31T00:00:00"/>
    <n v="2142807000"/>
    <n v="1178173000"/>
    <n v="390610000"/>
    <n v="0"/>
    <n v="38405000"/>
    <x v="0"/>
    <x v="52"/>
    <n v="0.45017306738311014"/>
    <n v="964634000"/>
    <n v="0.24996138242968219"/>
    <n v="535619000"/>
  </r>
  <r>
    <s v="SRCL"/>
    <n v="3"/>
    <x v="2"/>
    <d v="2014-12-31T00:00:00"/>
    <n v="2555601000"/>
    <n v="1461190000"/>
    <n v="489937000"/>
    <n v="0"/>
    <n v="48138000"/>
    <x v="0"/>
    <x v="52"/>
    <n v="0.42824016738137138"/>
    <n v="1094411000"/>
    <n v="0.21769282450585986"/>
    <n v="556336000"/>
  </r>
  <r>
    <s v="SRCL"/>
    <n v="4"/>
    <x v="3"/>
    <d v="2015-12-31T00:00:00"/>
    <n v="2985908000"/>
    <n v="1719723000"/>
    <n v="712803000"/>
    <n v="0"/>
    <n v="65770000"/>
    <x v="0"/>
    <x v="52"/>
    <n v="0.42405358771938051"/>
    <n v="1266185000"/>
    <n v="0.16330442866960401"/>
    <n v="487612000"/>
  </r>
  <r>
    <s v="SRE"/>
    <n v="1"/>
    <x v="0"/>
    <d v="2012-12-31T00:00:00"/>
    <n v="9647000000"/>
    <n v="6646000000"/>
    <n v="359000000"/>
    <n v="0"/>
    <n v="1090000000"/>
    <x v="5"/>
    <x v="10"/>
    <n v="0.3110811651290557"/>
    <n v="3001000000"/>
    <n v="0.1608790297501814"/>
    <n v="1552000000"/>
  </r>
  <r>
    <s v="SRE"/>
    <n v="2"/>
    <x v="1"/>
    <d v="2013-12-31T00:00:00"/>
    <n v="10557000000"/>
    <n v="7186000000"/>
    <n v="574000000"/>
    <n v="0"/>
    <n v="1113000000"/>
    <x v="5"/>
    <x v="10"/>
    <n v="0.31931419910959558"/>
    <n v="3371000000"/>
    <n v="0.15951501373496257"/>
    <n v="1684000000"/>
  </r>
  <r>
    <s v="SRE"/>
    <n v="3"/>
    <x v="2"/>
    <d v="2014-12-31T00:00:00"/>
    <n v="11035000000"/>
    <n v="7689000000"/>
    <n v="414000000"/>
    <n v="0"/>
    <n v="1156000000"/>
    <x v="5"/>
    <x v="10"/>
    <n v="0.30321703670140465"/>
    <n v="3346000000"/>
    <n v="0.16094245582238331"/>
    <n v="1776000000"/>
  </r>
  <r>
    <s v="SRE"/>
    <n v="4"/>
    <x v="3"/>
    <d v="2015-12-31T00:00:00"/>
    <n v="10231000000"/>
    <n v="6648000000"/>
    <n v="397000000"/>
    <n v="0"/>
    <n v="1250000000"/>
    <x v="5"/>
    <x v="10"/>
    <n v="0.35021014563581276"/>
    <n v="3583000000"/>
    <n v="0.18922881438764538"/>
    <n v="1936000000"/>
  </r>
  <r>
    <s v="LH"/>
    <n v="3"/>
    <x v="2"/>
    <d v="2014-12-31T00:00:00"/>
    <n v="6011600000"/>
    <n v="3808500000"/>
    <n v="1198200000"/>
    <n v="0"/>
    <n v="76700000"/>
    <x v="10"/>
    <x v="102"/>
    <n v="0.36647481535697646"/>
    <n v="2203100000"/>
    <n v="0.15440149045179319"/>
    <n v="928200000"/>
  </r>
  <r>
    <s v="LH"/>
    <n v="4"/>
    <x v="3"/>
    <d v="2015-12-31T00:00:00"/>
    <n v="8680100000"/>
    <n v="5776800000"/>
    <n v="1622000000"/>
    <n v="0"/>
    <n v="164500000"/>
    <x v="10"/>
    <x v="102"/>
    <n v="0.33447771339039878"/>
    <n v="2903300000"/>
    <n v="0.12866211218764761"/>
    <n v="1116800000"/>
  </r>
  <r>
    <s v="LLY"/>
    <n v="1"/>
    <x v="0"/>
    <d v="2012-12-31T00:00:00"/>
    <n v="22603400000"/>
    <n v="4796500000"/>
    <n v="6839500000"/>
    <n v="5278100000"/>
    <n v="0"/>
    <x v="10"/>
    <x v="83"/>
    <n v="0.78779741100896328"/>
    <n v="17806900000"/>
    <n v="0.25170107152021376"/>
    <n v="5689300000"/>
  </r>
  <r>
    <s v="LLY"/>
    <n v="2"/>
    <x v="1"/>
    <d v="2013-12-31T00:00:00"/>
    <n v="23113100000"/>
    <n v="4908100000"/>
    <n v="6606700000"/>
    <n v="5531300000"/>
    <n v="0"/>
    <x v="10"/>
    <x v="83"/>
    <n v="0.78764856293617036"/>
    <n v="18205000000"/>
    <n v="0.26249183363547079"/>
    <n v="6067000000"/>
  </r>
  <r>
    <s v="STX"/>
    <n v="1"/>
    <x v="1"/>
    <d v="2013-06-28T00:00:00"/>
    <n v="14351000000"/>
    <n v="10411000000"/>
    <n v="635000000"/>
    <n v="1133000000"/>
    <n v="79000000"/>
    <x v="2"/>
    <x v="111"/>
    <n v="0.2745453278517177"/>
    <n v="3940000000"/>
    <n v="0.14584349522681347"/>
    <n v="2093000000"/>
  </r>
  <r>
    <s v="STX"/>
    <n v="2"/>
    <x v="2"/>
    <d v="2014-06-27T00:00:00"/>
    <n v="13724000000"/>
    <n v="9878000000"/>
    <n v="722000000"/>
    <n v="1226000000"/>
    <n v="98000000"/>
    <x v="2"/>
    <x v="111"/>
    <n v="0.28023899737685809"/>
    <n v="3846000000"/>
    <n v="0.13115709705625181"/>
    <n v="1800000000"/>
  </r>
  <r>
    <s v="STX"/>
    <n v="3"/>
    <x v="3"/>
    <d v="2015-07-03T00:00:00"/>
    <n v="13739000000"/>
    <n v="9930000000"/>
    <n v="237000000"/>
    <n v="1353000000"/>
    <n v="129000000"/>
    <x v="2"/>
    <x v="111"/>
    <n v="0.27723997379721954"/>
    <n v="3809000000"/>
    <n v="0.1521216973578863"/>
    <n v="2090000000"/>
  </r>
  <r>
    <s v="STX"/>
    <n v="4"/>
    <x v="4"/>
    <d v="2016-07-01T00:00:00"/>
    <n v="11160000000"/>
    <n v="8545000000"/>
    <n v="635000000"/>
    <n v="1237000000"/>
    <n v="123000000"/>
    <x v="2"/>
    <x v="111"/>
    <n v="0.23431899641577059"/>
    <n v="2615000000"/>
    <n v="5.5555555555555552E-2"/>
    <n v="620000000"/>
  </r>
  <r>
    <s v="STZ"/>
    <n v="1"/>
    <x v="1"/>
    <d v="2013-02-28T00:00:00"/>
    <n v="2796100000"/>
    <n v="1687800000"/>
    <n v="585400000"/>
    <n v="0"/>
    <n v="0"/>
    <x v="4"/>
    <x v="112"/>
    <n v="0.39637352026036266"/>
    <n v="1108300000"/>
    <n v="0.18701047888129896"/>
    <n v="522900000"/>
  </r>
  <r>
    <s v="STZ"/>
    <n v="2"/>
    <x v="2"/>
    <d v="2014-02-28T00:00:00"/>
    <n v="4867700000"/>
    <n v="2876000000"/>
    <n v="895100000"/>
    <n v="0"/>
    <n v="0"/>
    <x v="4"/>
    <x v="112"/>
    <n v="0.40916654682909792"/>
    <n v="1991700000"/>
    <n v="0.22528093350042114"/>
    <n v="1096600000"/>
  </r>
  <r>
    <s v="STZ"/>
    <n v="3"/>
    <x v="3"/>
    <d v="2015-02-28T00:00:00"/>
    <n v="6028000000"/>
    <n v="3449400000"/>
    <n v="1078400000"/>
    <n v="0"/>
    <n v="0"/>
    <x v="4"/>
    <x v="112"/>
    <n v="0.42777040477770401"/>
    <n v="2578600000"/>
    <n v="0.24887193098871932"/>
    <n v="1500200000"/>
  </r>
  <r>
    <s v="STZ"/>
    <n v="4"/>
    <x v="4"/>
    <d v="2016-02-29T00:00:00"/>
    <n v="6548400000"/>
    <n v="3606100000"/>
    <n v="1177200000"/>
    <n v="0"/>
    <n v="0"/>
    <x v="4"/>
    <x v="112"/>
    <n v="0.4493158634170179"/>
    <n v="2942300000"/>
    <n v="0.26954675951377438"/>
    <n v="1765100000"/>
  </r>
  <r>
    <s v="SWK"/>
    <n v="1"/>
    <x v="1"/>
    <d v="2013-12-28T00:00:00"/>
    <n v="10889500000"/>
    <n v="6985800000"/>
    <n v="2960300000"/>
    <n v="0"/>
    <n v="0"/>
    <x v="1"/>
    <x v="110"/>
    <n v="0.35848294228385147"/>
    <n v="3903700000"/>
    <n v="8.6633913402819229E-2"/>
    <n v="943400000"/>
  </r>
  <r>
    <s v="SWK"/>
    <n v="2"/>
    <x v="3"/>
    <d v="2015-01-03T00:00:00"/>
    <n v="11338600000"/>
    <n v="7235900000"/>
    <n v="2814600000"/>
    <n v="0"/>
    <n v="0"/>
    <x v="1"/>
    <x v="110"/>
    <n v="0.36183479441906408"/>
    <n v="4102700000"/>
    <n v="0.113603090328612"/>
    <n v="1288100000"/>
  </r>
  <r>
    <s v="SWK"/>
    <n v="3"/>
    <x v="4"/>
    <d v="2016-01-02T00:00:00"/>
    <n v="11171800000"/>
    <n v="7099800000"/>
    <n v="2681100000"/>
    <n v="0"/>
    <n v="0"/>
    <x v="1"/>
    <x v="110"/>
    <n v="0.36448916020694966"/>
    <n v="4072000000"/>
    <n v="0.12450097567088562"/>
    <n v="1390900000"/>
  </r>
  <r>
    <s v="SWK"/>
    <n v="4"/>
    <x v="4"/>
    <d v="2016-12-31T00:00:00"/>
    <n v="11406900000"/>
    <n v="7139700000"/>
    <n v="2798900000"/>
    <n v="0"/>
    <n v="0"/>
    <x v="1"/>
    <x v="110"/>
    <n v="0.37408936696210193"/>
    <n v="4267200000"/>
    <n v="0.12872033593702056"/>
    <n v="1468300000"/>
  </r>
  <r>
    <s v="SWKS"/>
    <n v="1"/>
    <x v="1"/>
    <d v="2013-09-27T00:00:00"/>
    <n v="1792000000"/>
    <n v="1025400000"/>
    <n v="159700000"/>
    <n v="226300000"/>
    <n v="29100000"/>
    <x v="2"/>
    <x v="7"/>
    <n v="0.42779017857142854"/>
    <n v="766600000"/>
    <n v="0.19614955357142858"/>
    <n v="351500000"/>
  </r>
  <r>
    <s v="SWKS"/>
    <n v="2"/>
    <x v="2"/>
    <d v="2014-10-03T00:00:00"/>
    <n v="2291500000"/>
    <n v="1268800000"/>
    <n v="179100000"/>
    <n v="252200000"/>
    <n v="25900000"/>
    <x v="2"/>
    <x v="7"/>
    <n v="0.44630154920357845"/>
    <n v="1022700000"/>
    <n v="0.24678158411520837"/>
    <n v="565500000"/>
  </r>
  <r>
    <s v="SWKS"/>
    <n v="3"/>
    <x v="3"/>
    <d v="2015-10-02T00:00:00"/>
    <n v="3258400000"/>
    <n v="1703900000"/>
    <n v="191300000"/>
    <n v="303200000"/>
    <n v="33500000"/>
    <x v="2"/>
    <x v="7"/>
    <n v="0.47707463785907189"/>
    <n v="1554500000"/>
    <n v="0.31503191750552417"/>
    <n v="1026500000"/>
  </r>
  <r>
    <s v="SWKS"/>
    <n v="4"/>
    <x v="4"/>
    <d v="2016-09-30T00:00:00"/>
    <n v="3289000000"/>
    <n v="1623800000"/>
    <n v="195900000"/>
    <n v="312400000"/>
    <n v="33400000"/>
    <x v="2"/>
    <x v="7"/>
    <n v="0.50629370629370629"/>
    <n v="1665200000"/>
    <n v="0.34159318941927636"/>
    <n v="1123500000"/>
  </r>
  <r>
    <s v="SWN"/>
    <n v="1"/>
    <x v="0"/>
    <d v="2012-12-31T00:00:00"/>
    <n v="2730000000"/>
    <n v="245000000"/>
    <n v="835000000"/>
    <n v="0"/>
    <n v="811000000"/>
    <x v="8"/>
    <x v="25"/>
    <n v="0.91025641025641024"/>
    <n v="2485000000"/>
    <n v="0.30732600732600734"/>
    <n v="839000000"/>
  </r>
  <r>
    <s v="SWN"/>
    <n v="2"/>
    <x v="1"/>
    <d v="2013-12-31T00:00:00"/>
    <n v="3371000000"/>
    <n v="328000000"/>
    <n v="1052000000"/>
    <n v="0"/>
    <n v="787000000"/>
    <x v="8"/>
    <x v="25"/>
    <n v="0.90269949569860575"/>
    <n v="3043000000"/>
    <n v="0.3571640462770691"/>
    <n v="1204000000"/>
  </r>
  <r>
    <s v="SWN"/>
    <n v="3"/>
    <x v="2"/>
    <d v="2014-12-31T00:00:00"/>
    <n v="4038000000"/>
    <n v="427000000"/>
    <n v="1296000000"/>
    <n v="0"/>
    <n v="942000000"/>
    <x v="8"/>
    <x v="25"/>
    <n v="0.89425458147597825"/>
    <n v="3611000000"/>
    <n v="0.34001981178801388"/>
    <n v="1373000000"/>
  </r>
  <r>
    <s v="SWN"/>
    <n v="4"/>
    <x v="3"/>
    <d v="2015-12-31T00:00:00"/>
    <n v="3133000000"/>
    <n v="689000000"/>
    <n v="1208000000"/>
    <n v="0"/>
    <n v="1091000000"/>
    <x v="8"/>
    <x v="25"/>
    <n v="0.78008298755186722"/>
    <n v="2444000000"/>
    <n v="4.6281519310564956E-2"/>
    <n v="145000000"/>
  </r>
  <r>
    <s v="LLY"/>
    <n v="3"/>
    <x v="2"/>
    <d v="2014-12-31T00:00:00"/>
    <n v="19615600000"/>
    <n v="4932500000"/>
    <n v="6280300000"/>
    <n v="4733600000"/>
    <n v="0"/>
    <x v="10"/>
    <x v="83"/>
    <n v="0.74854197679398027"/>
    <n v="14683100000"/>
    <n v="0.18705520096249922"/>
    <n v="3669200000"/>
  </r>
  <r>
    <s v="LLY"/>
    <n v="4"/>
    <x v="3"/>
    <d v="2015-12-31T00:00:00"/>
    <n v="19958700000"/>
    <n v="5037200000"/>
    <n v="6432400000"/>
    <n v="4796400000"/>
    <n v="0"/>
    <x v="10"/>
    <x v="83"/>
    <n v="0.74761883288991771"/>
    <n v="14921500000"/>
    <n v="0.18501706022937367"/>
    <n v="3692700000"/>
  </r>
  <r>
    <s v="MCK"/>
    <n v="1"/>
    <x v="1"/>
    <d v="2013-03-31T00:00:00"/>
    <n v="122196000000"/>
    <n v="115315000000"/>
    <n v="4110000000"/>
    <n v="433000000"/>
    <n v="0"/>
    <x v="10"/>
    <x v="85"/>
    <n v="5.6311172215129823E-2"/>
    <n v="6881000000"/>
    <n v="1.9133195849291303E-2"/>
    <n v="2338000000"/>
  </r>
  <r>
    <s v="MCK"/>
    <n v="2"/>
    <x v="2"/>
    <d v="2014-03-31T00:00:00"/>
    <n v="137392000000"/>
    <n v="129040000000"/>
    <n v="5388000000"/>
    <n v="457000000"/>
    <n v="0"/>
    <x v="10"/>
    <x v="85"/>
    <n v="6.0789565622452524E-2"/>
    <n v="8352000000"/>
    <n v="1.8247059508559451E-2"/>
    <n v="2507000000"/>
  </r>
  <r>
    <s v="MCK"/>
    <n v="3"/>
    <x v="3"/>
    <d v="2015-03-31T00:00:00"/>
    <n v="179045000000"/>
    <n v="167634000000"/>
    <n v="7901000000"/>
    <n v="392000000"/>
    <n v="0"/>
    <x v="10"/>
    <x v="85"/>
    <n v="6.3732581194671734E-2"/>
    <n v="11411000000"/>
    <n v="1.7414616437208524E-2"/>
    <n v="3118000000"/>
  </r>
  <r>
    <s v="MCK"/>
    <n v="4"/>
    <x v="4"/>
    <d v="2016-03-31T00:00:00"/>
    <n v="190884000000"/>
    <n v="179468000000"/>
    <n v="7276000000"/>
    <n v="392000000"/>
    <n v="0"/>
    <x v="10"/>
    <x v="85"/>
    <n v="5.980595544938283E-2"/>
    <n v="11416000000"/>
    <n v="1.9634961547327173E-2"/>
    <n v="3748000000"/>
  </r>
  <r>
    <s v="MRK"/>
    <n v="1"/>
    <x v="0"/>
    <d v="2012-12-31T00:00:00"/>
    <n v="47267000000"/>
    <n v="16446000000"/>
    <n v="12776000000"/>
    <n v="8168000000"/>
    <n v="0"/>
    <x v="10"/>
    <x v="83"/>
    <n v="0.65206169208961851"/>
    <n v="30821000000"/>
    <n v="0.20896185499397044"/>
    <n v="9877000000"/>
  </r>
  <r>
    <s v="MRK"/>
    <n v="2"/>
    <x v="1"/>
    <d v="2013-12-31T00:00:00"/>
    <n v="44033000000"/>
    <n v="16954000000"/>
    <n v="11911000000"/>
    <n v="7503000000"/>
    <n v="0"/>
    <x v="10"/>
    <x v="83"/>
    <n v="0.6149705902391388"/>
    <n v="27079000000"/>
    <n v="0.17407398996207391"/>
    <n v="7665000000"/>
  </r>
  <r>
    <s v="SYMC"/>
    <n v="1"/>
    <x v="1"/>
    <d v="2013-03-29T00:00:00"/>
    <n v="6906000000"/>
    <n v="1175000000"/>
    <n v="3236000000"/>
    <n v="1026000000"/>
    <n v="286000000"/>
    <x v="2"/>
    <x v="6"/>
    <n v="0.82985809441065739"/>
    <n v="5731000000"/>
    <n v="0.17130031856356792"/>
    <n v="1183000000"/>
  </r>
  <r>
    <s v="SYMC"/>
    <n v="2"/>
    <x v="2"/>
    <d v="2014-03-28T00:00:00"/>
    <n v="4183000000"/>
    <n v="791000000"/>
    <n v="2186000000"/>
    <n v="722000000"/>
    <n v="93000000"/>
    <x v="2"/>
    <x v="6"/>
    <n v="0.81090126703322973"/>
    <n v="3392000000"/>
    <n v="9.3473583552474301E-2"/>
    <n v="391000000"/>
  </r>
  <r>
    <s v="SYMC"/>
    <n v="3"/>
    <x v="3"/>
    <d v="2015-04-03T00:00:00"/>
    <n v="3956000000"/>
    <n v="727000000"/>
    <n v="2012000000"/>
    <n v="812000000"/>
    <n v="87000000"/>
    <x v="2"/>
    <x v="6"/>
    <n v="0.8162285136501517"/>
    <n v="3229000000"/>
    <n v="8.0384226491405461E-2"/>
    <n v="318000000"/>
  </r>
  <r>
    <s v="SYMC"/>
    <n v="4"/>
    <x v="4"/>
    <d v="2016-04-01T00:00:00"/>
    <n v="3600000000"/>
    <n v="615000000"/>
    <n v="1587000000"/>
    <n v="748000000"/>
    <n v="57000000"/>
    <x v="2"/>
    <x v="6"/>
    <n v="0.82916666666666661"/>
    <n v="2985000000"/>
    <n v="0.16472222222222221"/>
    <n v="593000000"/>
  </r>
  <r>
    <s v="SYY"/>
    <n v="1"/>
    <x v="1"/>
    <d v="2013-06-29T00:00:00"/>
    <n v="44411233000"/>
    <n v="36414626000"/>
    <n v="6338129000"/>
    <n v="0"/>
    <n v="0"/>
    <x v="4"/>
    <x v="113"/>
    <n v="0.18005820734587574"/>
    <n v="7996607000"/>
    <n v="3.7343660330259237E-2"/>
    <n v="1658478000"/>
  </r>
  <r>
    <s v="SYY"/>
    <n v="2"/>
    <x v="2"/>
    <d v="2014-06-28T00:00:00"/>
    <n v="46516712000"/>
    <n v="38335677000"/>
    <n v="0"/>
    <n v="0"/>
    <n v="0"/>
    <x v="4"/>
    <x v="113"/>
    <n v="0.17587302817103667"/>
    <n v="8181035000"/>
    <n v="0.17587302817103667"/>
    <n v="8181035000"/>
  </r>
  <r>
    <s v="SYY"/>
    <n v="3"/>
    <x v="3"/>
    <d v="2015-06-27T00:00:00"/>
    <n v="48680752000"/>
    <n v="40129236000"/>
    <n v="0"/>
    <n v="0"/>
    <n v="0"/>
    <x v="4"/>
    <x v="113"/>
    <n v="0.17566524033975484"/>
    <n v="8551516000"/>
    <n v="0.17566524033975481"/>
    <n v="8551516000"/>
  </r>
  <r>
    <s v="SYY"/>
    <n v="4"/>
    <x v="4"/>
    <d v="2016-07-02T00:00:00"/>
    <n v="50366919000"/>
    <n v="41326447000"/>
    <n v="0"/>
    <n v="0"/>
    <n v="0"/>
    <x v="4"/>
    <x v="113"/>
    <n v="0.17949225760662468"/>
    <n v="9040472000"/>
    <n v="0.17949225760662471"/>
    <n v="9040472000"/>
  </r>
  <r>
    <s v="T"/>
    <n v="1"/>
    <x v="0"/>
    <d v="2012-12-31T00:00:00"/>
    <n v="127434000000"/>
    <n v="55228000000"/>
    <n v="41066000000"/>
    <n v="0"/>
    <n v="18143000000"/>
    <x v="9"/>
    <x v="59"/>
    <n v="0.56661487515105857"/>
    <n v="72206000000"/>
    <n v="0.10199004975124377"/>
    <n v="12997000000"/>
  </r>
  <r>
    <s v="T"/>
    <n v="2"/>
    <x v="1"/>
    <d v="2013-12-31T00:00:00"/>
    <n v="128752000000"/>
    <n v="51191000000"/>
    <n v="28414000000"/>
    <n v="0"/>
    <n v="18395000000"/>
    <x v="9"/>
    <x v="59"/>
    <n v="0.60240617621473835"/>
    <n v="77561000000"/>
    <n v="0.23884677519572511"/>
    <n v="30752000000"/>
  </r>
  <r>
    <s v="T"/>
    <n v="3"/>
    <x v="2"/>
    <d v="2014-12-31T00:00:00"/>
    <n v="132447000000"/>
    <n v="60145000000"/>
    <n v="41817000000"/>
    <n v="0"/>
    <n v="18273000000"/>
    <x v="9"/>
    <x v="59"/>
    <n v="0.54589382922980512"/>
    <n v="72302000000"/>
    <n v="9.2202918903410425E-2"/>
    <n v="12212000000"/>
  </r>
  <r>
    <s v="T"/>
    <n v="4"/>
    <x v="3"/>
    <d v="2015-12-31T00:00:00"/>
    <n v="146801000000"/>
    <n v="67046000000"/>
    <n v="32954000000"/>
    <n v="0"/>
    <n v="22016000000"/>
    <x v="9"/>
    <x v="59"/>
    <n v="0.54328648987404726"/>
    <n v="79755000000"/>
    <n v="0.16883399976839394"/>
    <n v="24785000000"/>
  </r>
  <r>
    <s v="TAP"/>
    <n v="1"/>
    <x v="1"/>
    <d v="2013-12-31T00:00:00"/>
    <n v="4206100000"/>
    <n v="2545600000"/>
    <n v="1193800000"/>
    <n v="0"/>
    <n v="0"/>
    <x v="4"/>
    <x v="114"/>
    <n v="0.39478376643446422"/>
    <n v="1660500000"/>
    <n v="0.11095789448657901"/>
    <n v="466700000"/>
  </r>
  <r>
    <s v="TAP"/>
    <n v="2"/>
    <x v="2"/>
    <d v="2014-12-31T00:00:00"/>
    <n v="4146300000"/>
    <n v="2493300000"/>
    <n v="1163900000"/>
    <n v="0"/>
    <n v="0"/>
    <x v="4"/>
    <x v="114"/>
    <n v="0.39866869256927862"/>
    <n v="1653000000"/>
    <n v="0.11796059137061959"/>
    <n v="489100000"/>
  </r>
  <r>
    <s v="TAP"/>
    <n v="3"/>
    <x v="3"/>
    <d v="2015-12-31T00:00:00"/>
    <n v="3567500000"/>
    <n v="2163500000"/>
    <n v="1051800000"/>
    <n v="0"/>
    <n v="0"/>
    <x v="4"/>
    <x v="114"/>
    <n v="0.39355290819901889"/>
    <n v="1404000000"/>
    <n v="9.8724597056762439E-2"/>
    <n v="352200000"/>
  </r>
  <r>
    <s v="TAP"/>
    <n v="4"/>
    <x v="4"/>
    <d v="2016-12-31T00:00:00"/>
    <n v="4885000000"/>
    <n v="3003100000"/>
    <n v="1597300000"/>
    <n v="0"/>
    <n v="0"/>
    <x v="4"/>
    <x v="114"/>
    <n v="0.38524053224155574"/>
    <n v="1881900000"/>
    <n v="5.8259979529170933E-2"/>
    <n v="284600000"/>
  </r>
  <r>
    <s v="TDC"/>
    <n v="1"/>
    <x v="0"/>
    <d v="2012-12-31T00:00:00"/>
    <n v="2665000000"/>
    <n v="1174000000"/>
    <n v="728000000"/>
    <n v="183000000"/>
    <n v="0"/>
    <x v="2"/>
    <x v="6"/>
    <n v="0.55947467166979359"/>
    <n v="1491000000"/>
    <n v="0.2176360225140713"/>
    <n v="580000000"/>
  </r>
  <r>
    <s v="TDC"/>
    <n v="2"/>
    <x v="1"/>
    <d v="2013-12-31T00:00:00"/>
    <n v="2692000000"/>
    <n v="1219000000"/>
    <n v="757000000"/>
    <n v="184000000"/>
    <n v="0"/>
    <x v="2"/>
    <x v="6"/>
    <n v="0.54717682020802383"/>
    <n v="1473000000"/>
    <n v="0.1976225854383358"/>
    <n v="532000000"/>
  </r>
  <r>
    <s v="TDC"/>
    <n v="3"/>
    <x v="2"/>
    <d v="2014-12-31T00:00:00"/>
    <n v="2732000000"/>
    <n v="1253000000"/>
    <n v="770000000"/>
    <n v="206000000"/>
    <n v="0"/>
    <x v="2"/>
    <x v="6"/>
    <n v="0.54136163982430452"/>
    <n v="1479000000"/>
    <n v="0.18411420204978038"/>
    <n v="503000000"/>
  </r>
  <r>
    <s v="TDC"/>
    <n v="4"/>
    <x v="3"/>
    <d v="2015-12-31T00:00:00"/>
    <n v="2530000000"/>
    <n v="1254000000"/>
    <n v="765000000"/>
    <n v="228000000"/>
    <n v="0"/>
    <x v="2"/>
    <x v="6"/>
    <n v="0.5043478260869565"/>
    <n v="1276000000"/>
    <n v="0.11185770750988143"/>
    <n v="283000000"/>
  </r>
  <r>
    <s v="TDG"/>
    <n v="1"/>
    <x v="1"/>
    <d v="2013-09-30T00:00:00"/>
    <n v="1924400000"/>
    <n v="874838000"/>
    <n v="254468000"/>
    <n v="0"/>
    <n v="45639000"/>
    <x v="0"/>
    <x v="28"/>
    <n v="0.54539700685928083"/>
    <n v="1049562000"/>
    <n v="0.3894486593223862"/>
    <n v="749455000"/>
  </r>
  <r>
    <s v="TDG"/>
    <n v="2"/>
    <x v="2"/>
    <d v="2014-09-30T00:00:00"/>
    <n v="2372906000"/>
    <n v="1105032000"/>
    <n v="276446000"/>
    <n v="0"/>
    <n v="63608000"/>
    <x v="0"/>
    <x v="28"/>
    <n v="0.53431277935156296"/>
    <n v="1267874000"/>
    <n v="0.39100579626837306"/>
    <n v="927820000"/>
  </r>
  <r>
    <s v="TDG"/>
    <n v="3"/>
    <x v="3"/>
    <d v="2015-09-30T00:00:00"/>
    <n v="2707115000"/>
    <n v="1257270000"/>
    <n v="321624000"/>
    <n v="0"/>
    <n v="54219000"/>
    <x v="0"/>
    <x v="28"/>
    <n v="0.5355683079588418"/>
    <n v="1449845000"/>
    <n v="0.39673305345358434"/>
    <n v="1074002000"/>
  </r>
  <r>
    <s v="TDG"/>
    <n v="4"/>
    <x v="4"/>
    <d v="2016-09-30T00:00:00"/>
    <n v="3171411000"/>
    <n v="1443348000"/>
    <n v="382858000"/>
    <n v="0"/>
    <n v="77445000"/>
    <x v="0"/>
    <x v="28"/>
    <n v="0.54488774870239154"/>
    <n v="1728063000"/>
    <n v="0.39974635895505189"/>
    <n v="1267760000"/>
  </r>
  <r>
    <s v="TEL"/>
    <n v="1"/>
    <x v="1"/>
    <d v="2013-09-27T00:00:00"/>
    <n v="11390000000"/>
    <n v="7739000000"/>
    <n v="1440000000"/>
    <n v="590000000"/>
    <n v="0"/>
    <x v="2"/>
    <x v="115"/>
    <n v="0.32054433713784025"/>
    <n v="3651000000"/>
    <n v="0.14231782265144863"/>
    <n v="1621000000"/>
  </r>
  <r>
    <s v="TEL"/>
    <n v="2"/>
    <x v="2"/>
    <d v="2014-09-26T00:00:00"/>
    <n v="11973000000"/>
    <n v="8001000000"/>
    <n v="1534000000"/>
    <n v="583000000"/>
    <n v="0"/>
    <x v="2"/>
    <x v="115"/>
    <n v="0.33174642946629918"/>
    <n v="3972000000"/>
    <n v="0.15493193017622986"/>
    <n v="1855000000"/>
  </r>
  <r>
    <s v="TEL"/>
    <n v="3"/>
    <x v="3"/>
    <d v="2015-09-25T00:00:00"/>
    <n v="12233000000"/>
    <n v="8146000000"/>
    <n v="1504000000"/>
    <n v="627000000"/>
    <n v="0"/>
    <x v="2"/>
    <x v="115"/>
    <n v="0.33409629690182296"/>
    <n v="4087000000"/>
    <n v="0.15989536499632143"/>
    <n v="1956000000"/>
  </r>
  <r>
    <s v="TEL"/>
    <n v="4"/>
    <x v="4"/>
    <d v="2016-09-30T00:00:00"/>
    <n v="12238000000"/>
    <n v="8205000000"/>
    <n v="1463000000"/>
    <n v="644000000"/>
    <n v="0"/>
    <x v="2"/>
    <x v="115"/>
    <n v="0.32954731165223072"/>
    <n v="4033000000"/>
    <n v="0.15737865664324235"/>
    <n v="1926000000"/>
  </r>
  <r>
    <s v="TGNA"/>
    <n v="1"/>
    <x v="0"/>
    <d v="2012-12-30T00:00:00"/>
    <n v="5353197000"/>
    <n v="2943847000"/>
    <n v="1303427000"/>
    <n v="0"/>
    <n v="194039000"/>
    <x v="1"/>
    <x v="116"/>
    <n v="0.45007684193202679"/>
    <n v="2409350000"/>
    <n v="0.17034381510712196"/>
    <n v="911884000"/>
  </r>
  <r>
    <s v="TGNA"/>
    <n v="2"/>
    <x v="1"/>
    <d v="2013-12-29T00:00:00"/>
    <n v="1603123000"/>
    <n v="662769000"/>
    <n v="531932000"/>
    <n v="0"/>
    <n v="74833000"/>
    <x v="1"/>
    <x v="116"/>
    <n v="0.58657632633303869"/>
    <n v="940354000"/>
    <n v="0.2080869652546935"/>
    <n v="333589000"/>
  </r>
  <r>
    <s v="TGNA"/>
    <n v="3"/>
    <x v="2"/>
    <d v="2014-12-31T00:00:00"/>
    <n v="2626141000"/>
    <n v="954990000"/>
    <n v="766854000"/>
    <n v="0"/>
    <n v="151837000"/>
    <x v="1"/>
    <x v="116"/>
    <n v="0.63635235122561973"/>
    <n v="1671151000"/>
    <n v="0.28652688488546502"/>
    <n v="752460000"/>
  </r>
  <r>
    <s v="TGNA"/>
    <n v="4"/>
    <x v="3"/>
    <d v="2015-12-31T00:00:00"/>
    <n v="3050945000"/>
    <n v="923336000"/>
    <n v="1068221000"/>
    <n v="0"/>
    <n v="205087000"/>
    <x v="1"/>
    <x v="116"/>
    <n v="0.69736065383020673"/>
    <n v="2127609000"/>
    <n v="0.28001193072965919"/>
    <n v="854301000"/>
  </r>
  <r>
    <s v="TGT"/>
    <n v="1"/>
    <x v="1"/>
    <d v="2013-02-02T00:00:00"/>
    <n v="73301000000"/>
    <n v="50568000000"/>
    <n v="15110000000"/>
    <n v="0"/>
    <n v="2044000000"/>
    <x v="1"/>
    <x v="62"/>
    <n v="0.31013219464945907"/>
    <n v="22733000000"/>
    <n v="7.6110830684438135E-2"/>
    <n v="5579000000"/>
  </r>
  <r>
    <s v="TGT"/>
    <n v="2"/>
    <x v="2"/>
    <d v="2014-02-01T00:00:00"/>
    <n v="71279000000"/>
    <n v="50039000000"/>
    <n v="14465000000"/>
    <n v="0"/>
    <n v="1996000000"/>
    <x v="1"/>
    <x v="62"/>
    <n v="0.2979839784508761"/>
    <n v="21240000000"/>
    <n v="6.7046395151447127E-2"/>
    <n v="4779000000"/>
  </r>
  <r>
    <s v="TGT"/>
    <n v="3"/>
    <x v="3"/>
    <d v="2015-01-31T00:00:00"/>
    <n v="72618000000"/>
    <n v="51278000000"/>
    <n v="14676000000"/>
    <n v="0"/>
    <n v="2129000000"/>
    <x v="1"/>
    <x v="62"/>
    <n v="0.29386653446803823"/>
    <n v="21340000000"/>
    <n v="6.2450081247073727E-2"/>
    <n v="4535000000"/>
  </r>
  <r>
    <s v="TGT"/>
    <n v="4"/>
    <x v="4"/>
    <d v="2016-01-30T00:00:00"/>
    <n v="73785000000"/>
    <n v="51997000000"/>
    <n v="14665000000"/>
    <n v="0"/>
    <n v="2213000000"/>
    <x v="1"/>
    <x v="62"/>
    <n v="0.29529037067154573"/>
    <n v="21788000000"/>
    <n v="6.6544690655282235E-2"/>
    <n v="4910000000"/>
  </r>
  <r>
    <s v="TIF"/>
    <n v="1"/>
    <x v="1"/>
    <d v="2013-01-31T00:00:00"/>
    <n v="3794249000"/>
    <n v="1630965000"/>
    <n v="1466067000"/>
    <n v="0"/>
    <n v="0"/>
    <x v="1"/>
    <x v="78"/>
    <n v="0.57014813735208203"/>
    <n v="2163284000"/>
    <n v="0.18375625848488067"/>
    <n v="697217000"/>
  </r>
  <r>
    <s v="TIF"/>
    <n v="2"/>
    <x v="2"/>
    <d v="2014-01-31T00:00:00"/>
    <n v="4031100000"/>
    <n v="1690700000"/>
    <n v="2036100000"/>
    <n v="0"/>
    <n v="0"/>
    <x v="1"/>
    <x v="78"/>
    <n v="0.58058594428319821"/>
    <n v="2340400000"/>
    <n v="7.5488080176626726E-2"/>
    <n v="304300000"/>
  </r>
  <r>
    <s v="TIF"/>
    <n v="3"/>
    <x v="3"/>
    <d v="2015-01-31T00:00:00"/>
    <n v="4249900000"/>
    <n v="1712700000"/>
    <n v="1645800000"/>
    <n v="0"/>
    <n v="0"/>
    <x v="1"/>
    <x v="78"/>
    <n v="0.59700228240664488"/>
    <n v="2537200000"/>
    <n v="0.20974611167321583"/>
    <n v="891400000"/>
  </r>
  <r>
    <s v="TIF"/>
    <n v="4"/>
    <x v="4"/>
    <d v="2016-01-31T00:00:00"/>
    <n v="4104900000"/>
    <n v="1613600000"/>
    <n v="1731200000"/>
    <n v="0"/>
    <n v="0"/>
    <x v="1"/>
    <x v="78"/>
    <n v="0.60690881629272331"/>
    <n v="2491300000"/>
    <n v="0.18516894443226389"/>
    <n v="760100000"/>
  </r>
  <r>
    <s v="TJX"/>
    <n v="1"/>
    <x v="1"/>
    <d v="2013-02-02T00:00:00"/>
    <n v="25878372000"/>
    <n v="18521400000"/>
    <n v="4250446000"/>
    <n v="0"/>
    <n v="0"/>
    <x v="1"/>
    <x v="70"/>
    <n v="0.28429037189820128"/>
    <n v="7356972000"/>
    <n v="0.1200433319375732"/>
    <n v="3106526000"/>
  </r>
  <r>
    <s v="TJX"/>
    <n v="2"/>
    <x v="2"/>
    <d v="2014-02-01T00:00:00"/>
    <n v="27422696000"/>
    <n v="19605037000"/>
    <n v="4467089000"/>
    <n v="0"/>
    <n v="0"/>
    <x v="1"/>
    <x v="70"/>
    <n v="0.2850798841951937"/>
    <n v="7817659000"/>
    <n v="0.12218237039859246"/>
    <n v="3350570000"/>
  </r>
  <r>
    <s v="TJX"/>
    <n v="3"/>
    <x v="3"/>
    <d v="2015-01-31T00:00:00"/>
    <n v="29078407000"/>
    <n v="20776522000"/>
    <n v="4695384000"/>
    <n v="0"/>
    <n v="0"/>
    <x v="1"/>
    <x v="70"/>
    <n v="0.28549999317362884"/>
    <n v="8301885000"/>
    <n v="0.1240267735436814"/>
    <n v="3606501000"/>
  </r>
  <r>
    <s v="TJX"/>
    <n v="4"/>
    <x v="4"/>
    <d v="2016-01-30T00:00:00"/>
    <n v="30944938000"/>
    <n v="22034523000"/>
    <n v="5205715000"/>
    <n v="0"/>
    <n v="0"/>
    <x v="1"/>
    <x v="70"/>
    <n v="0.28794418654191523"/>
    <n v="8910415000"/>
    <n v="0.11971909589865716"/>
    <n v="3704700000"/>
  </r>
  <r>
    <s v="MRK"/>
    <n v="3"/>
    <x v="2"/>
    <d v="2014-12-31T00:00:00"/>
    <n v="42237000000"/>
    <n v="16768000000"/>
    <n v="11606000000"/>
    <n v="7180000000"/>
    <n v="0"/>
    <x v="10"/>
    <x v="83"/>
    <n v="0.60300210715723179"/>
    <n v="25469000000"/>
    <n v="0.15822619977744631"/>
    <n v="6683000000"/>
  </r>
  <r>
    <s v="MRK"/>
    <n v="4"/>
    <x v="3"/>
    <d v="2015-12-31T00:00:00"/>
    <n v="39498000000"/>
    <n v="14934000000"/>
    <n v="10313000000"/>
    <n v="6704000000"/>
    <n v="0"/>
    <x v="10"/>
    <x v="83"/>
    <n v="0.62190490657754816"/>
    <n v="24564000000"/>
    <n v="0.19107296571978327"/>
    <n v="7547000000"/>
  </r>
  <r>
    <s v="MTD"/>
    <n v="1"/>
    <x v="1"/>
    <d v="2013-12-31T00:00:00"/>
    <n v="2378972000"/>
    <n v="1097041000"/>
    <n v="692693000"/>
    <n v="116346000"/>
    <n v="24539000"/>
    <x v="10"/>
    <x v="107"/>
    <n v="0.53885922154611321"/>
    <n v="1281931000"/>
    <n v="0.18846501766309146"/>
    <n v="448353000"/>
  </r>
  <r>
    <s v="MTD"/>
    <n v="2"/>
    <x v="2"/>
    <d v="2014-12-31T00:00:00"/>
    <n v="2485983000"/>
    <n v="1127233000"/>
    <n v="728582000"/>
    <n v="123297000"/>
    <n v="29185000"/>
    <x v="10"/>
    <x v="107"/>
    <n v="0.54656447771364491"/>
    <n v="1358750000"/>
    <n v="0.19215175646816571"/>
    <n v="477686000"/>
  </r>
  <r>
    <s v="MTD"/>
    <n v="3"/>
    <x v="3"/>
    <d v="2015-12-31T00:00:00"/>
    <n v="2395447000"/>
    <n v="1043454000"/>
    <n v="700810000"/>
    <n v="119076000"/>
    <n v="30951000"/>
    <x v="10"/>
    <x v="107"/>
    <n v="0.56440113264872904"/>
    <n v="1351993000"/>
    <n v="0.20921189239419616"/>
    <n v="501156000"/>
  </r>
  <r>
    <s v="MTD"/>
    <n v="4"/>
    <x v="4"/>
    <d v="2016-12-31T00:00:00"/>
    <n v="2508257000"/>
    <n v="1072670000"/>
    <n v="732622000"/>
    <n v="119968000"/>
    <n v="36052000"/>
    <x v="10"/>
    <x v="107"/>
    <n v="0.57234446071514999"/>
    <n v="1435587000"/>
    <n v="0.21805779870244557"/>
    <n v="546945000"/>
  </r>
  <r>
    <s v="MYL"/>
    <n v="1"/>
    <x v="2"/>
    <d v="2014-12-31T00:00:00"/>
    <n v="7719600000"/>
    <n v="4191600000"/>
    <n v="1545700000"/>
    <n v="581800000"/>
    <n v="0"/>
    <x v="10"/>
    <x v="83"/>
    <n v="0.45701849836779107"/>
    <n v="3528000000"/>
    <n v="0.18142131716669258"/>
    <n v="1400500000"/>
  </r>
  <r>
    <s v="MYL"/>
    <n v="2"/>
    <x v="3"/>
    <d v="2015-12-31T00:00:00"/>
    <n v="9429300000"/>
    <n v="5213200000"/>
    <n v="2180700000"/>
    <n v="671900000"/>
    <n v="0"/>
    <x v="10"/>
    <x v="83"/>
    <n v="0.44712757044531404"/>
    <n v="4216100000"/>
    <n v="0.14460246253698578"/>
    <n v="1363500000"/>
  </r>
  <r>
    <s v="TRIP"/>
    <n v="1"/>
    <x v="0"/>
    <d v="2012-12-31T00:00:00"/>
    <n v="763000000"/>
    <n v="12000000"/>
    <n v="429000000"/>
    <n v="0"/>
    <n v="26000000"/>
    <x v="1"/>
    <x v="23"/>
    <n v="0.98427260812581918"/>
    <n v="751000000"/>
    <n v="0.38794233289646135"/>
    <n v="296000000"/>
  </r>
  <r>
    <s v="TRIP"/>
    <n v="2"/>
    <x v="1"/>
    <d v="2013-12-31T00:00:00"/>
    <n v="945000000"/>
    <n v="18000000"/>
    <n v="597000000"/>
    <n v="0"/>
    <n v="36000000"/>
    <x v="1"/>
    <x v="23"/>
    <n v="0.98095238095238091"/>
    <n v="927000000"/>
    <n v="0.31111111111111112"/>
    <n v="294000000"/>
  </r>
  <r>
    <s v="TRIP"/>
    <n v="3"/>
    <x v="2"/>
    <d v="2014-12-31T00:00:00"/>
    <n v="1246000000"/>
    <n v="40000000"/>
    <n v="801000000"/>
    <n v="0"/>
    <n v="65000000"/>
    <x v="1"/>
    <x v="23"/>
    <n v="0.9678972712680578"/>
    <n v="1206000000"/>
    <n v="0.27287319422150885"/>
    <n v="340000000"/>
  </r>
  <r>
    <s v="TRIP"/>
    <n v="4"/>
    <x v="3"/>
    <d v="2015-12-31T00:00:00"/>
    <n v="1492000000"/>
    <n v="58000000"/>
    <n v="1109000000"/>
    <n v="0"/>
    <n v="93000000"/>
    <x v="1"/>
    <x v="23"/>
    <n v="0.96112600536193027"/>
    <n v="1434000000"/>
    <n v="0.15549597855227881"/>
    <n v="232000000"/>
  </r>
  <r>
    <s v="PDCO"/>
    <n v="1"/>
    <x v="1"/>
    <d v="2013-04-27T00:00:00"/>
    <n v="3637212000"/>
    <n v="2446443000"/>
    <n v="0"/>
    <n v="0"/>
    <n v="0"/>
    <x v="10"/>
    <x v="101"/>
    <n v="0.32738509605708987"/>
    <n v="1190769000"/>
    <n v="0.32738509605708987"/>
    <n v="1190769000"/>
  </r>
  <r>
    <s v="PDCO"/>
    <n v="2"/>
    <x v="2"/>
    <d v="2014-04-26T00:00:00"/>
    <n v="3585141000"/>
    <n v="2566444000"/>
    <n v="0"/>
    <n v="0"/>
    <n v="0"/>
    <x v="10"/>
    <x v="101"/>
    <n v="0.2841441940498296"/>
    <n v="1018697000"/>
    <n v="0.28414419404982955"/>
    <n v="1018697000"/>
  </r>
  <r>
    <s v="PDCO"/>
    <n v="3"/>
    <x v="3"/>
    <d v="2015-04-25T00:00:00"/>
    <n v="3910865000"/>
    <n v="2850316000"/>
    <n v="0"/>
    <n v="0"/>
    <n v="0"/>
    <x v="10"/>
    <x v="101"/>
    <n v="0.27118016091069364"/>
    <n v="1060549000"/>
    <n v="0.27118016091069369"/>
    <n v="1060549000"/>
  </r>
  <r>
    <s v="PDCO"/>
    <n v="4"/>
    <x v="4"/>
    <d v="2016-04-30T00:00:00"/>
    <n v="5386703000"/>
    <n v="4063955000"/>
    <n v="0"/>
    <n v="0"/>
    <n v="0"/>
    <x v="10"/>
    <x v="101"/>
    <n v="0.24555799716449933"/>
    <n v="1322748000"/>
    <n v="0.24555799716449933"/>
    <n v="1322748000"/>
  </r>
  <r>
    <s v="TSCO"/>
    <n v="1"/>
    <x v="0"/>
    <d v="2012-12-29T00:00:00"/>
    <n v="4664120000"/>
    <n v="3098066000"/>
    <n v="1040287000"/>
    <n v="0"/>
    <n v="88975000"/>
    <x v="1"/>
    <x v="117"/>
    <n v="0.33576623242969739"/>
    <n v="1566054000"/>
    <n v="9.3649391525089401E-2"/>
    <n v="436792000"/>
  </r>
  <r>
    <s v="TSCO"/>
    <n v="2"/>
    <x v="1"/>
    <d v="2013-12-28T00:00:00"/>
    <n v="5164784000"/>
    <n v="3411175000"/>
    <n v="1138934000"/>
    <n v="0"/>
    <n v="100025000"/>
    <x v="1"/>
    <x v="117"/>
    <n v="0.33953191459700927"/>
    <n v="1753609000"/>
    <n v="9.9645987131310815E-2"/>
    <n v="514650000"/>
  </r>
  <r>
    <s v="TSCO"/>
    <n v="3"/>
    <x v="2"/>
    <d v="2014-12-27T00:00:00"/>
    <n v="5711715000"/>
    <n v="3761300000"/>
    <n v="1246308000"/>
    <n v="0"/>
    <n v="114635000"/>
    <x v="1"/>
    <x v="117"/>
    <n v="0.34147624662645104"/>
    <n v="1950415000"/>
    <n v="0.10320402891250702"/>
    <n v="589472000"/>
  </r>
  <r>
    <s v="TSCO"/>
    <n v="4"/>
    <x v="3"/>
    <d v="2015-12-26T00:00:00"/>
    <n v="6226507000"/>
    <n v="4083333000"/>
    <n v="1369097000"/>
    <n v="0"/>
    <n v="123569000"/>
    <x v="1"/>
    <x v="117"/>
    <n v="0.34420165270833225"/>
    <n v="2143174000"/>
    <n v="0.10447398517338854"/>
    <n v="650508000"/>
  </r>
  <r>
    <s v="TSN"/>
    <n v="1"/>
    <x v="1"/>
    <d v="2013-10-03T00:00:00"/>
    <n v="34374000000"/>
    <n v="32016000000"/>
    <n v="983000000"/>
    <n v="0"/>
    <n v="0"/>
    <x v="4"/>
    <x v="37"/>
    <n v="6.8598359224995686E-2"/>
    <n v="2358000000"/>
    <n v="4.0001163670215861E-2"/>
    <n v="1375000000"/>
  </r>
  <r>
    <s v="TSN"/>
    <n v="2"/>
    <x v="2"/>
    <d v="2014-10-03T00:00:00"/>
    <n v="37580000000"/>
    <n v="34895000000"/>
    <n v="1255000000"/>
    <n v="0"/>
    <n v="0"/>
    <x v="4"/>
    <x v="37"/>
    <n v="7.1447578499201692E-2"/>
    <n v="2685000000"/>
    <n v="3.8052155401809472E-2"/>
    <n v="1430000000"/>
  </r>
  <r>
    <s v="TSN"/>
    <n v="3"/>
    <x v="3"/>
    <d v="2015-10-03T00:00:00"/>
    <n v="41373000000"/>
    <n v="37456000000"/>
    <n v="1748000000"/>
    <n v="0"/>
    <n v="0"/>
    <x v="4"/>
    <x v="37"/>
    <n v="9.4675271312208431E-2"/>
    <n v="3917000000"/>
    <n v="5.2425494887970416E-2"/>
    <n v="2169000000"/>
  </r>
  <r>
    <s v="TSN"/>
    <n v="4"/>
    <x v="4"/>
    <d v="2016-10-01T00:00:00"/>
    <n v="36881000000"/>
    <n v="32184000000"/>
    <n v="1864000000"/>
    <n v="0"/>
    <n v="0"/>
    <x v="4"/>
    <x v="37"/>
    <n v="0.12735554892763212"/>
    <n v="4697000000"/>
    <n v="7.6814619994034869E-2"/>
    <n v="2833000000"/>
  </r>
  <r>
    <s v="TSO"/>
    <n v="1"/>
    <x v="0"/>
    <d v="2012-12-31T00:00:00"/>
    <n v="29809000000"/>
    <n v="26045000000"/>
    <n v="1702000000"/>
    <n v="0"/>
    <n v="418000000"/>
    <x v="8"/>
    <x v="92"/>
    <n v="0.12627058941930291"/>
    <n v="3764000000"/>
    <n v="5.5151128853701901E-2"/>
    <n v="1644000000"/>
  </r>
  <r>
    <s v="TSO"/>
    <n v="2"/>
    <x v="1"/>
    <d v="2013-12-31T00:00:00"/>
    <n v="37601000000"/>
    <n v="34085000000"/>
    <n v="2248000000"/>
    <n v="0"/>
    <n v="489000000"/>
    <x v="8"/>
    <x v="92"/>
    <n v="9.3508151378952742E-2"/>
    <n v="3516000000"/>
    <n v="2.0717534108135423E-2"/>
    <n v="779000000"/>
  </r>
  <r>
    <s v="TSO"/>
    <n v="3"/>
    <x v="2"/>
    <d v="2014-12-31T00:00:00"/>
    <n v="40633000000"/>
    <n v="35673000000"/>
    <n v="2762000000"/>
    <n v="0"/>
    <n v="562000000"/>
    <x v="8"/>
    <x v="92"/>
    <n v="0.12206826963305684"/>
    <n v="4960000000"/>
    <n v="4.0262840548322791E-2"/>
    <n v="1636000000"/>
  </r>
  <r>
    <s v="TSO"/>
    <n v="4"/>
    <x v="3"/>
    <d v="2015-12-31T00:00:00"/>
    <n v="28711000000"/>
    <n v="22466000000"/>
    <n v="2620000000"/>
    <n v="0"/>
    <n v="756000000"/>
    <x v="8"/>
    <x v="92"/>
    <n v="0.21751245167357458"/>
    <n v="6245000000"/>
    <n v="9.9926857302079342E-2"/>
    <n v="2869000000"/>
  </r>
  <r>
    <s v="TSS"/>
    <n v="1"/>
    <x v="0"/>
    <d v="2012-12-31T00:00:00"/>
    <n v="1793557000"/>
    <n v="1189341000"/>
    <n v="247597000"/>
    <n v="0"/>
    <n v="0"/>
    <x v="2"/>
    <x v="15"/>
    <n v="0.33688140382491327"/>
    <n v="604216000"/>
    <n v="0.19883337970301473"/>
    <n v="356619000"/>
  </r>
  <r>
    <s v="TSS"/>
    <n v="2"/>
    <x v="1"/>
    <d v="2013-12-31T00:00:00"/>
    <n v="2064305000"/>
    <n v="1369438000"/>
    <n v="312367000"/>
    <n v="0"/>
    <n v="0"/>
    <x v="2"/>
    <x v="15"/>
    <n v="0.33661062682113352"/>
    <n v="694867000"/>
    <n v="0.18529238654171742"/>
    <n v="382500000"/>
  </r>
  <r>
    <s v="TSS"/>
    <n v="3"/>
    <x v="2"/>
    <d v="2014-12-31T00:00:00"/>
    <n v="2446877000"/>
    <n v="1668892000"/>
    <n v="346345000"/>
    <n v="0"/>
    <n v="0"/>
    <x v="2"/>
    <x v="15"/>
    <n v="0.31795018711606671"/>
    <n v="777985000"/>
    <n v="0.17640445351360121"/>
    <n v="431640000"/>
  </r>
  <r>
    <s v="TSS"/>
    <n v="4"/>
    <x v="3"/>
    <d v="2015-12-31T00:00:00"/>
    <n v="2779541000"/>
    <n v="1855181000"/>
    <n v="390253000"/>
    <n v="0"/>
    <n v="0"/>
    <x v="2"/>
    <x v="15"/>
    <n v="0.33255850516326257"/>
    <n v="924360000"/>
    <n v="0.1921565467104101"/>
    <n v="534107000"/>
  </r>
  <r>
    <s v="TXN"/>
    <n v="1"/>
    <x v="0"/>
    <d v="2012-12-31T00:00:00"/>
    <n v="12825000000"/>
    <n v="6457000000"/>
    <n v="1804000000"/>
    <n v="1877000000"/>
    <n v="0"/>
    <x v="2"/>
    <x v="7"/>
    <n v="0.49653021442495127"/>
    <n v="6368000000"/>
    <n v="0.20951267056530215"/>
    <n v="2687000000"/>
  </r>
  <r>
    <s v="TXN"/>
    <n v="2"/>
    <x v="1"/>
    <d v="2013-12-31T00:00:00"/>
    <n v="12205000000"/>
    <n v="5841000000"/>
    <n v="1858000000"/>
    <n v="1522000000"/>
    <n v="0"/>
    <x v="2"/>
    <x v="7"/>
    <n v="0.52142564522736579"/>
    <n v="6364000000"/>
    <n v="0.24448996312986482"/>
    <n v="2984000000"/>
  </r>
  <r>
    <s v="TXN"/>
    <n v="3"/>
    <x v="2"/>
    <d v="2014-12-31T00:00:00"/>
    <n v="13045000000"/>
    <n v="5618000000"/>
    <n v="1843000000"/>
    <n v="1358000000"/>
    <n v="0"/>
    <x v="2"/>
    <x v="7"/>
    <n v="0.56933691069375247"/>
    <n v="7427000000"/>
    <n v="0.32395553852050596"/>
    <n v="4226000000"/>
  </r>
  <r>
    <s v="TXN"/>
    <n v="4"/>
    <x v="3"/>
    <d v="2015-12-31T00:00:00"/>
    <n v="13000000000"/>
    <n v="5440000000"/>
    <n v="1748000000"/>
    <n v="1280000000"/>
    <n v="0"/>
    <x v="2"/>
    <x v="7"/>
    <n v="0.58153846153846156"/>
    <n v="7560000000"/>
    <n v="0.3486153846153846"/>
    <n v="4532000000"/>
  </r>
  <r>
    <s v="TXT"/>
    <n v="1"/>
    <x v="0"/>
    <d v="2012-12-29T00:00:00"/>
    <n v="12237000000"/>
    <n v="10019000000"/>
    <n v="1165000000"/>
    <n v="0"/>
    <n v="0"/>
    <x v="0"/>
    <x v="52"/>
    <n v="0.18125357522268526"/>
    <n v="2218000000"/>
    <n v="8.6050502574160331E-2"/>
    <n v="1053000000"/>
  </r>
  <r>
    <s v="TXT"/>
    <n v="2"/>
    <x v="1"/>
    <d v="2013-12-28T00:00:00"/>
    <n v="12104000000"/>
    <n v="10131000000"/>
    <n v="1126000000"/>
    <n v="0"/>
    <n v="0"/>
    <x v="0"/>
    <x v="52"/>
    <n v="0.16300396563119635"/>
    <n v="1973000000"/>
    <n v="6.9976867151354927E-2"/>
    <n v="847000000"/>
  </r>
  <r>
    <s v="TXT"/>
    <n v="3"/>
    <x v="3"/>
    <d v="2015-01-03T00:00:00"/>
    <n v="13878000000"/>
    <n v="11421000000"/>
    <n v="1361000000"/>
    <n v="0"/>
    <n v="0"/>
    <x v="0"/>
    <x v="52"/>
    <n v="0.17704280155642027"/>
    <n v="2457000000"/>
    <n v="7.8973915549791038E-2"/>
    <n v="1096000000"/>
  </r>
  <r>
    <s v="TXT"/>
    <n v="4"/>
    <x v="4"/>
    <d v="2016-01-02T00:00:00"/>
    <n v="13423000000"/>
    <n v="10979000000"/>
    <n v="1304000000"/>
    <n v="0"/>
    <n v="0"/>
    <x v="0"/>
    <x v="52"/>
    <n v="0.18207554198018328"/>
    <n v="2444000000"/>
    <n v="8.4928853460478279E-2"/>
    <n v="1140000000"/>
  </r>
  <r>
    <s v="UA"/>
    <n v="1"/>
    <x v="0"/>
    <d v="2012-12-31T00:00:00"/>
    <n v="1834921000"/>
    <n v="955624000"/>
    <n v="670602000"/>
    <n v="0"/>
    <n v="0"/>
    <x v="1"/>
    <x v="78"/>
    <n v="0.47920155690626465"/>
    <n v="879297000"/>
    <n v="0.11373514173089741"/>
    <n v="208695000"/>
  </r>
  <r>
    <s v="UA"/>
    <n v="2"/>
    <x v="1"/>
    <d v="2013-12-31T00:00:00"/>
    <n v="2332051000"/>
    <n v="1195381000"/>
    <n v="871572000"/>
    <n v="0"/>
    <n v="0"/>
    <x v="1"/>
    <x v="78"/>
    <n v="0.4874121535077921"/>
    <n v="1136670000"/>
    <n v="0.11367590159906452"/>
    <n v="265098000"/>
  </r>
  <r>
    <s v="UA"/>
    <n v="3"/>
    <x v="2"/>
    <d v="2014-12-31T00:00:00"/>
    <n v="3084370000"/>
    <n v="1572164000"/>
    <n v="1158251000"/>
    <n v="0"/>
    <n v="0"/>
    <x v="1"/>
    <x v="78"/>
    <n v="0.49028034898536821"/>
    <n v="1512206000"/>
    <n v="0.11475763283912112"/>
    <n v="353955000"/>
  </r>
  <r>
    <s v="UA"/>
    <n v="4"/>
    <x v="3"/>
    <d v="2015-12-31T00:00:00"/>
    <n v="3963313000"/>
    <n v="2057766000"/>
    <n v="1497000000"/>
    <n v="0"/>
    <n v="0"/>
    <x v="1"/>
    <x v="78"/>
    <n v="0.48079649525535828"/>
    <n v="1905547000"/>
    <n v="0.10308219411386384"/>
    <n v="408547000"/>
  </r>
  <r>
    <s v="UAA"/>
    <n v="1"/>
    <x v="0"/>
    <d v="2012-12-31T00:00:00"/>
    <n v="1834921000"/>
    <n v="955624000"/>
    <n v="670602000"/>
    <n v="0"/>
    <n v="0"/>
    <x v="1"/>
    <x v="78"/>
    <n v="0.47920155690626465"/>
    <n v="879297000"/>
    <n v="0.11373514173089741"/>
    <n v="208695000"/>
  </r>
  <r>
    <s v="UAA"/>
    <n v="2"/>
    <x v="1"/>
    <d v="2013-12-31T00:00:00"/>
    <n v="2332051000"/>
    <n v="1195381000"/>
    <n v="871572000"/>
    <n v="0"/>
    <n v="0"/>
    <x v="1"/>
    <x v="78"/>
    <n v="0.4874121535077921"/>
    <n v="1136670000"/>
    <n v="0.11367590159906452"/>
    <n v="265098000"/>
  </r>
  <r>
    <s v="UAA"/>
    <n v="3"/>
    <x v="2"/>
    <d v="2014-12-31T00:00:00"/>
    <n v="3084370000"/>
    <n v="1572164000"/>
    <n v="1158251000"/>
    <n v="0"/>
    <n v="0"/>
    <x v="1"/>
    <x v="78"/>
    <n v="0.49028034898536821"/>
    <n v="1512206000"/>
    <n v="0.11475763283912112"/>
    <n v="353955000"/>
  </r>
  <r>
    <s v="UAA"/>
    <n v="4"/>
    <x v="3"/>
    <d v="2015-12-31T00:00:00"/>
    <n v="3963313000"/>
    <n v="2057766000"/>
    <n v="1497000000"/>
    <n v="0"/>
    <n v="0"/>
    <x v="1"/>
    <x v="78"/>
    <n v="0.48079649525535828"/>
    <n v="1905547000"/>
    <n v="0.10308219411386384"/>
    <n v="408547000"/>
  </r>
  <r>
    <s v="UAL"/>
    <n v="1"/>
    <x v="0"/>
    <d v="2012-12-31T00:00:00"/>
    <n v="37152000000"/>
    <n v="17820000000"/>
    <n v="16448000000"/>
    <n v="0"/>
    <n v="1522000000"/>
    <x v="0"/>
    <x v="0"/>
    <n v="0.52034883720930236"/>
    <n v="19332000000"/>
    <n v="3.6660206718346251E-2"/>
    <n v="1362000000"/>
  </r>
  <r>
    <s v="UAL"/>
    <n v="2"/>
    <x v="1"/>
    <d v="2013-12-31T00:00:00"/>
    <n v="38279000000"/>
    <n v="17192000000"/>
    <n v="17629000000"/>
    <n v="0"/>
    <n v="1689000000"/>
    <x v="0"/>
    <x v="0"/>
    <n v="0.5508764596776301"/>
    <n v="21087000000"/>
    <n v="4.6213328456856238E-2"/>
    <n v="1769000000"/>
  </r>
  <r>
    <s v="UAL"/>
    <n v="3"/>
    <x v="2"/>
    <d v="2014-12-31T00:00:00"/>
    <n v="38901000000"/>
    <n v="16611000000"/>
    <n v="17795000000"/>
    <n v="0"/>
    <n v="1679000000"/>
    <x v="0"/>
    <x v="0"/>
    <n v="0.57299298218554795"/>
    <n v="22290000000"/>
    <n v="7.2388884604508888E-2"/>
    <n v="2816000000"/>
  </r>
  <r>
    <s v="UAL"/>
    <n v="4"/>
    <x v="3"/>
    <d v="2015-12-31T00:00:00"/>
    <n v="37864000000"/>
    <n v="12130000000"/>
    <n v="18423000000"/>
    <n v="0"/>
    <n v="1819000000"/>
    <x v="0"/>
    <x v="0"/>
    <n v="0.67964293260088737"/>
    <n v="25734000000"/>
    <n v="0.14504542573420665"/>
    <n v="5492000000"/>
  </r>
  <r>
    <s v="UDR"/>
    <n v="1"/>
    <x v="0"/>
    <d v="2012-12-31T00:00:00"/>
    <n v="716612000"/>
    <n v="245316000"/>
    <n v="58005000"/>
    <n v="0"/>
    <n v="346031000"/>
    <x v="6"/>
    <x v="67"/>
    <n v="0.65767249222731405"/>
    <n v="471296000"/>
    <n v="9.3858322216206255E-2"/>
    <n v="67260000"/>
  </r>
  <r>
    <s v="UDR"/>
    <n v="2"/>
    <x v="1"/>
    <d v="2013-12-31T00:00:00"/>
    <n v="758926000"/>
    <n v="258612000"/>
    <n v="37121000"/>
    <n v="0"/>
    <n v="346273000"/>
    <x v="6"/>
    <x v="67"/>
    <n v="0.6592395042467909"/>
    <n v="500314000"/>
    <n v="0.1540598161085534"/>
    <n v="116920000"/>
  </r>
  <r>
    <s v="UDR"/>
    <n v="3"/>
    <x v="2"/>
    <d v="2014-12-31T00:00:00"/>
    <n v="818046000"/>
    <n v="270741000"/>
    <n v="56612000"/>
    <n v="0"/>
    <n v="363929000"/>
    <x v="6"/>
    <x v="67"/>
    <n v="0.66903939387271616"/>
    <n v="547305000"/>
    <n v="0.1549595010549529"/>
    <n v="126764000"/>
  </r>
  <r>
    <s v="UDR"/>
    <n v="4"/>
    <x v="3"/>
    <d v="2015-12-31T00:00:00"/>
    <n v="894638000"/>
    <n v="282037000"/>
    <n v="71733000"/>
    <n v="0"/>
    <n v="381277000"/>
    <x v="6"/>
    <x v="67"/>
    <n v="0.68474735032493594"/>
    <n v="612601000"/>
    <n v="0.17838611818411471"/>
    <n v="159591000"/>
  </r>
  <r>
    <s v="ULTA"/>
    <n v="1"/>
    <x v="1"/>
    <d v="2013-02-02T00:00:00"/>
    <n v="2220256000"/>
    <n v="1436582000"/>
    <n v="488880000"/>
    <n v="0"/>
    <n v="0"/>
    <x v="1"/>
    <x v="24"/>
    <n v="0.35296560396638943"/>
    <n v="783674000"/>
    <n v="0.13277477912456942"/>
    <n v="294794000"/>
  </r>
  <r>
    <s v="ULTA"/>
    <n v="2"/>
    <x v="2"/>
    <d v="2014-02-02T00:00:00"/>
    <n v="2670573000"/>
    <n v="1729325000"/>
    <n v="596390000"/>
    <n v="0"/>
    <n v="0"/>
    <x v="1"/>
    <x v="24"/>
    <n v="0.35245170231257483"/>
    <n v="941248000"/>
    <n v="0.12913258690176227"/>
    <n v="344858000"/>
  </r>
  <r>
    <s v="ULTA"/>
    <n v="3"/>
    <x v="3"/>
    <d v="2015-01-31T00:00:00"/>
    <n v="3241369000"/>
    <n v="2104582000"/>
    <n v="712006000"/>
    <n v="0"/>
    <n v="0"/>
    <x v="1"/>
    <x v="24"/>
    <n v="0.35071199854135704"/>
    <n v="1136787000"/>
    <n v="0.13104987429694059"/>
    <n v="424781000"/>
  </r>
  <r>
    <s v="ULTA"/>
    <n v="4"/>
    <x v="4"/>
    <d v="2016-01-31T00:00:00"/>
    <n v="3924116000"/>
    <n v="2539783000"/>
    <n v="863354000"/>
    <n v="0"/>
    <n v="0"/>
    <x v="1"/>
    <x v="24"/>
    <n v="0.35277575892251911"/>
    <n v="1384333000"/>
    <n v="0.13276340454767394"/>
    <n v="520979000"/>
  </r>
  <r>
    <s v="PFE"/>
    <n v="1"/>
    <x v="0"/>
    <d v="2012-12-31T00:00:00"/>
    <n v="54657000000"/>
    <n v="9821000000"/>
    <n v="15171000000"/>
    <n v="7482000000"/>
    <n v="5109000000"/>
    <x v="10"/>
    <x v="83"/>
    <n v="0.8203157875477981"/>
    <n v="44836000000"/>
    <n v="0.31238450701648462"/>
    <n v="17074000000"/>
  </r>
  <r>
    <s v="PFE"/>
    <n v="2"/>
    <x v="1"/>
    <d v="2013-12-31T00:00:00"/>
    <n v="51584000000"/>
    <n v="9586000000"/>
    <n v="14355000000"/>
    <n v="6678000000"/>
    <n v="4599000000"/>
    <x v="10"/>
    <x v="83"/>
    <n v="0.81416718362282881"/>
    <n v="41998000000"/>
    <n v="0.31726892059553352"/>
    <n v="16366000000"/>
  </r>
  <r>
    <s v="PFE"/>
    <n v="3"/>
    <x v="2"/>
    <d v="2014-12-31T00:00:00"/>
    <n v="49605000000"/>
    <n v="9577000000"/>
    <n v="14097000000"/>
    <n v="8393000000"/>
    <n v="4039000000"/>
    <x v="10"/>
    <x v="83"/>
    <n v="0.80693478479991931"/>
    <n v="40028000000"/>
    <n v="0.27212982562241711"/>
    <n v="13499000000"/>
  </r>
  <r>
    <s v="PFE"/>
    <n v="4"/>
    <x v="3"/>
    <d v="2015-12-31T00:00:00"/>
    <n v="48851000000"/>
    <n v="9648000000"/>
    <n v="14809000000"/>
    <n v="7690000000"/>
    <n v="3728000000"/>
    <x v="10"/>
    <x v="83"/>
    <n v="0.80250148410472666"/>
    <n v="39203000000"/>
    <n v="0.2656240404495302"/>
    <n v="12976000000"/>
  </r>
  <r>
    <s v="PKI"/>
    <n v="1"/>
    <x v="0"/>
    <d v="2012-12-30T00:00:00"/>
    <n v="2105188000"/>
    <n v="1143659000"/>
    <n v="627370000"/>
    <n v="131835000"/>
    <n v="0"/>
    <x v="10"/>
    <x v="86"/>
    <n v="0.4567425807101313"/>
    <n v="961529000"/>
    <n v="9.6107331031717827E-2"/>
    <n v="202324000"/>
  </r>
  <r>
    <s v="PKI"/>
    <n v="2"/>
    <x v="1"/>
    <d v="2013-12-29T00:00:00"/>
    <n v="2157586000"/>
    <n v="1181444000"/>
    <n v="581898000"/>
    <n v="132400000"/>
    <n v="0"/>
    <x v="10"/>
    <x v="86"/>
    <n v="0.45242321742910829"/>
    <n v="976142000"/>
    <n v="0.12135970478117675"/>
    <n v="261844000"/>
  </r>
  <r>
    <s v="PKI"/>
    <n v="3"/>
    <x v="2"/>
    <d v="2014-12-28T00:00:00"/>
    <n v="2237219000"/>
    <n v="1232611000"/>
    <n v="659335000"/>
    <n v="121141000"/>
    <n v="0"/>
    <x v="10"/>
    <x v="86"/>
    <n v="0.44904320944887377"/>
    <n v="1004608000"/>
    <n v="0.10018330793722027"/>
    <n v="224132000"/>
  </r>
  <r>
    <s v="PKI"/>
    <n v="4"/>
    <x v="4"/>
    <d v="2016-01-03T00:00:00"/>
    <n v="2262359000"/>
    <n v="1237859000"/>
    <n v="598848000"/>
    <n v="125928000"/>
    <n v="0"/>
    <x v="10"/>
    <x v="86"/>
    <n v="0.45284590111472145"/>
    <n v="1024500000"/>
    <n v="0.13248295252875428"/>
    <n v="299724000"/>
  </r>
  <r>
    <s v="UNP"/>
    <n v="1"/>
    <x v="1"/>
    <d v="2013-12-31T00:00:00"/>
    <n v="21963000000"/>
    <n v="5849000000"/>
    <n v="6891000000"/>
    <n v="0"/>
    <n v="1777000000"/>
    <x v="0"/>
    <x v="57"/>
    <n v="0.73368847607339616"/>
    <n v="16114000000"/>
    <n v="0.33902472339844286"/>
    <n v="7446000000"/>
  </r>
  <r>
    <s v="UNP"/>
    <n v="2"/>
    <x v="2"/>
    <d v="2014-12-31T00:00:00"/>
    <n v="23988000000"/>
    <n v="6097000000"/>
    <n v="7234000000"/>
    <n v="0"/>
    <n v="1904000000"/>
    <x v="0"/>
    <x v="57"/>
    <n v="0.74583124895781228"/>
    <n v="17891000000"/>
    <n v="0.36489077872269465"/>
    <n v="8753000000"/>
  </r>
  <r>
    <s v="UNP"/>
    <n v="3"/>
    <x v="3"/>
    <d v="2015-12-31T00:00:00"/>
    <n v="21813000000"/>
    <n v="4434000000"/>
    <n v="7315000000"/>
    <n v="0"/>
    <n v="2012000000"/>
    <x v="0"/>
    <x v="57"/>
    <n v="0.7967267225966167"/>
    <n v="17379000000"/>
    <n v="0.36913767019667171"/>
    <n v="8052000000"/>
  </r>
  <r>
    <s v="UNP"/>
    <n v="4"/>
    <x v="4"/>
    <d v="2016-12-31T00:00:00"/>
    <n v="19941000000"/>
    <n v="3747000000"/>
    <n v="6884000000"/>
    <n v="0"/>
    <n v="2038000000"/>
    <x v="0"/>
    <x v="57"/>
    <n v="0.81209568226267492"/>
    <n v="16194000000"/>
    <n v="0.3646757935910937"/>
    <n v="7272000000"/>
  </r>
  <r>
    <s v="UPS"/>
    <n v="1"/>
    <x v="0"/>
    <d v="2012-12-31T00:00:00"/>
    <n v="54127000000"/>
    <n v="13574000000"/>
    <n v="37352000000"/>
    <n v="0"/>
    <n v="1858000000"/>
    <x v="0"/>
    <x v="47"/>
    <n v="0.74921942838139932"/>
    <n v="40553000000"/>
    <n v="2.4812016184159475E-2"/>
    <n v="1343000000"/>
  </r>
  <r>
    <s v="UPS"/>
    <n v="2"/>
    <x v="1"/>
    <d v="2013-12-31T00:00:00"/>
    <n v="55438000000"/>
    <n v="13703000000"/>
    <n v="32834000000"/>
    <n v="0"/>
    <n v="1867000000"/>
    <x v="0"/>
    <x v="47"/>
    <n v="0.7528229734117392"/>
    <n v="41735000000"/>
    <n v="0.1268804790937624"/>
    <n v="7034000000"/>
  </r>
  <r>
    <s v="UPS"/>
    <n v="3"/>
    <x v="2"/>
    <d v="2014-12-31T00:00:00"/>
    <n v="58232000000"/>
    <n v="14758000000"/>
    <n v="36583000000"/>
    <n v="0"/>
    <n v="1923000000"/>
    <x v="0"/>
    <x v="47"/>
    <n v="0.74656546228877585"/>
    <n v="43474000000"/>
    <n v="8.5313916746805885E-2"/>
    <n v="4968000000"/>
  </r>
  <r>
    <s v="UPS"/>
    <n v="4"/>
    <x v="3"/>
    <d v="2015-12-31T00:00:00"/>
    <n v="58363000000"/>
    <n v="12947000000"/>
    <n v="35664000000"/>
    <n v="0"/>
    <n v="2084000000"/>
    <x v="0"/>
    <x v="47"/>
    <n v="0.77816424789678396"/>
    <n v="45416000000"/>
    <n v="0.13138461011257133"/>
    <n v="7668000000"/>
  </r>
  <r>
    <s v="URBN"/>
    <n v="1"/>
    <x v="1"/>
    <d v="2013-01-31T00:00:00"/>
    <n v="2794925000"/>
    <n v="1763394000"/>
    <n v="657246000"/>
    <n v="0"/>
    <n v="0"/>
    <x v="1"/>
    <x v="70"/>
    <n v="0.36907287315402026"/>
    <n v="1031531000"/>
    <n v="0.13391593692138429"/>
    <n v="374285000"/>
  </r>
  <r>
    <s v="URBN"/>
    <n v="2"/>
    <x v="2"/>
    <d v="2014-01-31T00:00:00"/>
    <n v="3086608000"/>
    <n v="1925266000"/>
    <n v="734511000"/>
    <n v="0"/>
    <n v="0"/>
    <x v="1"/>
    <x v="70"/>
    <n v="0.37625185964657648"/>
    <n v="1161342000"/>
    <n v="0.13828480973288476"/>
    <n v="426831000"/>
  </r>
  <r>
    <s v="URBN"/>
    <n v="3"/>
    <x v="3"/>
    <d v="2015-01-31T00:00:00"/>
    <n v="3323077000"/>
    <n v="2148147000"/>
    <n v="809545000"/>
    <n v="0"/>
    <n v="0"/>
    <x v="1"/>
    <x v="70"/>
    <n v="0.35356688996372942"/>
    <n v="1174930000"/>
    <n v="0.1099538168992172"/>
    <n v="365385000"/>
  </r>
  <r>
    <s v="URBN"/>
    <n v="4"/>
    <x v="4"/>
    <d v="2016-01-31T00:00:00"/>
    <n v="3445134000"/>
    <n v="2243232000"/>
    <n v="848323000"/>
    <n v="0"/>
    <n v="0"/>
    <x v="1"/>
    <x v="70"/>
    <n v="0.34886944890967952"/>
    <n v="1201902000"/>
    <n v="0.10263142159347068"/>
    <n v="353579000"/>
  </r>
  <r>
    <s v="REGN"/>
    <n v="1"/>
    <x v="1"/>
    <d v="2013-12-31T00:00:00"/>
    <n v="2104745000"/>
    <n v="155355000"/>
    <n v="346393000"/>
    <n v="859947000"/>
    <n v="0"/>
    <x v="10"/>
    <x v="87"/>
    <n v="0.92618820807271185"/>
    <n v="1949390000"/>
    <n v="0.35303564089711581"/>
    <n v="743050000"/>
  </r>
  <r>
    <s v="REGN"/>
    <n v="2"/>
    <x v="2"/>
    <d v="2014-12-31T00:00:00"/>
    <n v="2819557000"/>
    <n v="205018000"/>
    <n v="519267000"/>
    <n v="1271353000"/>
    <n v="0"/>
    <x v="10"/>
    <x v="87"/>
    <n v="0.92728715894021652"/>
    <n v="2614539000"/>
    <n v="0.29221576297269392"/>
    <n v="823919000"/>
  </r>
  <r>
    <s v="REGN"/>
    <n v="3"/>
    <x v="3"/>
    <d v="2015-12-31T00:00:00"/>
    <n v="4103728000"/>
    <n v="392709000"/>
    <n v="838526000"/>
    <n v="1620577000"/>
    <n v="0"/>
    <x v="10"/>
    <x v="87"/>
    <n v="0.90430433011154732"/>
    <n v="3711019000"/>
    <n v="0.30506797721486412"/>
    <n v="1251916000"/>
  </r>
  <r>
    <s v="REGN"/>
    <n v="4"/>
    <x v="4"/>
    <d v="2016-12-31T00:00:00"/>
    <n v="4860427000"/>
    <n v="299694000"/>
    <n v="1177697000"/>
    <n v="2052295000"/>
    <n v="0"/>
    <x v="10"/>
    <x v="87"/>
    <n v="0.93833998535519614"/>
    <n v="4560733000"/>
    <n v="0.27379096527938801"/>
    <n v="1330741000"/>
  </r>
  <r>
    <s v="UTX"/>
    <n v="1"/>
    <x v="1"/>
    <d v="2013-12-31T00:00:00"/>
    <n v="56600000000"/>
    <n v="40468000000"/>
    <n v="5241000000"/>
    <n v="2342000000"/>
    <n v="0"/>
    <x v="0"/>
    <x v="52"/>
    <n v="0.28501766784452298"/>
    <n v="16132000000"/>
    <n v="0.15104240282685513"/>
    <n v="8549000000"/>
  </r>
  <r>
    <s v="UTX"/>
    <n v="2"/>
    <x v="2"/>
    <d v="2014-12-31T00:00:00"/>
    <n v="57900000000"/>
    <n v="40898000000"/>
    <n v="4934000000"/>
    <n v="2475000000"/>
    <n v="0"/>
    <x v="0"/>
    <x v="52"/>
    <n v="0.29364421416234887"/>
    <n v="17002000000"/>
    <n v="0.16568221070811745"/>
    <n v="9593000000"/>
  </r>
  <r>
    <s v="UTX"/>
    <n v="3"/>
    <x v="3"/>
    <d v="2015-12-31T00:00:00"/>
    <n v="56098000000"/>
    <n v="40431000000"/>
    <n v="6097000000"/>
    <n v="2279000000"/>
    <n v="0"/>
    <x v="0"/>
    <x v="52"/>
    <n v="0.27927911868515809"/>
    <n v="15667000000"/>
    <n v="0.12996898285143854"/>
    <n v="7291000000"/>
  </r>
  <r>
    <s v="UTX"/>
    <n v="4"/>
    <x v="4"/>
    <d v="2016-12-31T00:00:00"/>
    <n v="57244000000"/>
    <n v="41460000000"/>
    <n v="5275000000"/>
    <n v="2337000000"/>
    <n v="0"/>
    <x v="0"/>
    <x v="52"/>
    <n v="0.27573195444064003"/>
    <n v="15784000000"/>
    <n v="0.1427573195444064"/>
    <n v="8172000000"/>
  </r>
  <r>
    <s v="V"/>
    <n v="1"/>
    <x v="1"/>
    <d v="2013-09-30T00:00:00"/>
    <n v="11778000000"/>
    <n v="1932000000"/>
    <n v="2207000000"/>
    <n v="0"/>
    <n v="397000000"/>
    <x v="2"/>
    <x v="15"/>
    <n v="0.83596535914416714"/>
    <n v="9846000000"/>
    <n v="0.61487519103413146"/>
    <n v="7242000000"/>
  </r>
  <r>
    <s v="V"/>
    <n v="2"/>
    <x v="2"/>
    <d v="2014-09-30T00:00:00"/>
    <n v="12702000000"/>
    <n v="1875000000"/>
    <n v="2242000000"/>
    <n v="0"/>
    <n v="435000000"/>
    <x v="2"/>
    <x v="15"/>
    <n v="0.85238545111006148"/>
    <n v="10827000000"/>
    <n v="0.64163123917493303"/>
    <n v="8150000000"/>
  </r>
  <r>
    <s v="V"/>
    <n v="3"/>
    <x v="3"/>
    <d v="2015-09-30T00:00:00"/>
    <n v="13880000000"/>
    <n v="2079000000"/>
    <n v="2229000000"/>
    <n v="0"/>
    <n v="494000000"/>
    <x v="2"/>
    <x v="15"/>
    <n v="0.85021613832853027"/>
    <n v="11801000000"/>
    <n v="0.65403458213256482"/>
    <n v="9078000000"/>
  </r>
  <r>
    <s v="V"/>
    <n v="4"/>
    <x v="4"/>
    <d v="2016-09-30T00:00:00"/>
    <n v="15082000000"/>
    <n v="2226000000"/>
    <n v="4469000000"/>
    <n v="0"/>
    <n v="502000000"/>
    <x v="2"/>
    <x v="15"/>
    <n v="0.85240684259382049"/>
    <n v="12856000000"/>
    <n v="0.52280864606816069"/>
    <n v="7885000000"/>
  </r>
  <r>
    <s v="SYK"/>
    <n v="1"/>
    <x v="1"/>
    <d v="2013-12-31T00:00:00"/>
    <n v="9021000000"/>
    <n v="3002000000"/>
    <n v="4089000000"/>
    <n v="536000000"/>
    <n v="138000000"/>
    <x v="10"/>
    <x v="86"/>
    <n v="0.6672209289435761"/>
    <n v="6019000000"/>
    <n v="0.13923068395964971"/>
    <n v="1256000000"/>
  </r>
  <r>
    <s v="SYK"/>
    <n v="2"/>
    <x v="2"/>
    <d v="2014-12-31T00:00:00"/>
    <n v="9675000000"/>
    <n v="3319000000"/>
    <n v="4308000000"/>
    <n v="614000000"/>
    <n v="188000000"/>
    <x v="10"/>
    <x v="86"/>
    <n v="0.65695090439276482"/>
    <n v="6356000000"/>
    <n v="0.12878552971576226"/>
    <n v="1246000000"/>
  </r>
  <r>
    <s v="SYK"/>
    <n v="3"/>
    <x v="3"/>
    <d v="2015-12-31T00:00:00"/>
    <n v="9946000000"/>
    <n v="3344000000"/>
    <n v="3906000000"/>
    <n v="625000000"/>
    <n v="210000000"/>
    <x v="10"/>
    <x v="86"/>
    <n v="0.66378443595415249"/>
    <n v="6602000000"/>
    <n v="0.18711039613915142"/>
    <n v="1861000000"/>
  </r>
  <r>
    <s v="SYK"/>
    <n v="4"/>
    <x v="4"/>
    <d v="2016-12-31T00:00:00"/>
    <n v="11325000000"/>
    <n v="3830000000"/>
    <n v="4295000000"/>
    <n v="715000000"/>
    <n v="319000000"/>
    <x v="10"/>
    <x v="86"/>
    <n v="0.66181015452538627"/>
    <n v="7495000000"/>
    <n v="0.19125827814569538"/>
    <n v="2166000000"/>
  </r>
  <r>
    <s v="VFC"/>
    <n v="1"/>
    <x v="0"/>
    <d v="2012-12-31T00:00:00"/>
    <n v="10879855000"/>
    <n v="5817880000"/>
    <n v="3596708000"/>
    <n v="0"/>
    <n v="0"/>
    <x v="1"/>
    <x v="78"/>
    <n v="0.46526125577960364"/>
    <n v="5061975000"/>
    <n v="0.1346770706043417"/>
    <n v="1465267000"/>
  </r>
  <r>
    <s v="VFC"/>
    <n v="2"/>
    <x v="1"/>
    <d v="2013-12-31T00:00:00"/>
    <n v="11419648000"/>
    <n v="5931469000"/>
    <n v="3841032000"/>
    <n v="0"/>
    <n v="0"/>
    <x v="1"/>
    <x v="78"/>
    <n v="0.48059090788087344"/>
    <n v="5488179000"/>
    <n v="0.14423798351753048"/>
    <n v="1647147000"/>
  </r>
  <r>
    <s v="VFC"/>
    <n v="3"/>
    <x v="3"/>
    <d v="2015-01-03T00:00:00"/>
    <n v="12282161000"/>
    <n v="6288190000"/>
    <n v="4159885000"/>
    <n v="0"/>
    <n v="0"/>
    <x v="1"/>
    <x v="78"/>
    <n v="0.48802250678850412"/>
    <n v="5993971000"/>
    <n v="0.1493292589146161"/>
    <n v="1834086000"/>
  </r>
  <r>
    <s v="VFC"/>
    <n v="4"/>
    <x v="4"/>
    <d v="2016-01-02T00:00:00"/>
    <n v="12376744000"/>
    <n v="6393800000"/>
    <n v="4178386000"/>
    <n v="0"/>
    <n v="0"/>
    <x v="1"/>
    <x v="78"/>
    <n v="0.48340209670653278"/>
    <n v="5982944000"/>
    <n v="0.14580232086888117"/>
    <n v="1804558000"/>
  </r>
  <r>
    <s v="VIAB"/>
    <n v="1"/>
    <x v="1"/>
    <d v="2013-09-30T00:00:00"/>
    <n v="13794000000"/>
    <n v="6799000000"/>
    <n v="2829000000"/>
    <n v="0"/>
    <n v="237000000"/>
    <x v="1"/>
    <x v="64"/>
    <n v="0.50710453820501666"/>
    <n v="6995000000"/>
    <n v="0.28483398579092362"/>
    <n v="3929000000"/>
  </r>
  <r>
    <s v="VIAB"/>
    <n v="2"/>
    <x v="2"/>
    <d v="2014-09-30T00:00:00"/>
    <n v="13783000000"/>
    <n v="6542000000"/>
    <n v="2899000000"/>
    <n v="0"/>
    <n v="217000000"/>
    <x v="1"/>
    <x v="64"/>
    <n v="0.52535732424000581"/>
    <n v="7241000000"/>
    <n v="0.29928172386272944"/>
    <n v="4125000000"/>
  </r>
  <r>
    <s v="VIAB"/>
    <n v="3"/>
    <x v="3"/>
    <d v="2015-09-30T00:00:00"/>
    <n v="13268000000"/>
    <n v="6868000000"/>
    <n v="2860000000"/>
    <n v="0"/>
    <n v="222000000"/>
    <x v="1"/>
    <x v="64"/>
    <n v="0.48236358154959302"/>
    <n v="6400000000"/>
    <n v="0.2500753693096171"/>
    <n v="3318000000"/>
  </r>
  <r>
    <s v="VIAB"/>
    <n v="4"/>
    <x v="4"/>
    <d v="2016-09-30T00:00:00"/>
    <n v="12488000000"/>
    <n v="6684000000"/>
    <n v="2851000000"/>
    <n v="0"/>
    <n v="221000000"/>
    <x v="1"/>
    <x v="64"/>
    <n v="0.46476617552850741"/>
    <n v="5804000000"/>
    <n v="0.21877001921844971"/>
    <n v="2732000000"/>
  </r>
  <r>
    <s v="VLO"/>
    <n v="1"/>
    <x v="0"/>
    <d v="2012-12-31T00:00:00"/>
    <n v="138393000000"/>
    <n v="126485000000"/>
    <n v="5229000000"/>
    <n v="0"/>
    <n v="1549000000"/>
    <x v="8"/>
    <x v="92"/>
    <n v="8.6044814405352832E-2"/>
    <n v="11908000000"/>
    <n v="3.7068348832672175E-2"/>
    <n v="5130000000"/>
  </r>
  <r>
    <s v="VLO"/>
    <n v="2"/>
    <x v="1"/>
    <d v="2013-12-31T00:00:00"/>
    <n v="138074000000"/>
    <n v="127316000000"/>
    <n v="5081000000"/>
    <n v="0"/>
    <n v="1720000000"/>
    <x v="8"/>
    <x v="92"/>
    <n v="7.7914741370569418E-2"/>
    <n v="10758000000"/>
    <n v="2.8658545417674579E-2"/>
    <n v="3957000000"/>
  </r>
  <r>
    <s v="VLO"/>
    <n v="3"/>
    <x v="2"/>
    <d v="2014-12-31T00:00:00"/>
    <n v="130844000000"/>
    <n v="118141000000"/>
    <n v="5111000000"/>
    <n v="0"/>
    <n v="1690000000"/>
    <x v="8"/>
    <x v="92"/>
    <n v="9.7085078413989168E-2"/>
    <n v="12703000000"/>
    <n v="4.5107150499831862E-2"/>
    <n v="5902000000"/>
  </r>
  <r>
    <s v="VLO"/>
    <n v="4"/>
    <x v="3"/>
    <d v="2015-12-31T00:00:00"/>
    <n v="87804000000"/>
    <n v="74651000000"/>
    <n v="4953000000"/>
    <n v="0"/>
    <n v="1842000000"/>
    <x v="8"/>
    <x v="92"/>
    <n v="0.14979955355109109"/>
    <n v="13153000000"/>
    <n v="7.2411279668352244E-2"/>
    <n v="6358000000"/>
  </r>
  <r>
    <s v="VMC"/>
    <n v="1"/>
    <x v="0"/>
    <d v="2012-12-31T00:00:00"/>
    <n v="2567310000"/>
    <n v="2233284000"/>
    <n v="308143000"/>
    <n v="0"/>
    <n v="0"/>
    <x v="7"/>
    <x v="98"/>
    <n v="0.13010738866751581"/>
    <n v="334026000"/>
    <n v="1.0081758728007135E-2"/>
    <n v="25883000"/>
  </r>
  <r>
    <s v="VMC"/>
    <n v="2"/>
    <x v="1"/>
    <d v="2013-12-31T00:00:00"/>
    <n v="2770709000"/>
    <n v="2343829000"/>
    <n v="274217000"/>
    <n v="0"/>
    <n v="0"/>
    <x v="7"/>
    <x v="98"/>
    <n v="0.15406886829327804"/>
    <n v="426880000"/>
    <n v="5.5098893460121576E-2"/>
    <n v="152663000"/>
  </r>
  <r>
    <s v="VMC"/>
    <n v="3"/>
    <x v="2"/>
    <d v="2014-12-31T00:00:00"/>
    <n v="2994169000"/>
    <n v="2406587000"/>
    <n v="292358000"/>
    <n v="0"/>
    <n v="0"/>
    <x v="7"/>
    <x v="98"/>
    <n v="0.19624209588703911"/>
    <n v="587582000"/>
    <n v="9.8599644843026565E-2"/>
    <n v="295224000"/>
  </r>
  <r>
    <s v="VMC"/>
    <n v="4"/>
    <x v="3"/>
    <d v="2015-12-31T00:00:00"/>
    <n v="3422181000"/>
    <n v="2564648000"/>
    <n v="312694000"/>
    <n v="0"/>
    <n v="0"/>
    <x v="7"/>
    <x v="98"/>
    <n v="0.25058084303547945"/>
    <n v="857533000"/>
    <n v="0.15920811903286239"/>
    <n v="544839000"/>
  </r>
  <r>
    <s v="VNO"/>
    <n v="1"/>
    <x v="1"/>
    <d v="2013-12-31T00:00:00"/>
    <n v="2299176000"/>
    <n v="928565000"/>
    <n v="177366000"/>
    <n v="32210000"/>
    <n v="461627000"/>
    <x v="6"/>
    <x v="13"/>
    <n v="0.59613139663949166"/>
    <n v="1370611000"/>
    <n v="0.30419941753045437"/>
    <n v="699408000"/>
  </r>
  <r>
    <s v="VNO"/>
    <n v="2"/>
    <x v="2"/>
    <d v="2014-12-31T00:00:00"/>
    <n v="2312512000"/>
    <n v="953611000"/>
    <n v="169270000"/>
    <n v="0"/>
    <n v="481303000"/>
    <x v="6"/>
    <x v="13"/>
    <n v="0.58762981554257876"/>
    <n v="1358901000"/>
    <n v="0.30630241053884261"/>
    <n v="708328000"/>
  </r>
  <r>
    <s v="VNO"/>
    <n v="3"/>
    <x v="3"/>
    <d v="2015-12-31T00:00:00"/>
    <n v="2502267000"/>
    <n v="1011249000"/>
    <n v="175307000"/>
    <n v="0"/>
    <n v="542952000"/>
    <x v="6"/>
    <x v="13"/>
    <n v="0.59586686792416632"/>
    <n v="1491018000"/>
    <n v="0.308823558796883"/>
    <n v="772759000"/>
  </r>
  <r>
    <s v="VNO"/>
    <n v="4"/>
    <x v="4"/>
    <d v="2016-12-31T00:00:00"/>
    <n v="2506202000"/>
    <n v="1024336000"/>
    <n v="179279000"/>
    <n v="0"/>
    <n v="565059000"/>
    <x v="6"/>
    <x v="13"/>
    <n v="0.59127955368322271"/>
    <n v="1481866000"/>
    <n v="0.29428114732970445"/>
    <n v="737528000"/>
  </r>
  <r>
    <s v="VRSK"/>
    <n v="1"/>
    <x v="0"/>
    <d v="2012-12-31T00:00:00"/>
    <n v="1407848000"/>
    <n v="516708000"/>
    <n v="220068000"/>
    <n v="0"/>
    <n v="98844000"/>
    <x v="0"/>
    <x v="65"/>
    <n v="0.6329802649149624"/>
    <n v="891140000"/>
    <n v="0.40645581057045932"/>
    <n v="572228000"/>
  </r>
  <r>
    <s v="VRSK"/>
    <n v="2"/>
    <x v="1"/>
    <d v="2013-12-31T00:00:00"/>
    <n v="1595703000"/>
    <n v="622523000"/>
    <n v="228982000"/>
    <n v="0"/>
    <n v="129931000"/>
    <x v="0"/>
    <x v="65"/>
    <n v="0.60987539661202617"/>
    <n v="973180000"/>
    <n v="0.38495070824583272"/>
    <n v="614267000"/>
  </r>
  <r>
    <s v="VRSK"/>
    <n v="3"/>
    <x v="2"/>
    <d v="2014-12-31T00:00:00"/>
    <n v="1746726000"/>
    <n v="716598000"/>
    <n v="227306000"/>
    <n v="0"/>
    <n v="142376000"/>
    <x v="0"/>
    <x v="65"/>
    <n v="0.58974790551008005"/>
    <n v="1030128000"/>
    <n v="0.37810509490326472"/>
    <n v="660446000"/>
  </r>
  <r>
    <s v="VRSK"/>
    <n v="4"/>
    <x v="3"/>
    <d v="2015-12-31T00:00:00"/>
    <n v="2068010000"/>
    <n v="803274000"/>
    <n v="312690000"/>
    <n v="0"/>
    <n v="215484000"/>
    <x v="0"/>
    <x v="65"/>
    <n v="0.61157151077606009"/>
    <n v="1264736000"/>
    <n v="0.35616945759449908"/>
    <n v="736562000"/>
  </r>
  <r>
    <s v="VRSN"/>
    <n v="1"/>
    <x v="0"/>
    <d v="2012-12-31T00:00:00"/>
    <n v="873592000"/>
    <n v="167600000"/>
    <n v="186971000"/>
    <n v="61694000"/>
    <n v="0"/>
    <x v="2"/>
    <x v="15"/>
    <n v="0.80814842626763983"/>
    <n v="705992000"/>
    <n v="0.52350181778221416"/>
    <n v="457327000"/>
  </r>
  <r>
    <s v="VRSN"/>
    <n v="2"/>
    <x v="1"/>
    <d v="2013-12-31T00:00:00"/>
    <n v="965087000"/>
    <n v="187013000"/>
    <n v="179545000"/>
    <n v="70297000"/>
    <n v="0"/>
    <x v="2"/>
    <x v="15"/>
    <n v="0.80622161525333991"/>
    <n v="778074000"/>
    <n v="0.54734132777666678"/>
    <n v="528232000"/>
  </r>
  <r>
    <s v="VRSN"/>
    <n v="3"/>
    <x v="2"/>
    <d v="2014-12-31T00:00:00"/>
    <n v="1010117000"/>
    <n v="188425000"/>
    <n v="189488000"/>
    <n v="67777000"/>
    <n v="0"/>
    <x v="2"/>
    <x v="15"/>
    <n v="0.81346220289332827"/>
    <n v="821692000"/>
    <n v="0.55877388460940658"/>
    <n v="564427000"/>
  </r>
  <r>
    <s v="VRSN"/>
    <n v="4"/>
    <x v="3"/>
    <d v="2015-12-31T00:00:00"/>
    <n v="1059366000"/>
    <n v="192788000"/>
    <n v="196914000"/>
    <n v="63718000"/>
    <n v="0"/>
    <x v="2"/>
    <x v="15"/>
    <n v="0.8180156810771726"/>
    <n v="866578000"/>
    <n v="0.57198928415675032"/>
    <n v="605946000"/>
  </r>
  <r>
    <s v="TMO"/>
    <n v="1"/>
    <x v="0"/>
    <d v="2012-12-31T00:00:00"/>
    <n v="12509900000"/>
    <n v="7214400000"/>
    <n v="3354900000"/>
    <n v="376400000"/>
    <n v="0"/>
    <x v="10"/>
    <x v="86"/>
    <n v="0.42330474264382612"/>
    <n v="5295500000"/>
    <n v="0.1250369707191904"/>
    <n v="1564200000"/>
  </r>
  <r>
    <s v="TMO"/>
    <n v="2"/>
    <x v="1"/>
    <d v="2013-12-31T00:00:00"/>
    <n v="13090300000"/>
    <n v="7561200000"/>
    <n v="3446300000"/>
    <n v="395500000"/>
    <n v="0"/>
    <x v="10"/>
    <x v="86"/>
    <n v="0.422381458026172"/>
    <n v="5529100000"/>
    <n v="0.1288969695117759"/>
    <n v="1687300000"/>
  </r>
  <r>
    <s v="TMO"/>
    <n v="3"/>
    <x v="2"/>
    <d v="2014-12-31T00:00:00"/>
    <n v="16889600000"/>
    <n v="9397600000"/>
    <n v="4896100000"/>
    <n v="691100000"/>
    <n v="0"/>
    <x v="10"/>
    <x v="86"/>
    <n v="0.44358658582796517"/>
    <n v="7492000000"/>
    <n v="0.11277946191739295"/>
    <n v="1904800000"/>
  </r>
  <r>
    <s v="TMO"/>
    <n v="4"/>
    <x v="3"/>
    <d v="2015-12-31T00:00:00"/>
    <n v="16965400000"/>
    <n v="9209500000"/>
    <n v="4612100000"/>
    <n v="692300000"/>
    <n v="0"/>
    <x v="10"/>
    <x v="86"/>
    <n v="0.45715986655192331"/>
    <n v="7755900000"/>
    <n v="0.14449998231695096"/>
    <n v="2451500000"/>
  </r>
  <r>
    <s v="VTR"/>
    <n v="1"/>
    <x v="1"/>
    <d v="2013-12-31T00:00:00"/>
    <n v="2514595000"/>
    <n v="1118240000"/>
    <n v="132447000"/>
    <n v="0"/>
    <n v="629908000"/>
    <x v="6"/>
    <x v="13"/>
    <n v="0.55530015767946728"/>
    <n v="1396355000"/>
    <n v="0.2521280762906154"/>
    <n v="634000000"/>
  </r>
  <r>
    <s v="VTR"/>
    <n v="2"/>
    <x v="2"/>
    <d v="2014-12-31T00:00:00"/>
    <n v="2772550000"/>
    <n v="1212480000"/>
    <n v="147481000"/>
    <n v="0"/>
    <n v="725216000"/>
    <x v="6"/>
    <x v="13"/>
    <n v="0.56268417161097184"/>
    <n v="1560070000"/>
    <n v="0.24792086707182917"/>
    <n v="687373000"/>
  </r>
  <r>
    <s v="VTR"/>
    <n v="3"/>
    <x v="3"/>
    <d v="2015-12-31T00:00:00"/>
    <n v="3285346000"/>
    <n v="1410205000"/>
    <n v="145992000"/>
    <n v="0"/>
    <n v="894057000"/>
    <x v="6"/>
    <x v="13"/>
    <n v="0.570759061602644"/>
    <n v="1875141000"/>
    <n v="0.25418692582151164"/>
    <n v="835092000"/>
  </r>
  <r>
    <s v="VTR"/>
    <n v="4"/>
    <x v="4"/>
    <d v="2016-12-31T00:00:00"/>
    <n v="3442646000"/>
    <n v="1442073000"/>
    <n v="136863000"/>
    <n v="0"/>
    <n v="898924000"/>
    <x v="6"/>
    <x v="13"/>
    <n v="0.58111493310668594"/>
    <n v="2000573000"/>
    <n v="0.28024548559451073"/>
    <n v="964786000"/>
  </r>
  <r>
    <s v="VZ"/>
    <n v="1"/>
    <x v="0"/>
    <d v="2012-12-31T00:00:00"/>
    <n v="115846000000"/>
    <n v="46275000000"/>
    <n v="39951000000"/>
    <n v="0"/>
    <n v="16460000000"/>
    <x v="9"/>
    <x v="59"/>
    <n v="0.60054727828323817"/>
    <n v="69571000000"/>
    <n v="0.11359908844500458"/>
    <n v="13160000000"/>
  </r>
  <r>
    <s v="VZ"/>
    <n v="2"/>
    <x v="1"/>
    <d v="2013-12-31T00:00:00"/>
    <n v="120550000000"/>
    <n v="44887000000"/>
    <n v="27089000000"/>
    <n v="0"/>
    <n v="16606000000"/>
    <x v="9"/>
    <x v="59"/>
    <n v="0.62764827872252171"/>
    <n v="75663000000"/>
    <n v="0.26518457071754459"/>
    <n v="31968000000"/>
  </r>
  <r>
    <s v="VZ"/>
    <n v="3"/>
    <x v="2"/>
    <d v="2014-12-31T00:00:00"/>
    <n v="127079000000"/>
    <n v="49931000000"/>
    <n v="41016000000"/>
    <n v="0"/>
    <n v="16533000000"/>
    <x v="9"/>
    <x v="59"/>
    <n v="0.60708693017729132"/>
    <n v="77148000000"/>
    <n v="0.15422689822866092"/>
    <n v="19599000000"/>
  </r>
  <r>
    <s v="VZ"/>
    <n v="4"/>
    <x v="3"/>
    <d v="2015-12-31T00:00:00"/>
    <n v="131620000000"/>
    <n v="52557000000"/>
    <n v="29986000000"/>
    <n v="0"/>
    <n v="16017000000"/>
    <x v="9"/>
    <x v="59"/>
    <n v="0.60069138428810209"/>
    <n v="79063000000"/>
    <n v="0.25117763257863546"/>
    <n v="33060000000"/>
  </r>
  <r>
    <s v="UNH"/>
    <n v="1"/>
    <x v="1"/>
    <d v="2013-12-31T00:00:00"/>
    <n v="122489000000"/>
    <n v="89659000000"/>
    <n v="0"/>
    <n v="0"/>
    <n v="23207000000"/>
    <x v="10"/>
    <x v="89"/>
    <n v="0.2680240674672828"/>
    <n v="32830000000"/>
    <n v="7.8562156601817312E-2"/>
    <n v="9623000000"/>
  </r>
  <r>
    <s v="UNH"/>
    <n v="2"/>
    <x v="2"/>
    <d v="2014-12-31T00:00:00"/>
    <n v="130474000000"/>
    <n v="93633000000"/>
    <n v="0"/>
    <n v="0"/>
    <n v="26567000000"/>
    <x v="10"/>
    <x v="89"/>
    <n v="0.28236276959394213"/>
    <n v="36841000000"/>
    <n v="7.8743657740239434E-2"/>
    <n v="10274000000"/>
  </r>
  <r>
    <s v="UNH"/>
    <n v="3"/>
    <x v="3"/>
    <d v="2015-12-31T00:00:00"/>
    <n v="157107000000"/>
    <n v="103875000000"/>
    <n v="0"/>
    <n v="0"/>
    <n v="42211000000"/>
    <x v="10"/>
    <x v="89"/>
    <n v="0.33882640493421678"/>
    <n v="53232000000"/>
    <n v="7.0149643236774931E-2"/>
    <n v="11021000000"/>
  </r>
  <r>
    <s v="UNH"/>
    <n v="4"/>
    <x v="4"/>
    <d v="2016-12-31T00:00:00"/>
    <n v="184840000000"/>
    <n v="117038000000"/>
    <n v="0"/>
    <n v="0"/>
    <n v="54872000000"/>
    <x v="10"/>
    <x v="89"/>
    <n v="0.36681454230685995"/>
    <n v="67802000000"/>
    <n v="6.9952391257303612E-2"/>
    <n v="12930000000"/>
  </r>
  <r>
    <s v="WDC"/>
    <n v="1"/>
    <x v="1"/>
    <d v="2013-06-28T00:00:00"/>
    <n v="15351000000"/>
    <n v="10988000000"/>
    <n v="1525000000"/>
    <n v="1572000000"/>
    <n v="0"/>
    <x v="2"/>
    <x v="111"/>
    <n v="0.28421601198618984"/>
    <n v="4363000000"/>
    <n v="8.2470197381278088E-2"/>
    <n v="1266000000"/>
  </r>
  <r>
    <s v="WDC"/>
    <n v="2"/>
    <x v="2"/>
    <d v="2014-06-27T00:00:00"/>
    <n v="15130000000"/>
    <n v="10770000000"/>
    <n v="908000000"/>
    <n v="1661000000"/>
    <n v="0"/>
    <x v="2"/>
    <x v="111"/>
    <n v="0.28816920026437542"/>
    <n v="4360000000"/>
    <n v="0.11837409120951752"/>
    <n v="1791000000"/>
  </r>
  <r>
    <s v="WDC"/>
    <n v="3"/>
    <x v="3"/>
    <d v="2015-07-03T00:00:00"/>
    <n v="14572000000"/>
    <n v="10351000000"/>
    <n v="964000000"/>
    <n v="1646000000"/>
    <n v="0"/>
    <x v="2"/>
    <x v="111"/>
    <n v="0.28966511117211091"/>
    <n v="4221000000"/>
    <n v="0.11055448805929179"/>
    <n v="1611000000"/>
  </r>
  <r>
    <s v="WDC"/>
    <n v="4"/>
    <x v="4"/>
    <d v="2016-07-01T00:00:00"/>
    <n v="12994000000"/>
    <n v="9559000000"/>
    <n v="1342000000"/>
    <n v="1627000000"/>
    <n v="0"/>
    <x v="2"/>
    <x v="111"/>
    <n v="0.26435277820532554"/>
    <n v="3435000000"/>
    <n v="3.5862705864245038E-2"/>
    <n v="466000000"/>
  </r>
  <r>
    <s v="WEC"/>
    <n v="1"/>
    <x v="0"/>
    <d v="2012-12-31T00:00:00"/>
    <n v="4246400000"/>
    <n v="2760500000"/>
    <n v="121400000"/>
    <n v="0"/>
    <n v="364200000"/>
    <x v="5"/>
    <x v="11"/>
    <n v="0.34991993217784478"/>
    <n v="1485900000"/>
    <n v="0.23556424265259984"/>
    <n v="1000300000"/>
  </r>
  <r>
    <s v="WEC"/>
    <n v="2"/>
    <x v="1"/>
    <d v="2013-12-31T00:00:00"/>
    <n v="4519000000"/>
    <n v="2982100000"/>
    <n v="116700000"/>
    <n v="0"/>
    <n v="340100000"/>
    <x v="5"/>
    <x v="11"/>
    <n v="0.34009736667404289"/>
    <n v="1536900000"/>
    <n v="0.23901305598583758"/>
    <n v="1080100000"/>
  </r>
  <r>
    <s v="WEC"/>
    <n v="3"/>
    <x v="2"/>
    <d v="2014-12-31T00:00:00"/>
    <n v="4997100000"/>
    <n v="3371800000"/>
    <n v="121800000"/>
    <n v="0"/>
    <n v="391400000"/>
    <x v="5"/>
    <x v="11"/>
    <n v="0.32524864421364397"/>
    <n v="1625300000"/>
    <n v="0.22254907846551"/>
    <n v="1112100000"/>
  </r>
  <r>
    <s v="WEC"/>
    <n v="4"/>
    <x v="3"/>
    <d v="2015-12-31T00:00:00"/>
    <n v="5926100000"/>
    <n v="3949400000"/>
    <n v="164400000"/>
    <n v="0"/>
    <n v="561800000"/>
    <x v="5"/>
    <x v="11"/>
    <n v="0.33355832672415253"/>
    <n v="1976700000"/>
    <n v="0.21101567641450533"/>
    <n v="1250500000"/>
  </r>
  <r>
    <s v="VAR"/>
    <n v="1"/>
    <x v="1"/>
    <d v="2013-09-27T00:00:00"/>
    <n v="2942897000"/>
    <n v="1693210000"/>
    <n v="432589000"/>
    <n v="208208000"/>
    <n v="0"/>
    <x v="10"/>
    <x v="86"/>
    <n v="0.42464517106782873"/>
    <n v="1249687000"/>
    <n v="0.20690156672149926"/>
    <n v="608890000"/>
  </r>
  <r>
    <s v="VAR"/>
    <n v="2"/>
    <x v="2"/>
    <d v="2014-09-26T00:00:00"/>
    <n v="3049800000"/>
    <n v="1748100000"/>
    <n v="470600000"/>
    <n v="234800000"/>
    <n v="0"/>
    <x v="10"/>
    <x v="86"/>
    <n v="0.42681487310643318"/>
    <n v="1301700000"/>
    <n v="0.19552101777165715"/>
    <n v="596300000"/>
  </r>
  <r>
    <s v="VAR"/>
    <n v="3"/>
    <x v="3"/>
    <d v="2015-10-02T00:00:00"/>
    <n v="3099100000"/>
    <n v="1816400000"/>
    <n v="488500000"/>
    <n v="245200000"/>
    <n v="0"/>
    <x v="10"/>
    <x v="86"/>
    <n v="0.41389435642605921"/>
    <n v="1282700000"/>
    <n v="0.17714820431738246"/>
    <n v="549000000"/>
  </r>
  <r>
    <s v="VAR"/>
    <n v="4"/>
    <x v="4"/>
    <d v="2016-09-30T00:00:00"/>
    <n v="3217800000"/>
    <n v="1856500000"/>
    <n v="557000000"/>
    <n v="253500000"/>
    <n v="0"/>
    <x v="10"/>
    <x v="86"/>
    <n v="0.42305301758965752"/>
    <n v="1361300000"/>
    <n v="0.17117285101622226"/>
    <n v="550800000"/>
  </r>
  <r>
    <s v="WFM"/>
    <n v="1"/>
    <x v="1"/>
    <d v="2013-09-29T00:00:00"/>
    <n v="12917000000"/>
    <n v="8288000000"/>
    <n v="3682000000"/>
    <n v="0"/>
    <n v="0"/>
    <x v="4"/>
    <x v="93"/>
    <n v="0.35836494542076336"/>
    <n v="4629000000"/>
    <n v="7.3314237051947048E-2"/>
    <n v="947000000"/>
  </r>
  <r>
    <s v="WFM"/>
    <n v="2"/>
    <x v="2"/>
    <d v="2014-09-28T00:00:00"/>
    <n v="14194000000"/>
    <n v="9150000000"/>
    <n v="4032000000"/>
    <n v="0"/>
    <n v="0"/>
    <x v="4"/>
    <x v="93"/>
    <n v="0.35536142031844442"/>
    <n v="5044000000"/>
    <n v="7.1297731435817954E-2"/>
    <n v="1012000000"/>
  </r>
  <r>
    <s v="WFM"/>
    <n v="3"/>
    <x v="3"/>
    <d v="2015-09-27T00:00:00"/>
    <n v="15389000000"/>
    <n v="9973000000"/>
    <n v="4472000000"/>
    <n v="0"/>
    <n v="0"/>
    <x v="4"/>
    <x v="93"/>
    <n v="0.35193969718630191"/>
    <n v="5416000000"/>
    <n v="6.1342517382545973E-2"/>
    <n v="944000000"/>
  </r>
  <r>
    <s v="WFM"/>
    <n v="4"/>
    <x v="4"/>
    <d v="2016-09-25T00:00:00"/>
    <n v="15724000000"/>
    <n v="10313000000"/>
    <n v="4477000000"/>
    <n v="0"/>
    <n v="0"/>
    <x v="4"/>
    <x v="93"/>
    <n v="0.34412363266344437"/>
    <n v="5411000000"/>
    <n v="5.9399643856525054E-2"/>
    <n v="934000000"/>
  </r>
  <r>
    <s v="WHR"/>
    <n v="1"/>
    <x v="1"/>
    <d v="2013-12-31T00:00:00"/>
    <n v="18769000000"/>
    <n v="15471000000"/>
    <n v="1828000000"/>
    <n v="0"/>
    <n v="25000000"/>
    <x v="1"/>
    <x v="110"/>
    <n v="0.17571527518780972"/>
    <n v="3298000000"/>
    <n v="7.6988651499813529E-2"/>
    <n v="1445000000"/>
  </r>
  <r>
    <s v="WHR"/>
    <n v="2"/>
    <x v="2"/>
    <d v="2014-12-31T00:00:00"/>
    <n v="19872000000"/>
    <n v="16477000000"/>
    <n v="2038000000"/>
    <n v="0"/>
    <n v="33000000"/>
    <x v="1"/>
    <x v="110"/>
    <n v="0.17084339774557167"/>
    <n v="3395000000"/>
    <n v="6.662640901771337E-2"/>
    <n v="1324000000"/>
  </r>
  <r>
    <s v="WHR"/>
    <n v="3"/>
    <x v="3"/>
    <d v="2015-12-31T00:00:00"/>
    <n v="20891000000"/>
    <n v="17201000000"/>
    <n v="2130000000"/>
    <n v="0"/>
    <n v="74000000"/>
    <x v="1"/>
    <x v="110"/>
    <n v="0.17663108515628745"/>
    <n v="3690000000"/>
    <n v="7.1131109090038766E-2"/>
    <n v="1486000000"/>
  </r>
  <r>
    <s v="WHR"/>
    <n v="4"/>
    <x v="4"/>
    <d v="2016-12-31T00:00:00"/>
    <n v="20718000000"/>
    <n v="17036000000"/>
    <n v="2084000000"/>
    <n v="0"/>
    <n v="71000000"/>
    <x v="1"/>
    <x v="110"/>
    <n v="0.17771985712906646"/>
    <n v="3682000000"/>
    <n v="7.3704025485085436E-2"/>
    <n v="1527000000"/>
  </r>
  <r>
    <s v="WM"/>
    <n v="1"/>
    <x v="1"/>
    <d v="2013-12-31T00:00:00"/>
    <n v="13983000000"/>
    <n v="9112000000"/>
    <n v="1468000000"/>
    <n v="0"/>
    <n v="1333000000"/>
    <x v="0"/>
    <x v="118"/>
    <n v="0.34835156976328396"/>
    <n v="4871000000"/>
    <n v="0.14803690195237074"/>
    <n v="2070000000"/>
  </r>
  <r>
    <s v="WM"/>
    <n v="2"/>
    <x v="2"/>
    <d v="2014-12-31T00:00:00"/>
    <n v="13996000000"/>
    <n v="9002000000"/>
    <n v="1481000000"/>
    <n v="0"/>
    <n v="1292000000"/>
    <x v="0"/>
    <x v="118"/>
    <n v="0.35681623320948841"/>
    <n v="4994000000"/>
    <n v="0.15868819662760789"/>
    <n v="2221000000"/>
  </r>
  <r>
    <s v="WM"/>
    <n v="3"/>
    <x v="3"/>
    <d v="2015-12-31T00:00:00"/>
    <n v="12961000000"/>
    <n v="8231000000"/>
    <n v="1343000000"/>
    <n v="0"/>
    <n v="1245000000"/>
    <x v="0"/>
    <x v="118"/>
    <n v="0.36494097677648329"/>
    <n v="4730000000"/>
    <n v="0.16526502584677108"/>
    <n v="2142000000"/>
  </r>
  <r>
    <s v="WM"/>
    <n v="4"/>
    <x v="4"/>
    <d v="2016-12-31T00:00:00"/>
    <n v="13609000000"/>
    <n v="8486000000"/>
    <n v="1410000000"/>
    <n v="0"/>
    <n v="1301000000"/>
    <x v="0"/>
    <x v="118"/>
    <n v="0.37644206040120509"/>
    <n v="5123000000"/>
    <n v="0.17723565287677273"/>
    <n v="2412000000"/>
  </r>
  <r>
    <s v="WMB"/>
    <n v="1"/>
    <x v="0"/>
    <d v="2012-12-31T00:00:00"/>
    <n v="7486000000"/>
    <n v="4523000000"/>
    <n v="595000000"/>
    <n v="0"/>
    <n v="756000000"/>
    <x v="8"/>
    <x v="25"/>
    <n v="0.39580550360673261"/>
    <n v="2963000000"/>
    <n v="0.21533529254608602"/>
    <n v="1612000000"/>
  </r>
  <r>
    <s v="WMB"/>
    <n v="2"/>
    <x v="1"/>
    <d v="2013-12-31T00:00:00"/>
    <n v="6860000000"/>
    <n v="4124000000"/>
    <n v="546000000"/>
    <n v="0"/>
    <n v="815000000"/>
    <x v="8"/>
    <x v="25"/>
    <n v="0.39883381924198247"/>
    <n v="2736000000"/>
    <n v="0.20043731778425655"/>
    <n v="1375000000"/>
  </r>
  <r>
    <s v="WMB"/>
    <n v="3"/>
    <x v="2"/>
    <d v="2014-12-31T00:00:00"/>
    <n v="7637000000"/>
    <n v="4508000000"/>
    <n v="384000000"/>
    <n v="0"/>
    <n v="1176000000"/>
    <x v="8"/>
    <x v="25"/>
    <n v="0.40971585701191571"/>
    <n v="3129000000"/>
    <n v="0.2054471651171926"/>
    <n v="1569000000"/>
  </r>
  <r>
    <s v="WMB"/>
    <n v="4"/>
    <x v="3"/>
    <d v="2015-12-31T00:00:00"/>
    <n v="7360000000"/>
    <n v="3434000000"/>
    <n v="864000000"/>
    <n v="0"/>
    <n v="1738000000"/>
    <x v="8"/>
    <x v="25"/>
    <n v="0.53342391304347825"/>
    <n v="3926000000"/>
    <n v="0.17989130434782608"/>
    <n v="1324000000"/>
  </r>
  <r>
    <s v="WMT"/>
    <n v="1"/>
    <x v="1"/>
    <d v="2013-01-31T00:00:00"/>
    <n v="468651000000"/>
    <n v="352297000000"/>
    <n v="88629000000"/>
    <n v="0"/>
    <n v="0"/>
    <x v="4"/>
    <x v="53"/>
    <n v="0.24827430219929114"/>
    <n v="116354000000"/>
    <n v="5.9159161081487076E-2"/>
    <n v="27725000000"/>
  </r>
  <r>
    <s v="WMT"/>
    <n v="2"/>
    <x v="2"/>
    <d v="2014-01-31T00:00:00"/>
    <n v="476294000000"/>
    <n v="358069000000"/>
    <n v="91353000000"/>
    <n v="0"/>
    <n v="0"/>
    <x v="4"/>
    <x v="53"/>
    <n v="0.2482185372899931"/>
    <n v="118225000000"/>
    <n v="5.6418934523634563E-2"/>
    <n v="26872000000"/>
  </r>
  <r>
    <s v="WMT"/>
    <n v="3"/>
    <x v="3"/>
    <d v="2015-01-31T00:00:00"/>
    <n v="485651000000"/>
    <n v="365086000000"/>
    <n v="93418000000"/>
    <n v="0"/>
    <n v="0"/>
    <x v="4"/>
    <x v="53"/>
    <n v="0.24825440491216944"/>
    <n v="120565000000"/>
    <n v="5.5898165555100264E-2"/>
    <n v="27147000000"/>
  </r>
  <r>
    <s v="WMT"/>
    <n v="4"/>
    <x v="4"/>
    <d v="2016-01-31T00:00:00"/>
    <n v="482130000000"/>
    <n v="360984000000"/>
    <n v="97041000000"/>
    <n v="0"/>
    <n v="0"/>
    <x v="4"/>
    <x v="53"/>
    <n v="0.25127247837720112"/>
    <n v="121146000000"/>
    <n v="4.9996888805923713E-2"/>
    <n v="24105000000"/>
  </r>
  <r>
    <s v="WRK"/>
    <n v="1"/>
    <x v="2"/>
    <d v="2014-09-30T00:00:00"/>
    <n v="9895100000"/>
    <n v="7961500000"/>
    <n v="937600000"/>
    <n v="0"/>
    <n v="86000000"/>
    <x v="7"/>
    <x v="30"/>
    <n v="0.19540984931936012"/>
    <n v="1933600000"/>
    <n v="9.1964709805863507E-2"/>
    <n v="910000000"/>
  </r>
  <r>
    <s v="WRK"/>
    <n v="2"/>
    <x v="3"/>
    <d v="2015-09-30T00:00:00"/>
    <n v="11124800000"/>
    <n v="8986500000"/>
    <n v="1026100000"/>
    <n v="0"/>
    <n v="118900000"/>
    <x v="7"/>
    <x v="30"/>
    <n v="0.19221019703725006"/>
    <n v="2138300000"/>
    <n v="8.9286998417949084E-2"/>
    <n v="993300000"/>
  </r>
  <r>
    <s v="WRK"/>
    <n v="3"/>
    <x v="4"/>
    <d v="2016-09-30T00:00:00"/>
    <n v="14171800000"/>
    <n v="11413200000"/>
    <n v="1750100000"/>
    <n v="0"/>
    <n v="211800000"/>
    <x v="7"/>
    <x v="30"/>
    <n v="0.19465417237048221"/>
    <n v="2758600000"/>
    <n v="5.6217276563315884E-2"/>
    <n v="796700000"/>
  </r>
  <r>
    <s v="WU"/>
    <n v="1"/>
    <x v="0"/>
    <d v="2012-12-31T00:00:00"/>
    <n v="5664800000"/>
    <n v="3194200000"/>
    <n v="1140600000"/>
    <n v="0"/>
    <n v="0"/>
    <x v="2"/>
    <x v="15"/>
    <n v="0.43613190227369014"/>
    <n v="2470600000"/>
    <n v="0.23478322270865698"/>
    <n v="1330000000"/>
  </r>
  <r>
    <s v="WU"/>
    <n v="2"/>
    <x v="1"/>
    <d v="2013-12-31T00:00:00"/>
    <n v="5542000000"/>
    <n v="3235000000"/>
    <n v="1199600000"/>
    <n v="0"/>
    <n v="0"/>
    <x v="2"/>
    <x v="15"/>
    <n v="0.41627571273908337"/>
    <n v="2307000000"/>
    <n v="0.19981955972573079"/>
    <n v="1107400000"/>
  </r>
  <r>
    <s v="WU"/>
    <n v="3"/>
    <x v="2"/>
    <d v="2014-12-31T00:00:00"/>
    <n v="5607200000"/>
    <n v="3297400000"/>
    <n v="1169300000"/>
    <n v="0"/>
    <n v="0"/>
    <x v="2"/>
    <x v="15"/>
    <n v="0.4119346554430019"/>
    <n v="2309800000"/>
    <n v="0.20339920102725068"/>
    <n v="1140500000"/>
  </r>
  <r>
    <s v="WU"/>
    <n v="4"/>
    <x v="3"/>
    <d v="2015-12-31T00:00:00"/>
    <n v="5483700000"/>
    <n v="3199400000"/>
    <n v="1174900000"/>
    <n v="0"/>
    <n v="0"/>
    <x v="2"/>
    <x v="15"/>
    <n v="0.41656181045644369"/>
    <n v="2284300000"/>
    <n v="0.20230866021117128"/>
    <n v="1109400000"/>
  </r>
  <r>
    <s v="WY"/>
    <n v="1"/>
    <x v="0"/>
    <d v="2012-12-31T00:00:00"/>
    <n v="5989000000"/>
    <n v="4993000000"/>
    <n v="320000000"/>
    <n v="32000000"/>
    <n v="0"/>
    <x v="6"/>
    <x v="13"/>
    <n v="0.16630489230255463"/>
    <n v="996000000"/>
    <n v="0.10753047253297712"/>
    <n v="644000000"/>
  </r>
  <r>
    <s v="WY"/>
    <n v="2"/>
    <x v="1"/>
    <d v="2013-12-31T00:00:00"/>
    <n v="7254000000"/>
    <n v="5716000000"/>
    <n v="494000000"/>
    <n v="33000000"/>
    <n v="0"/>
    <x v="6"/>
    <x v="13"/>
    <n v="0.21202095395643783"/>
    <n v="1538000000"/>
    <n v="0.13937138130686519"/>
    <n v="1011000000"/>
  </r>
  <r>
    <s v="WY"/>
    <n v="3"/>
    <x v="2"/>
    <d v="2014-12-31T00:00:00"/>
    <n v="7403000000"/>
    <n v="5763000000"/>
    <n v="249000000"/>
    <n v="27000000"/>
    <n v="0"/>
    <x v="6"/>
    <x v="13"/>
    <n v="0.22153181142779954"/>
    <n v="1640000000"/>
    <n v="0.18424962852897475"/>
    <n v="1364000000"/>
  </r>
  <r>
    <s v="WY"/>
    <n v="4"/>
    <x v="3"/>
    <d v="2015-12-31T00:00:00"/>
    <n v="7082000000"/>
    <n v="5694000000"/>
    <n v="420000000"/>
    <n v="24000000"/>
    <n v="0"/>
    <x v="6"/>
    <x v="13"/>
    <n v="0.19598983338040099"/>
    <n v="1388000000"/>
    <n v="0.13329567918667043"/>
    <n v="944000000"/>
  </r>
  <r>
    <s v="WYN"/>
    <n v="1"/>
    <x v="0"/>
    <d v="2012-12-31T00:00:00"/>
    <n v="4534000000"/>
    <n v="2093000000"/>
    <n v="1389000000"/>
    <n v="0"/>
    <n v="185000000"/>
    <x v="1"/>
    <x v="41"/>
    <n v="0.53837670930745474"/>
    <n v="2441000000"/>
    <n v="0.19122187913542127"/>
    <n v="867000000"/>
  </r>
  <r>
    <s v="WYN"/>
    <n v="2"/>
    <x v="1"/>
    <d v="2013-12-31T00:00:00"/>
    <n v="5009000000"/>
    <n v="2394000000"/>
    <n v="1471000000"/>
    <n v="0"/>
    <n v="216000000"/>
    <x v="1"/>
    <x v="41"/>
    <n v="0.52206029147534438"/>
    <n v="2615000000"/>
    <n v="0.18526652026352566"/>
    <n v="928000000"/>
  </r>
  <r>
    <s v="WYN"/>
    <n v="3"/>
    <x v="2"/>
    <d v="2014-12-31T00:00:00"/>
    <n v="5281000000"/>
    <n v="2504000000"/>
    <n v="1557000000"/>
    <n v="0"/>
    <n v="233000000"/>
    <x v="1"/>
    <x v="41"/>
    <n v="0.52584737739064569"/>
    <n v="2777000000"/>
    <n v="0.1868964211323613"/>
    <n v="987000000"/>
  </r>
  <r>
    <s v="WYN"/>
    <n v="4"/>
    <x v="3"/>
    <d v="2015-12-31T00:00:00"/>
    <n v="5536000000"/>
    <n v="2700000000"/>
    <n v="1574000000"/>
    <n v="0"/>
    <n v="234000000"/>
    <x v="1"/>
    <x v="41"/>
    <n v="0.51228323699421963"/>
    <n v="2836000000"/>
    <n v="0.18569364161849711"/>
    <n v="1028000000"/>
  </r>
  <r>
    <s v="WYNN"/>
    <n v="1"/>
    <x v="0"/>
    <d v="2012-12-31T00:00:00"/>
    <n v="5154284000"/>
    <n v="3251575000"/>
    <n v="481677000"/>
    <n v="0"/>
    <n v="373199000"/>
    <x v="1"/>
    <x v="119"/>
    <n v="0.36915098197926233"/>
    <n v="1902709000"/>
    <n v="0.20329360974288571"/>
    <n v="1047833000"/>
  </r>
  <r>
    <s v="WYNN"/>
    <n v="2"/>
    <x v="1"/>
    <d v="2013-12-31T00:00:00"/>
    <n v="5620936000"/>
    <n v="3478822000"/>
    <n v="465926000"/>
    <n v="0"/>
    <n v="371051000"/>
    <x v="1"/>
    <x v="119"/>
    <n v="0.38109560400616549"/>
    <n v="2142114000"/>
    <n v="0.23219211177640164"/>
    <n v="1305137000"/>
  </r>
  <r>
    <s v="WYNN"/>
    <n v="3"/>
    <x v="2"/>
    <d v="2014-12-31T00:00:00"/>
    <n v="5433661000"/>
    <n v="3316311000"/>
    <n v="502901000"/>
    <n v="0"/>
    <n v="314119000"/>
    <x v="1"/>
    <x v="119"/>
    <n v="0.38967281911771823"/>
    <n v="2117350000"/>
    <n v="0.23931010786282031"/>
    <n v="1300330000"/>
  </r>
  <r>
    <s v="WYNN"/>
    <n v="4"/>
    <x v="3"/>
    <d v="2015-12-31T00:00:00"/>
    <n v="4075883000"/>
    <n v="2530374000"/>
    <n v="475328000"/>
    <n v="0"/>
    <n v="322629000"/>
    <x v="1"/>
    <x v="119"/>
    <n v="0.37918384801526439"/>
    <n v="1545509000"/>
    <n v="0.18340860127731831"/>
    <n v="747552000"/>
  </r>
  <r>
    <s v="XEC"/>
    <n v="1"/>
    <x v="0"/>
    <d v="2012-12-31T00:00:00"/>
    <n v="1623938000"/>
    <n v="337903000"/>
    <n v="188302000"/>
    <n v="0"/>
    <n v="513916000"/>
    <x v="8"/>
    <x v="25"/>
    <n v="0.79192370644692101"/>
    <n v="1286035000"/>
    <n v="0.35950695162007418"/>
    <n v="583817000"/>
  </r>
  <r>
    <s v="XEC"/>
    <n v="2"/>
    <x v="1"/>
    <d v="2013-12-31T00:00:00"/>
    <n v="1998051000"/>
    <n v="406198000"/>
    <n v="72143000"/>
    <n v="0"/>
    <n v="615874000"/>
    <x v="8"/>
    <x v="25"/>
    <n v="0.79670288696334579"/>
    <n v="1591853000"/>
    <n v="0.45235882367366997"/>
    <n v="903836000"/>
  </r>
  <r>
    <s v="XEC"/>
    <n v="3"/>
    <x v="2"/>
    <d v="2014-12-31T00:00:00"/>
    <n v="2424176000"/>
    <n v="572831000"/>
    <n v="225070000"/>
    <n v="0"/>
    <n v="806021000"/>
    <x v="8"/>
    <x v="25"/>
    <n v="0.76370073790021853"/>
    <n v="1851345000"/>
    <n v="0.33836404617486521"/>
    <n v="820254000"/>
  </r>
  <r>
    <s v="XEC"/>
    <n v="4"/>
    <x v="3"/>
    <d v="2015-12-31T00:00:00"/>
    <n v="1452619000"/>
    <n v="519874000"/>
    <n v="179867000"/>
    <n v="0"/>
    <n v="778923000"/>
    <x v="8"/>
    <x v="25"/>
    <n v="0.6421126255404892"/>
    <n v="932745000"/>
    <n v="-1.7929684246178797E-2"/>
    <n v="-26045000"/>
  </r>
  <r>
    <s v="XEL"/>
    <n v="1"/>
    <x v="0"/>
    <d v="2012-12-31T00:00:00"/>
    <n v="10128223000"/>
    <n v="6710036000"/>
    <n v="669451000"/>
    <n v="0"/>
    <n v="926053000"/>
    <x v="5"/>
    <x v="10"/>
    <n v="0.3374912854900608"/>
    <n v="3418187000"/>
    <n v="0.17996078877805119"/>
    <n v="1822683000"/>
  </r>
  <r>
    <s v="XEL"/>
    <n v="2"/>
    <x v="1"/>
    <d v="2013-12-31T00:00:00"/>
    <n v="10914922000"/>
    <n v="7408278000"/>
    <n v="681226000"/>
    <n v="0"/>
    <n v="977863000"/>
    <x v="5"/>
    <x v="10"/>
    <n v="0.32127064215392465"/>
    <n v="3506644000"/>
    <n v="0.16926873137526774"/>
    <n v="1847555000"/>
  </r>
  <r>
    <s v="XEL"/>
    <n v="3"/>
    <x v="2"/>
    <d v="2014-12-31T00:00:00"/>
    <n v="11686135000"/>
    <n v="7951352000"/>
    <n v="767608000"/>
    <n v="0"/>
    <n v="1019045000"/>
    <x v="5"/>
    <x v="10"/>
    <n v="0.31959095115707636"/>
    <n v="3734783000"/>
    <n v="0.16670438943243424"/>
    <n v="1948130000"/>
  </r>
  <r>
    <s v="XEL"/>
    <n v="4"/>
    <x v="3"/>
    <d v="2015-12-31T00:00:00"/>
    <n v="11024486000"/>
    <n v="7033633000"/>
    <n v="865817000"/>
    <n v="0"/>
    <n v="1124524000"/>
    <x v="5"/>
    <x v="10"/>
    <n v="0.36199900838914389"/>
    <n v="3990853000"/>
    <n v="0.1814607955418511"/>
    <n v="2000512000"/>
  </r>
  <r>
    <s v="VRTX"/>
    <n v="1"/>
    <x v="0"/>
    <d v="2012-12-31T00:00:00"/>
    <n v="1527042000"/>
    <n v="279885000"/>
    <n v="432681000"/>
    <n v="765905000"/>
    <n v="0"/>
    <x v="10"/>
    <x v="87"/>
    <n v="0.81671427504940919"/>
    <n v="1247157000"/>
    <n v="3.1807245642228567E-2"/>
    <n v="48571000"/>
  </r>
  <r>
    <s v="VRTX"/>
    <n v="2"/>
    <x v="1"/>
    <d v="2013-12-31T00:00:00"/>
    <n v="1211975000"/>
    <n v="130277000"/>
    <n v="356188000"/>
    <n v="882097000"/>
    <n v="0"/>
    <x v="10"/>
    <x v="87"/>
    <n v="0.89250850883887867"/>
    <n v="1081698000"/>
    <n v="-0.12919985973308029"/>
    <n v="-156587000"/>
  </r>
  <r>
    <s v="VRTX"/>
    <n v="3"/>
    <x v="2"/>
    <d v="2014-12-31T00:00:00"/>
    <n v="580415000"/>
    <n v="60987000"/>
    <n v="305409000"/>
    <n v="855506000"/>
    <n v="0"/>
    <x v="10"/>
    <x v="87"/>
    <n v="0.89492518284331035"/>
    <n v="519428000"/>
    <n v="-1.1052212640955179"/>
    <n v="-641487000"/>
  </r>
  <r>
    <s v="VRTX"/>
    <n v="4"/>
    <x v="3"/>
    <d v="2015-12-31T00:00:00"/>
    <n v="1032336000"/>
    <n v="124512000"/>
    <n v="376575000"/>
    <n v="995922000"/>
    <n v="0"/>
    <x v="10"/>
    <x v="87"/>
    <n v="0.87938810619798202"/>
    <n v="907824000"/>
    <n v="-0.45011798484214444"/>
    <n v="-464673000"/>
  </r>
  <r>
    <s v="XLNX"/>
    <n v="1"/>
    <x v="1"/>
    <d v="2013-03-30T00:00:00"/>
    <n v="2168652000"/>
    <n v="737206000"/>
    <n v="365684000"/>
    <n v="475522000"/>
    <n v="9508000"/>
    <x v="2"/>
    <x v="7"/>
    <n v="0.66006256421039433"/>
    <n v="1431446000"/>
    <n v="0.26778478059181465"/>
    <n v="580732000"/>
  </r>
  <r>
    <s v="XLNX"/>
    <n v="2"/>
    <x v="2"/>
    <d v="2014-03-29T00:00:00"/>
    <n v="2382531000"/>
    <n v="743253000"/>
    <n v="378607000"/>
    <n v="492447000"/>
    <n v="9887000"/>
    <x v="2"/>
    <x v="7"/>
    <n v="0.68804057533773955"/>
    <n v="1639278000"/>
    <n v="0.3182905070280303"/>
    <n v="758337000"/>
  </r>
  <r>
    <s v="XLNX"/>
    <n v="3"/>
    <x v="3"/>
    <d v="2015-03-28T00:00:00"/>
    <n v="2377344000"/>
    <n v="708823000"/>
    <n v="353670000"/>
    <n v="525745000"/>
    <n v="9537000"/>
    <x v="2"/>
    <x v="7"/>
    <n v="0.70184247630969687"/>
    <n v="1668521000"/>
    <n v="0.32791594317019329"/>
    <n v="779569000"/>
  </r>
  <r>
    <s v="XLNX"/>
    <n v="4"/>
    <x v="4"/>
    <d v="2016-04-02T00:00:00"/>
    <n v="2213881000"/>
    <n v="671907000"/>
    <n v="331652000"/>
    <n v="533891000"/>
    <n v="6550000"/>
    <x v="2"/>
    <x v="7"/>
    <n v="0.69650265755024776"/>
    <n v="1541974000"/>
    <n v="0.30258220744475428"/>
    <n v="669881000"/>
  </r>
  <r>
    <s v="XOM"/>
    <n v="1"/>
    <x v="0"/>
    <d v="2012-12-31T00:00:00"/>
    <n v="451509000000"/>
    <n v="302056000000"/>
    <n v="81844000000"/>
    <n v="0"/>
    <n v="15888000000"/>
    <x v="8"/>
    <x v="46"/>
    <n v="0.33100779829416471"/>
    <n v="149453000000"/>
    <n v="0.11455142643889712"/>
    <n v="51721000000"/>
  </r>
  <r>
    <s v="XOM"/>
    <n v="2"/>
    <x v="1"/>
    <d v="2013-12-31T00:00:00"/>
    <n v="420836000000"/>
    <n v="284681000000"/>
    <n v="76696000000"/>
    <n v="0"/>
    <n v="17182000000"/>
    <x v="8"/>
    <x v="46"/>
    <n v="0.32353458354323295"/>
    <n v="136155000000"/>
    <n v="0.10045956144436312"/>
    <n v="42277000000"/>
  </r>
  <r>
    <s v="XOM"/>
    <n v="3"/>
    <x v="2"/>
    <d v="2014-12-31T00:00:00"/>
    <n v="394105000000"/>
    <n v="266831000000"/>
    <n v="74226000000"/>
    <n v="0"/>
    <n v="17297000000"/>
    <x v="8"/>
    <x v="46"/>
    <n v="0.3229443929917154"/>
    <n v="127274000000"/>
    <n v="9.0714403521904061E-2"/>
    <n v="35751000000"/>
  </r>
  <r>
    <s v="XOM"/>
    <n v="4"/>
    <x v="3"/>
    <d v="2015-12-31T00:00:00"/>
    <n v="259488000000"/>
    <n v="165590000000"/>
    <n v="61444000000"/>
    <n v="0"/>
    <n v="18048000000"/>
    <x v="8"/>
    <x v="46"/>
    <n v="0.36185873720557404"/>
    <n v="93898000000"/>
    <n v="5.551701812800592E-2"/>
    <n v="14406000000"/>
  </r>
  <r>
    <s v="WAT"/>
    <n v="1"/>
    <x v="0"/>
    <d v="2012-12-31T00:00:00"/>
    <n v="1843641000"/>
    <n v="737614000"/>
    <n v="477270000"/>
    <n v="96004000"/>
    <n v="13829000"/>
    <x v="10"/>
    <x v="85"/>
    <n v="0.59991451698025811"/>
    <n v="1106027000"/>
    <n v="0.28146694502888575"/>
    <n v="518924000"/>
  </r>
  <r>
    <s v="WAT"/>
    <n v="2"/>
    <x v="1"/>
    <d v="2013-12-31T00:00:00"/>
    <n v="1904218000"/>
    <n v="783456000"/>
    <n v="492965000"/>
    <n v="100536000"/>
    <n v="9918000"/>
    <x v="10"/>
    <x v="85"/>
    <n v="0.58856811562541678"/>
    <n v="1120762000"/>
    <n v="0.27168265398184449"/>
    <n v="517343000"/>
  </r>
  <r>
    <s v="WAT"/>
    <n v="3"/>
    <x v="2"/>
    <d v="2014-12-31T00:00:00"/>
    <n v="1989344000"/>
    <n v="824913000"/>
    <n v="512707000"/>
    <n v="107726000"/>
    <n v="10634000"/>
    <x v="10"/>
    <x v="85"/>
    <n v="0.58533416040664665"/>
    <n v="1164431000"/>
    <n v="0.26811049270513293"/>
    <n v="533364000"/>
  </r>
  <r>
    <s v="WAT"/>
    <n v="4"/>
    <x v="3"/>
    <d v="2015-12-31T00:00:00"/>
    <n v="2042332000"/>
    <n v="842672000"/>
    <n v="495747000"/>
    <n v="118545000"/>
    <n v="10123000"/>
    <x v="10"/>
    <x v="85"/>
    <n v="0.58739715188323938"/>
    <n v="1199660000"/>
    <n v="0.28166086610795893"/>
    <n v="575245000"/>
  </r>
  <r>
    <s v="XRX"/>
    <n v="1"/>
    <x v="0"/>
    <d v="2012-12-31T00:00:00"/>
    <n v="20421000000"/>
    <n v="13634000000"/>
    <n v="4398000000"/>
    <n v="655000000"/>
    <n v="301000000"/>
    <x v="2"/>
    <x v="56"/>
    <n v="0.33235394936584883"/>
    <n v="6787000000"/>
    <n v="7.0172861270261011E-2"/>
    <n v="1433000000"/>
  </r>
  <r>
    <s v="XRX"/>
    <n v="2"/>
    <x v="1"/>
    <d v="2013-12-31T00:00:00"/>
    <n v="20006000000"/>
    <n v="13521000000"/>
    <n v="4219000000"/>
    <n v="603000000"/>
    <n v="305000000"/>
    <x v="2"/>
    <x v="56"/>
    <n v="0.32415275417374789"/>
    <n v="6485000000"/>
    <n v="6.7879636109167252E-2"/>
    <n v="1358000000"/>
  </r>
  <r>
    <s v="XRX"/>
    <n v="3"/>
    <x v="2"/>
    <d v="2014-12-31T00:00:00"/>
    <n v="19540000000"/>
    <n v="13294000000"/>
    <n v="4020000000"/>
    <n v="577000000"/>
    <n v="315000000"/>
    <x v="2"/>
    <x v="56"/>
    <n v="0.31965199590583415"/>
    <n v="6246000000"/>
    <n v="6.8270214943705221E-2"/>
    <n v="1334000000"/>
  </r>
  <r>
    <s v="XRX"/>
    <n v="4"/>
    <x v="3"/>
    <d v="2015-12-31T00:00:00"/>
    <n v="18045000000"/>
    <n v="12782000000"/>
    <n v="3792000000"/>
    <n v="563000000"/>
    <n v="310000000"/>
    <x v="2"/>
    <x v="56"/>
    <n v="0.29165973954003876"/>
    <n v="5263000000"/>
    <n v="3.3139373787752842E-2"/>
    <n v="598000000"/>
  </r>
  <r>
    <s v="XYL"/>
    <n v="1"/>
    <x v="0"/>
    <d v="2012-12-31T00:00:00"/>
    <n v="3791000000"/>
    <n v="2289000000"/>
    <n v="936000000"/>
    <n v="106000000"/>
    <n v="0"/>
    <x v="0"/>
    <x v="52"/>
    <n v="0.39620152993933"/>
    <n v="1502000000"/>
    <n v="0.12134001582695858"/>
    <n v="460000000"/>
  </r>
  <r>
    <s v="XYL"/>
    <n v="2"/>
    <x v="1"/>
    <d v="2013-12-31T00:00:00"/>
    <n v="3837000000"/>
    <n v="2338000000"/>
    <n v="990000000"/>
    <n v="104000000"/>
    <n v="0"/>
    <x v="0"/>
    <x v="52"/>
    <n v="0.39066979410998171"/>
    <n v="1499000000"/>
    <n v="0.1055512118842846"/>
    <n v="405000000"/>
  </r>
  <r>
    <s v="XYL"/>
    <n v="3"/>
    <x v="2"/>
    <d v="2014-12-31T00:00:00"/>
    <n v="3916000000"/>
    <n v="2403000000"/>
    <n v="920000000"/>
    <n v="104000000"/>
    <n v="0"/>
    <x v="0"/>
    <x v="52"/>
    <n v="0.38636363636363635"/>
    <n v="1513000000"/>
    <n v="0.12487231869254341"/>
    <n v="489000000"/>
  </r>
  <r>
    <s v="XYL"/>
    <n v="4"/>
    <x v="3"/>
    <d v="2015-12-31T00:00:00"/>
    <n v="3653000000"/>
    <n v="2249000000"/>
    <n v="854000000"/>
    <n v="95000000"/>
    <n v="0"/>
    <x v="0"/>
    <x v="52"/>
    <n v="0.38434163701067614"/>
    <n v="1404000000"/>
    <n v="0.12455516014234876"/>
    <n v="455000000"/>
  </r>
  <r>
    <s v="YHOO"/>
    <n v="1"/>
    <x v="0"/>
    <d v="2012-12-31T00:00:00"/>
    <n v="4986566000"/>
    <n v="1620566000"/>
    <n v="1641819000"/>
    <n v="885824000"/>
    <n v="35819000"/>
    <x v="2"/>
    <x v="15"/>
    <n v="0.67501362661198105"/>
    <n v="3366000000"/>
    <n v="0.16094001362861737"/>
    <n v="802538000"/>
  </r>
  <r>
    <s v="YHOO"/>
    <n v="2"/>
    <x v="1"/>
    <d v="2013-12-31T00:00:00"/>
    <n v="4680380000"/>
    <n v="1349380000"/>
    <n v="1751275000"/>
    <n v="957587000"/>
    <n v="44841000"/>
    <x v="2"/>
    <x v="15"/>
    <n v="0.71169434960409195"/>
    <n v="3331000000"/>
    <n v="0.12334404471431806"/>
    <n v="577297000"/>
  </r>
  <r>
    <s v="YHOO"/>
    <n v="3"/>
    <x v="2"/>
    <d v="2014-12-31T00:00:00"/>
    <n v="4618133000"/>
    <n v="1387375000"/>
    <n v="1770710000"/>
    <n v="1156386000"/>
    <n v="66750000"/>
    <x v="2"/>
    <x v="15"/>
    <n v="0.69958097785403761"/>
    <n v="3230758000"/>
    <n v="5.1300384809185876E-2"/>
    <n v="236912000"/>
  </r>
  <r>
    <s v="YHOO"/>
    <n v="4"/>
    <x v="3"/>
    <d v="2015-12-31T00:00:00"/>
    <n v="4968301000"/>
    <n v="2077748000"/>
    <n v="1768522000"/>
    <n v="1177923000"/>
    <n v="79042000"/>
    <x v="2"/>
    <x v="15"/>
    <n v="0.58179908986995754"/>
    <n v="2890553000"/>
    <n v="-2.7158982517363581E-2"/>
    <n v="-134934000"/>
  </r>
  <r>
    <s v="YUM"/>
    <n v="1"/>
    <x v="0"/>
    <d v="2012-12-29T00:00:00"/>
    <n v="13633000000"/>
    <n v="9852000000"/>
    <n v="1450000000"/>
    <n v="0"/>
    <n v="0"/>
    <x v="1"/>
    <x v="50"/>
    <n v="0.2773417442969266"/>
    <n v="3781000000"/>
    <n v="0.17098217560331549"/>
    <n v="2331000000"/>
  </r>
  <r>
    <s v="YUM"/>
    <n v="2"/>
    <x v="1"/>
    <d v="2013-12-28T00:00:00"/>
    <n v="13084000000"/>
    <n v="9501000000"/>
    <n v="1454000000"/>
    <n v="0"/>
    <n v="0"/>
    <x v="1"/>
    <x v="50"/>
    <n v="0.27384591867930297"/>
    <n v="3583000000"/>
    <n v="0.16271782329562826"/>
    <n v="2129000000"/>
  </r>
  <r>
    <s v="YUM"/>
    <n v="3"/>
    <x v="2"/>
    <d v="2014-12-27T00:00:00"/>
    <n v="13279000000"/>
    <n v="9682000000"/>
    <n v="1505000000"/>
    <n v="0"/>
    <n v="0"/>
    <x v="1"/>
    <x v="50"/>
    <n v="0.27087883123729195"/>
    <n v="3597000000"/>
    <n v="0.15754198358310115"/>
    <n v="2092000000"/>
  </r>
  <r>
    <s v="YUM"/>
    <n v="4"/>
    <x v="3"/>
    <d v="2015-12-26T00:00:00"/>
    <n v="13105000000"/>
    <n v="9359000000"/>
    <n v="1746000000"/>
    <n v="0"/>
    <n v="0"/>
    <x v="1"/>
    <x v="50"/>
    <n v="0.28584509729111029"/>
    <n v="3746000000"/>
    <n v="0.15261350629530712"/>
    <n v="2000000000"/>
  </r>
  <r>
    <s v="XRAY"/>
    <n v="1"/>
    <x v="0"/>
    <d v="2012-12-31T00:00:00"/>
    <n v="2928429000"/>
    <n v="1372042000"/>
    <n v="1148731000"/>
    <n v="0"/>
    <n v="0"/>
    <x v="10"/>
    <x v="101"/>
    <n v="0.53147506734839745"/>
    <n v="1556387000"/>
    <n v="0.13920637993955121"/>
    <n v="407656000"/>
  </r>
  <r>
    <s v="XRAY"/>
    <n v="2"/>
    <x v="1"/>
    <d v="2013-12-31T00:00:00"/>
    <n v="2950800000"/>
    <n v="1373400000"/>
    <n v="1144800000"/>
    <n v="0"/>
    <n v="0"/>
    <x v="10"/>
    <x v="101"/>
    <n v="0.53456689711264738"/>
    <n v="1577400000"/>
    <n v="0.14660431069540464"/>
    <n v="432600000"/>
  </r>
  <r>
    <s v="XRAY"/>
    <n v="3"/>
    <x v="2"/>
    <d v="2014-12-31T00:00:00"/>
    <n v="2922600000"/>
    <n v="1322800000"/>
    <n v="1143100000"/>
    <n v="0"/>
    <n v="0"/>
    <x v="10"/>
    <x v="101"/>
    <n v="0.54738931088756582"/>
    <n v="1599800000"/>
    <n v="0.15626496954766303"/>
    <n v="456700000"/>
  </r>
  <r>
    <s v="XRAY"/>
    <n v="4"/>
    <x v="3"/>
    <d v="2015-12-31T00:00:00"/>
    <n v="2674300000"/>
    <n v="1157100000"/>
    <n v="1077300000"/>
    <n v="0"/>
    <n v="0"/>
    <x v="10"/>
    <x v="101"/>
    <n v="0.56732602924129671"/>
    <n v="1517200000"/>
    <n v="0.16449164267284896"/>
    <n v="439900000"/>
  </r>
  <r>
    <s v="ZBH"/>
    <n v="1"/>
    <x v="0"/>
    <d v="2012-12-31T00:00:00"/>
    <n v="4471700000"/>
    <n v="1125200000"/>
    <n v="1822100000"/>
    <n v="225600000"/>
    <n v="0"/>
    <x v="10"/>
    <x v="86"/>
    <n v="0.74837310195227769"/>
    <n v="3346500000"/>
    <n v="0.29044882259543353"/>
    <n v="1298800000"/>
  </r>
  <r>
    <s v="ZBH"/>
    <n v="2"/>
    <x v="1"/>
    <d v="2013-12-31T00:00:00"/>
    <n v="4623400000"/>
    <n v="1266700000"/>
    <n v="1796300000"/>
    <n v="203000000"/>
    <n v="78500000"/>
    <x v="10"/>
    <x v="86"/>
    <n v="0.72602413808020072"/>
    <n v="3356700000"/>
    <n v="0.27661461262274517"/>
    <n v="1278900000"/>
  </r>
  <r>
    <s v="ZBH"/>
    <n v="3"/>
    <x v="2"/>
    <d v="2014-12-31T00:00:00"/>
    <n v="4673300000"/>
    <n v="1242800000"/>
    <n v="1772200000"/>
    <n v="187400000"/>
    <n v="92500000"/>
    <x v="10"/>
    <x v="86"/>
    <n v="0.73406372370701645"/>
    <n v="3430500000"/>
    <n v="0.29495217512250443"/>
    <n v="1378400000"/>
  </r>
  <r>
    <s v="ZBH"/>
    <n v="4"/>
    <x v="3"/>
    <d v="2015-12-31T00:00:00"/>
    <n v="5997800000"/>
    <n v="1800600000"/>
    <n v="2291900000"/>
    <n v="268800000"/>
    <n v="337400000"/>
    <x v="10"/>
    <x v="86"/>
    <n v="0.69978992297175635"/>
    <n v="4197200000"/>
    <n v="0.21659608523125146"/>
    <n v="1299100000"/>
  </r>
  <r>
    <s v="ZTS"/>
    <n v="1"/>
    <x v="1"/>
    <d v="2013-12-31T00:00:00"/>
    <n v="4561000000"/>
    <n v="1669000000"/>
    <n v="1613000000"/>
    <n v="399000000"/>
    <n v="60000000"/>
    <x v="10"/>
    <x v="83"/>
    <n v="0.63407147555360666"/>
    <n v="2892000000"/>
    <n v="0.17978513483885114"/>
    <n v="820000000"/>
  </r>
  <r>
    <s v="ZTS"/>
    <n v="2"/>
    <x v="2"/>
    <d v="2014-12-31T00:00:00"/>
    <n v="4785000000"/>
    <n v="1717000000"/>
    <n v="1643000000"/>
    <n v="396000000"/>
    <n v="60000000"/>
    <x v="10"/>
    <x v="83"/>
    <n v="0.64117032392894457"/>
    <n v="3068000000"/>
    <n v="0.2025078369905956"/>
    <n v="969000000"/>
  </r>
  <r>
    <s v="ZTS"/>
    <n v="3"/>
    <x v="3"/>
    <d v="2015-12-31T00:00:00"/>
    <n v="4765000000"/>
    <n v="1738000000"/>
    <n v="1532000000"/>
    <n v="364000000"/>
    <n v="61000000"/>
    <x v="10"/>
    <x v="83"/>
    <n v="0.63525708289611749"/>
    <n v="3027000000"/>
    <n v="0.22455403987408185"/>
    <n v="1070000000"/>
  </r>
  <r>
    <s v="ZTS"/>
    <n v="4"/>
    <x v="4"/>
    <d v="2016-12-31T00:00:00"/>
    <n v="4888000000"/>
    <n v="1666000000"/>
    <n v="1364000000"/>
    <n v="376000000"/>
    <n v="85000000"/>
    <x v="10"/>
    <x v="83"/>
    <n v="0.6591653027823241"/>
    <n v="3222000000"/>
    <n v="0.28580196399345337"/>
    <n v="1397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2912E6-F15E-4109-874B-C3C7B5D97C82}"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1:B12" firstHeaderRow="1" firstDataRow="1" firstDataCol="1"/>
  <pivotFields count="15">
    <pivotField axis="axisRow" showAll="0" measureFilter="1" sortType="descending">
      <items count="431">
        <item x="429"/>
        <item x="188"/>
        <item x="428"/>
        <item x="426"/>
        <item x="425"/>
        <item x="424"/>
        <item x="423"/>
        <item x="427"/>
        <item x="421"/>
        <item x="420"/>
        <item x="186"/>
        <item x="418"/>
        <item x="417"/>
        <item x="416"/>
        <item x="415"/>
        <item x="414"/>
        <item x="413"/>
        <item x="412"/>
        <item x="411"/>
        <item x="410"/>
        <item x="409"/>
        <item x="408"/>
        <item x="407"/>
        <item x="181"/>
        <item x="405"/>
        <item x="404"/>
        <item x="422"/>
        <item x="402"/>
        <item x="401"/>
        <item x="419"/>
        <item x="399"/>
        <item x="398"/>
        <item x="397"/>
        <item x="396"/>
        <item x="395"/>
        <item x="394"/>
        <item x="393"/>
        <item x="406"/>
        <item x="391"/>
        <item x="390"/>
        <item x="179"/>
        <item x="388"/>
        <item x="387"/>
        <item x="386"/>
        <item x="166"/>
        <item x="403"/>
        <item x="383"/>
        <item x="382"/>
        <item x="381"/>
        <item x="380"/>
        <item x="379"/>
        <item x="378"/>
        <item x="377"/>
        <item x="376"/>
        <item x="375"/>
        <item x="374"/>
        <item x="373"/>
        <item x="141"/>
        <item x="371"/>
        <item x="400"/>
        <item x="138"/>
        <item x="368"/>
        <item x="367"/>
        <item x="366"/>
        <item x="365"/>
        <item x="364"/>
        <item x="363"/>
        <item x="362"/>
        <item x="361"/>
        <item x="360"/>
        <item x="359"/>
        <item x="358"/>
        <item x="392"/>
        <item x="121"/>
        <item x="355"/>
        <item x="354"/>
        <item x="353"/>
        <item x="352"/>
        <item x="351"/>
        <item x="107"/>
        <item x="349"/>
        <item x="348"/>
        <item x="347"/>
        <item x="346"/>
        <item x="345"/>
        <item x="344"/>
        <item x="343"/>
        <item x="342"/>
        <item x="341"/>
        <item x="340"/>
        <item x="339"/>
        <item x="338"/>
        <item x="337"/>
        <item x="336"/>
        <item x="335"/>
        <item x="334"/>
        <item x="333"/>
        <item x="332"/>
        <item x="331"/>
        <item x="330"/>
        <item x="329"/>
        <item x="328"/>
        <item x="327"/>
        <item x="389"/>
        <item x="325"/>
        <item x="324"/>
        <item x="323"/>
        <item x="322"/>
        <item x="321"/>
        <item x="320"/>
        <item x="319"/>
        <item x="318"/>
        <item x="105"/>
        <item x="316"/>
        <item x="315"/>
        <item x="314"/>
        <item x="313"/>
        <item x="86"/>
        <item x="311"/>
        <item x="385"/>
        <item x="309"/>
        <item x="308"/>
        <item x="83"/>
        <item x="306"/>
        <item x="81"/>
        <item x="384"/>
        <item x="303"/>
        <item x="302"/>
        <item x="372"/>
        <item x="300"/>
        <item x="299"/>
        <item x="298"/>
        <item x="297"/>
        <item x="77"/>
        <item x="295"/>
        <item x="294"/>
        <item x="293"/>
        <item x="292"/>
        <item x="291"/>
        <item x="290"/>
        <item x="289"/>
        <item x="288"/>
        <item x="287"/>
        <item x="286"/>
        <item x="284"/>
        <item x="283"/>
        <item x="282"/>
        <item x="281"/>
        <item x="280"/>
        <item x="279"/>
        <item x="74"/>
        <item x="277"/>
        <item x="370"/>
        <item x="275"/>
        <item x="274"/>
        <item x="369"/>
        <item x="73"/>
        <item x="271"/>
        <item x="270"/>
        <item x="357"/>
        <item x="268"/>
        <item x="267"/>
        <item x="265"/>
        <item x="264"/>
        <item x="263"/>
        <item x="68"/>
        <item x="261"/>
        <item x="260"/>
        <item x="259"/>
        <item x="258"/>
        <item x="66"/>
        <item x="256"/>
        <item x="65"/>
        <item x="356"/>
        <item x="253"/>
        <item x="252"/>
        <item x="251"/>
        <item x="250"/>
        <item x="248"/>
        <item x="247"/>
        <item x="246"/>
        <item x="245"/>
        <item x="244"/>
        <item x="243"/>
        <item x="242"/>
        <item x="61"/>
        <item x="240"/>
        <item x="239"/>
        <item x="238"/>
        <item x="237"/>
        <item x="350"/>
        <item x="235"/>
        <item x="234"/>
        <item x="233"/>
        <item x="326"/>
        <item x="231"/>
        <item x="230"/>
        <item x="229"/>
        <item x="228"/>
        <item x="227"/>
        <item x="226"/>
        <item x="225"/>
        <item x="224"/>
        <item x="223"/>
        <item x="222"/>
        <item x="221"/>
        <item x="220"/>
        <item x="219"/>
        <item x="59"/>
        <item x="217"/>
        <item x="216"/>
        <item x="55"/>
        <item x="214"/>
        <item x="213"/>
        <item x="212"/>
        <item x="54"/>
        <item x="210"/>
        <item x="317"/>
        <item x="208"/>
        <item x="207"/>
        <item x="206"/>
        <item x="205"/>
        <item x="204"/>
        <item x="312"/>
        <item x="202"/>
        <item x="310"/>
        <item x="200"/>
        <item x="307"/>
        <item x="198"/>
        <item x="197"/>
        <item x="305"/>
        <item x="195"/>
        <item x="194"/>
        <item x="52"/>
        <item x="192"/>
        <item x="191"/>
        <item x="190"/>
        <item x="189"/>
        <item x="304"/>
        <item x="187"/>
        <item x="50"/>
        <item x="185"/>
        <item x="184"/>
        <item x="183"/>
        <item x="182"/>
        <item x="301"/>
        <item x="180"/>
        <item x="49"/>
        <item x="178"/>
        <item x="177"/>
        <item x="176"/>
        <item x="175"/>
        <item x="174"/>
        <item x="173"/>
        <item x="172"/>
        <item x="171"/>
        <item x="170"/>
        <item x="169"/>
        <item x="168"/>
        <item x="167"/>
        <item x="296"/>
        <item x="165"/>
        <item x="164"/>
        <item x="163"/>
        <item x="162"/>
        <item x="161"/>
        <item x="160"/>
        <item x="159"/>
        <item x="158"/>
        <item x="157"/>
        <item x="156"/>
        <item x="155"/>
        <item x="154"/>
        <item x="153"/>
        <item x="152"/>
        <item x="151"/>
        <item x="150"/>
        <item x="149"/>
        <item x="148"/>
        <item x="147"/>
        <item x="146"/>
        <item x="145"/>
        <item x="144"/>
        <item x="143"/>
        <item x="142"/>
        <item x="278"/>
        <item x="140"/>
        <item x="139"/>
        <item x="47"/>
        <item x="137"/>
        <item x="136"/>
        <item x="135"/>
        <item x="134"/>
        <item x="133"/>
        <item x="132"/>
        <item x="131"/>
        <item x="130"/>
        <item x="129"/>
        <item x="128"/>
        <item x="127"/>
        <item x="126"/>
        <item x="125"/>
        <item x="124"/>
        <item x="123"/>
        <item x="122"/>
        <item x="276"/>
        <item x="120"/>
        <item x="119"/>
        <item x="118"/>
        <item x="117"/>
        <item x="116"/>
        <item x="115"/>
        <item x="114"/>
        <item x="113"/>
        <item x="112"/>
        <item x="111"/>
        <item x="110"/>
        <item x="109"/>
        <item x="108"/>
        <item x="273"/>
        <item x="106"/>
        <item x="45"/>
        <item x="104"/>
        <item x="103"/>
        <item x="102"/>
        <item x="101"/>
        <item x="100"/>
        <item x="99"/>
        <item x="98"/>
        <item x="97"/>
        <item x="96"/>
        <item x="95"/>
        <item x="94"/>
        <item x="93"/>
        <item x="92"/>
        <item x="91"/>
        <item x="90"/>
        <item x="89"/>
        <item x="88"/>
        <item x="87"/>
        <item x="272"/>
        <item x="85"/>
        <item x="84"/>
        <item x="44"/>
        <item x="82"/>
        <item x="269"/>
        <item x="80"/>
        <item x="79"/>
        <item x="78"/>
        <item x="40"/>
        <item x="76"/>
        <item x="75"/>
        <item x="30"/>
        <item x="262"/>
        <item x="72"/>
        <item x="71"/>
        <item x="70"/>
        <item x="69"/>
        <item x="26"/>
        <item x="67"/>
        <item x="257"/>
        <item x="255"/>
        <item x="64"/>
        <item x="63"/>
        <item x="62"/>
        <item x="25"/>
        <item x="60"/>
        <item x="254"/>
        <item x="58"/>
        <item x="57"/>
        <item x="56"/>
        <item x="241"/>
        <item x="236"/>
        <item x="53"/>
        <item x="232"/>
        <item x="51"/>
        <item x="218"/>
        <item x="215"/>
        <item x="48"/>
        <item x="22"/>
        <item x="46"/>
        <item x="211"/>
        <item x="20"/>
        <item x="43"/>
        <item x="42"/>
        <item x="41"/>
        <item x="16"/>
        <item x="39"/>
        <item x="38"/>
        <item x="37"/>
        <item x="36"/>
        <item x="35"/>
        <item x="34"/>
        <item x="33"/>
        <item x="32"/>
        <item x="31"/>
        <item x="209"/>
        <item x="29"/>
        <item x="28"/>
        <item x="27"/>
        <item x="14"/>
        <item x="203"/>
        <item x="24"/>
        <item x="23"/>
        <item x="201"/>
        <item x="21"/>
        <item x="13"/>
        <item x="19"/>
        <item x="18"/>
        <item x="17"/>
        <item x="5"/>
        <item x="15"/>
        <item x="4"/>
        <item x="3"/>
        <item x="12"/>
        <item x="11"/>
        <item x="10"/>
        <item x="9"/>
        <item x="8"/>
        <item x="7"/>
        <item x="6"/>
        <item x="199"/>
        <item x="196"/>
        <item x="193"/>
        <item x="2"/>
        <item x="1"/>
        <item x="0"/>
        <item x="266"/>
        <item x="285"/>
        <item x="249"/>
        <item t="default"/>
      </items>
      <autoSortScope>
        <pivotArea dataOnly="0" outline="0" fieldPosition="0">
          <references count="1">
            <reference field="4294967294" count="1" selected="0">
              <x v="0"/>
            </reference>
          </references>
        </pivotArea>
      </autoSortScope>
    </pivotField>
    <pivotField showAll="0"/>
    <pivotField showAll="0"/>
    <pivotField numFmtId="14" showAll="0">
      <items count="163">
        <item x="68"/>
        <item x="69"/>
        <item x="70"/>
        <item x="71"/>
        <item x="46"/>
        <item x="41"/>
        <item x="4"/>
        <item x="157"/>
        <item x="0"/>
        <item x="138"/>
        <item x="21"/>
        <item x="91"/>
        <item x="96"/>
        <item x="109"/>
        <item x="119"/>
        <item x="42"/>
        <item x="150"/>
        <item x="122"/>
        <item x="97"/>
        <item x="134"/>
        <item x="158"/>
        <item x="49"/>
        <item x="53"/>
        <item x="85"/>
        <item x="112"/>
        <item x="152"/>
        <item x="61"/>
        <item x="76"/>
        <item x="72"/>
        <item x="106"/>
        <item x="130"/>
        <item x="34"/>
        <item x="65"/>
        <item x="116"/>
        <item x="8"/>
        <item x="143"/>
        <item x="29"/>
        <item x="161"/>
        <item x="25"/>
        <item x="88"/>
        <item x="17"/>
        <item x="13"/>
        <item x="57"/>
        <item x="5"/>
        <item x="103"/>
        <item x="1"/>
        <item x="139"/>
        <item x="22"/>
        <item x="47"/>
        <item x="110"/>
        <item x="120"/>
        <item x="43"/>
        <item x="151"/>
        <item x="123"/>
        <item x="98"/>
        <item x="135"/>
        <item x="159"/>
        <item x="50"/>
        <item x="54"/>
        <item x="86"/>
        <item x="113"/>
        <item x="153"/>
        <item x="126"/>
        <item x="62"/>
        <item x="77"/>
        <item x="107"/>
        <item x="73"/>
        <item x="131"/>
        <item x="38"/>
        <item x="35"/>
        <item x="117"/>
        <item x="9"/>
        <item x="144"/>
        <item x="30"/>
        <item x="149"/>
        <item x="26"/>
        <item x="89"/>
        <item x="18"/>
        <item x="14"/>
        <item x="58"/>
        <item x="82"/>
        <item x="101"/>
        <item x="104"/>
        <item x="2"/>
        <item x="6"/>
        <item x="140"/>
        <item x="92"/>
        <item x="23"/>
        <item x="111"/>
        <item x="148"/>
        <item x="44"/>
        <item x="124"/>
        <item x="99"/>
        <item x="80"/>
        <item x="136"/>
        <item x="160"/>
        <item x="51"/>
        <item x="55"/>
        <item x="154"/>
        <item x="127"/>
        <item x="63"/>
        <item x="114"/>
        <item x="78"/>
        <item x="108"/>
        <item x="74"/>
        <item x="39"/>
        <item x="66"/>
        <item x="36"/>
        <item x="132"/>
        <item x="156"/>
        <item x="10"/>
        <item x="145"/>
        <item x="31"/>
        <item x="118"/>
        <item x="94"/>
        <item x="27"/>
        <item x="19"/>
        <item x="33"/>
        <item x="15"/>
        <item x="59"/>
        <item x="83"/>
        <item x="102"/>
        <item x="105"/>
        <item x="3"/>
        <item x="7"/>
        <item x="141"/>
        <item x="93"/>
        <item x="48"/>
        <item x="24"/>
        <item x="45"/>
        <item x="121"/>
        <item x="100"/>
        <item x="81"/>
        <item x="125"/>
        <item x="137"/>
        <item x="52"/>
        <item x="56"/>
        <item x="87"/>
        <item x="129"/>
        <item x="64"/>
        <item x="115"/>
        <item x="155"/>
        <item x="128"/>
        <item x="79"/>
        <item x="75"/>
        <item x="40"/>
        <item x="67"/>
        <item x="37"/>
        <item x="133"/>
        <item x="11"/>
        <item x="146"/>
        <item x="32"/>
        <item x="95"/>
        <item x="147"/>
        <item x="20"/>
        <item x="28"/>
        <item x="90"/>
        <item x="60"/>
        <item x="16"/>
        <item x="84"/>
        <item x="12"/>
        <item x="142"/>
        <item t="default"/>
      </items>
    </pivotField>
    <pivotField numFmtId="3" showAll="0"/>
    <pivotField showAll="0"/>
    <pivotField showAll="0"/>
    <pivotField showAll="0"/>
    <pivotField showAll="0"/>
    <pivotField showAll="0"/>
    <pivotField showAll="0"/>
    <pivotField numFmtId="166" showAll="0"/>
    <pivotField numFmtId="3" showAll="0"/>
    <pivotField numFmtId="166" showAll="0"/>
    <pivotField dataField="1" numFmtId="3" showAll="0"/>
  </pivotFields>
  <rowFields count="1">
    <field x="0"/>
  </rowFields>
  <rowItems count="11">
    <i>
      <x v="424"/>
    </i>
    <i>
      <x v="8"/>
    </i>
    <i>
      <x v="23"/>
    </i>
    <i>
      <x v="211"/>
    </i>
    <i>
      <x v="18"/>
    </i>
    <i>
      <x v="328"/>
    </i>
    <i>
      <x v="157"/>
    </i>
    <i>
      <x v="27"/>
    </i>
    <i>
      <x v="382"/>
    </i>
    <i>
      <x v="327"/>
    </i>
    <i t="grand">
      <x/>
    </i>
  </rowItems>
  <colItems count="1">
    <i/>
  </colItems>
  <dataFields count="1">
    <dataField name="Sum of Operating Profit" fld="14" baseField="0" baseItem="0" numFmtId="3"/>
  </dataFields>
  <chartFormats count="1">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3" type="dateBetween" evalOrder="-1" id="18" name="Period Ending">
      <autoFilter ref="A1">
        <filterColumn colId="0">
          <customFilters and="1">
            <customFilter operator="greaterThanOrEqual" val="42370"/>
            <customFilter operator="lessThanOrEqual" val="42735"/>
          </customFilters>
        </filterColumn>
      </autoFilter>
      <extLst>
        <ext xmlns:x15="http://schemas.microsoft.com/office/spreadsheetml/2010/11/main" uri="{0605FD5F-26C8-4aeb-8148-2DB25E43C511}">
          <x15:pivotFilter useWholeDay="1"/>
        </ext>
      </extLst>
    </filter>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E595A6-8BEE-4F57-8475-5BB8C53B14B6}"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0:B56" firstHeaderRow="1" firstDataRow="1" firstDataCol="1"/>
  <pivotFields count="15">
    <pivotField showAll="0"/>
    <pivotField showAll="0"/>
    <pivotField showAll="0">
      <items count="11">
        <item h="1" x="5"/>
        <item h="1" x="6"/>
        <item h="1" x="7"/>
        <item h="1" x="8"/>
        <item h="1" x="0"/>
        <item h="1" x="1"/>
        <item x="2"/>
        <item h="1" x="3"/>
        <item h="1" x="4"/>
        <item h="1" x="9"/>
        <item t="default"/>
      </items>
    </pivotField>
    <pivotField numFmtId="14" showAll="0"/>
    <pivotField numFmtId="3" showAll="0"/>
    <pivotField showAll="0"/>
    <pivotField showAll="0"/>
    <pivotField showAll="0"/>
    <pivotField showAll="0"/>
    <pivotField showAll="0">
      <items count="12">
        <item h="1" x="1"/>
        <item h="1" x="4"/>
        <item x="8"/>
        <item h="1" x="3"/>
        <item h="1" x="10"/>
        <item h="1" x="0"/>
        <item h="1" x="2"/>
        <item h="1" x="7"/>
        <item h="1" x="6"/>
        <item h="1" x="9"/>
        <item h="1" x="5"/>
        <item t="default"/>
      </items>
    </pivotField>
    <pivotField axis="axisRow" showAll="0" measureFilter="1" sortType="descending">
      <items count="121">
        <item x="88"/>
        <item x="28"/>
        <item x="8"/>
        <item x="47"/>
        <item x="0"/>
        <item x="95"/>
        <item x="70"/>
        <item x="78"/>
        <item x="6"/>
        <item x="12"/>
        <item x="36"/>
        <item x="68"/>
        <item x="1"/>
        <item x="17"/>
        <item x="87"/>
        <item x="114"/>
        <item x="64"/>
        <item x="18"/>
        <item x="48"/>
        <item x="119"/>
        <item x="33"/>
        <item x="2"/>
        <item x="111"/>
        <item x="38"/>
        <item x="98"/>
        <item x="74"/>
        <item x="14"/>
        <item x="69"/>
        <item x="9"/>
        <item x="91"/>
        <item x="112"/>
        <item x="94"/>
        <item x="61"/>
        <item x="72"/>
        <item x="42"/>
        <item x="58"/>
        <item x="60"/>
        <item x="11"/>
        <item x="20"/>
        <item x="27"/>
        <item x="71"/>
        <item x="115"/>
        <item x="118"/>
        <item x="43"/>
        <item x="113"/>
        <item x="93"/>
        <item x="62"/>
        <item x="103"/>
        <item x="85"/>
        <item x="86"/>
        <item x="102"/>
        <item x="101"/>
        <item x="96"/>
        <item x="29"/>
        <item x="97"/>
        <item x="79"/>
        <item x="63"/>
        <item x="41"/>
        <item x="110"/>
        <item x="45"/>
        <item x="105"/>
        <item x="108"/>
        <item x="53"/>
        <item x="52"/>
        <item x="26"/>
        <item x="51"/>
        <item x="76"/>
        <item x="44"/>
        <item x="46"/>
        <item x="59"/>
        <item x="23"/>
        <item x="15"/>
        <item x="32"/>
        <item x="56"/>
        <item x="77"/>
        <item x="3"/>
        <item x="107"/>
        <item x="89"/>
        <item x="35"/>
        <item x="80"/>
        <item x="5"/>
        <item x="39"/>
        <item x="10"/>
        <item x="55"/>
        <item x="109"/>
        <item x="81"/>
        <item x="34"/>
        <item x="25"/>
        <item x="92"/>
        <item x="37"/>
        <item x="30"/>
        <item x="54"/>
        <item x="83"/>
        <item x="4"/>
        <item x="116"/>
        <item x="57"/>
        <item x="40"/>
        <item x="21"/>
        <item x="13"/>
        <item x="65"/>
        <item x="67"/>
        <item x="50"/>
        <item x="73"/>
        <item x="19"/>
        <item x="7"/>
        <item x="66"/>
        <item x="22"/>
        <item x="16"/>
        <item x="117"/>
        <item x="24"/>
        <item x="104"/>
        <item x="100"/>
        <item x="82"/>
        <item x="106"/>
        <item x="84"/>
        <item x="49"/>
        <item x="75"/>
        <item x="99"/>
        <item x="90"/>
        <item x="31"/>
        <item t="default"/>
      </items>
      <autoSortScope>
        <pivotArea dataOnly="0" outline="0" fieldPosition="0">
          <references count="1">
            <reference field="4294967294" count="1" selected="0">
              <x v="0"/>
            </reference>
          </references>
        </pivotArea>
      </autoSortScope>
    </pivotField>
    <pivotField numFmtId="166" showAll="0"/>
    <pivotField numFmtId="3" showAll="0"/>
    <pivotField dataField="1" numFmtId="166" showAll="0"/>
    <pivotField numFmtId="3" showAll="0"/>
  </pivotFields>
  <rowFields count="1">
    <field x="10"/>
  </rowFields>
  <rowItems count="6">
    <i>
      <x v="87"/>
    </i>
    <i>
      <x v="85"/>
    </i>
    <i>
      <x v="68"/>
    </i>
    <i>
      <x v="86"/>
    </i>
    <i>
      <x v="88"/>
    </i>
    <i t="grand">
      <x/>
    </i>
  </rowItems>
  <colItems count="1">
    <i/>
  </colItems>
  <dataFields count="1">
    <dataField name="Average of Operating Margin" fld="13" subtotal="average" baseField="10" baseItem="0" numFmtId="166"/>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4C574C-8633-42CF-8776-D9A12E5CE1D7}"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2:B48" firstHeaderRow="1" firstDataRow="1" firstDataCol="1"/>
  <pivotFields count="15">
    <pivotField showAll="0"/>
    <pivotField showAll="0"/>
    <pivotField showAll="0">
      <items count="11">
        <item h="1" x="5"/>
        <item h="1" x="6"/>
        <item h="1" x="7"/>
        <item h="1" x="8"/>
        <item h="1" x="0"/>
        <item h="1" x="1"/>
        <item x="2"/>
        <item h="1" x="3"/>
        <item h="1" x="4"/>
        <item h="1" x="9"/>
        <item t="default"/>
      </items>
    </pivotField>
    <pivotField numFmtId="14" showAll="0"/>
    <pivotField numFmtId="3" showAll="0"/>
    <pivotField showAll="0"/>
    <pivotField showAll="0"/>
    <pivotField showAll="0"/>
    <pivotField showAll="0"/>
    <pivotField showAll="0"/>
    <pivotField axis="axisRow" showAll="0" measureFilter="1" sortType="descending">
      <items count="121">
        <item x="88"/>
        <item x="28"/>
        <item x="8"/>
        <item x="47"/>
        <item x="0"/>
        <item x="95"/>
        <item x="70"/>
        <item x="78"/>
        <item x="6"/>
        <item x="12"/>
        <item x="36"/>
        <item x="68"/>
        <item x="1"/>
        <item x="17"/>
        <item x="87"/>
        <item x="114"/>
        <item x="64"/>
        <item x="18"/>
        <item x="48"/>
        <item x="119"/>
        <item x="33"/>
        <item x="2"/>
        <item x="111"/>
        <item x="38"/>
        <item x="98"/>
        <item x="74"/>
        <item x="14"/>
        <item x="69"/>
        <item x="9"/>
        <item x="91"/>
        <item x="112"/>
        <item x="94"/>
        <item x="61"/>
        <item x="72"/>
        <item x="42"/>
        <item x="58"/>
        <item x="60"/>
        <item x="11"/>
        <item x="20"/>
        <item x="27"/>
        <item x="71"/>
        <item x="115"/>
        <item x="118"/>
        <item x="43"/>
        <item x="113"/>
        <item x="93"/>
        <item x="62"/>
        <item x="103"/>
        <item x="85"/>
        <item x="86"/>
        <item x="102"/>
        <item x="101"/>
        <item x="96"/>
        <item x="29"/>
        <item x="97"/>
        <item x="79"/>
        <item x="63"/>
        <item x="41"/>
        <item x="110"/>
        <item x="45"/>
        <item x="105"/>
        <item x="108"/>
        <item x="53"/>
        <item x="52"/>
        <item x="26"/>
        <item x="51"/>
        <item x="76"/>
        <item x="44"/>
        <item x="46"/>
        <item x="59"/>
        <item x="23"/>
        <item x="15"/>
        <item x="32"/>
        <item x="56"/>
        <item x="77"/>
        <item x="3"/>
        <item x="107"/>
        <item x="89"/>
        <item x="35"/>
        <item x="80"/>
        <item x="5"/>
        <item x="39"/>
        <item x="10"/>
        <item x="55"/>
        <item x="109"/>
        <item x="81"/>
        <item x="34"/>
        <item x="25"/>
        <item x="92"/>
        <item x="37"/>
        <item x="30"/>
        <item x="54"/>
        <item x="83"/>
        <item x="4"/>
        <item x="116"/>
        <item x="57"/>
        <item x="40"/>
        <item x="21"/>
        <item x="13"/>
        <item x="65"/>
        <item x="67"/>
        <item x="50"/>
        <item x="73"/>
        <item x="19"/>
        <item x="7"/>
        <item x="66"/>
        <item x="22"/>
        <item x="16"/>
        <item x="117"/>
        <item x="24"/>
        <item x="104"/>
        <item x="100"/>
        <item x="82"/>
        <item x="106"/>
        <item x="84"/>
        <item x="49"/>
        <item x="75"/>
        <item x="99"/>
        <item x="90"/>
        <item x="31"/>
        <item t="default"/>
      </items>
      <autoSortScope>
        <pivotArea dataOnly="0" outline="0" fieldPosition="0">
          <references count="1">
            <reference field="4294967294" count="1" selected="0">
              <x v="0"/>
            </reference>
          </references>
        </pivotArea>
      </autoSortScope>
    </pivotField>
    <pivotField numFmtId="166" showAll="0"/>
    <pivotField numFmtId="3" showAll="0"/>
    <pivotField dataField="1" numFmtId="166" showAll="0"/>
    <pivotField numFmtId="3" showAll="0"/>
  </pivotFields>
  <rowFields count="1">
    <field x="10"/>
  </rowFields>
  <rowItems count="6">
    <i>
      <x v="102"/>
    </i>
    <i>
      <x v="106"/>
    </i>
    <i>
      <x v="72"/>
    </i>
    <i>
      <x v="119"/>
    </i>
    <i>
      <x v="26"/>
    </i>
    <i t="grand">
      <x/>
    </i>
  </rowItems>
  <colItems count="1">
    <i/>
  </colItems>
  <dataFields count="1">
    <dataField name="Average of Operating Margin" fld="13" subtotal="average" baseField="10" baseItem="0" numFmtId="166"/>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15DD8E-DFEC-4271-A8DB-06345217178E}"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8:B40" firstHeaderRow="1" firstDataRow="1" firstDataCol="1"/>
  <pivotFields count="15">
    <pivotField showAll="0"/>
    <pivotField showAll="0"/>
    <pivotField showAll="0">
      <items count="11">
        <item h="1" x="5"/>
        <item h="1" x="6"/>
        <item h="1" x="7"/>
        <item h="1" x="8"/>
        <item h="1" x="0"/>
        <item h="1" x="1"/>
        <item x="2"/>
        <item h="1" x="3"/>
        <item h="1" x="4"/>
        <item h="1" x="9"/>
        <item t="default"/>
      </items>
    </pivotField>
    <pivotField numFmtId="14" showAll="0"/>
    <pivotField numFmtId="3" showAll="0"/>
    <pivotField showAll="0"/>
    <pivotField showAll="0"/>
    <pivotField showAll="0"/>
    <pivotField showAll="0"/>
    <pivotField axis="axisRow" dataField="1" showAll="0" sortType="descending">
      <items count="12">
        <item x="1"/>
        <item x="4"/>
        <item x="8"/>
        <item x="3"/>
        <item x="10"/>
        <item x="0"/>
        <item x="2"/>
        <item x="7"/>
        <item x="6"/>
        <item x="9"/>
        <item x="5"/>
        <item t="default"/>
      </items>
      <autoSortScope>
        <pivotArea dataOnly="0" outline="0" fieldPosition="0">
          <references count="1">
            <reference field="4294967294" count="1" selected="0">
              <x v="0"/>
            </reference>
          </references>
        </pivotArea>
      </autoSortScope>
    </pivotField>
    <pivotField showAll="0"/>
    <pivotField numFmtId="166" showAll="0"/>
    <pivotField numFmtId="3" showAll="0"/>
    <pivotField numFmtId="166" showAll="0"/>
    <pivotField numFmtId="3" showAll="0"/>
  </pivotFields>
  <rowFields count="1">
    <field x="9"/>
  </rowFields>
  <rowItems count="12">
    <i>
      <x/>
    </i>
    <i>
      <x v="5"/>
    </i>
    <i>
      <x v="6"/>
    </i>
    <i>
      <x v="4"/>
    </i>
    <i>
      <x v="3"/>
    </i>
    <i>
      <x v="1"/>
    </i>
    <i>
      <x v="2"/>
    </i>
    <i>
      <x v="8"/>
    </i>
    <i>
      <x v="10"/>
    </i>
    <i>
      <x v="7"/>
    </i>
    <i>
      <x v="9"/>
    </i>
    <i t="grand">
      <x/>
    </i>
  </rowItems>
  <colItems count="1">
    <i/>
  </colItems>
  <dataFields count="1">
    <dataField name="Count of GICS Sector" fld="9" subtotal="count" baseField="0" baseItem="0"/>
  </dataFields>
  <chartFormats count="13">
    <chartFormat chart="0" format="0" series="1">
      <pivotArea type="data" outline="0" fieldPosition="0">
        <references count="1">
          <reference field="4294967294" count="1" selected="0">
            <x v="0"/>
          </reference>
        </references>
      </pivotArea>
    </chartFormat>
    <chartFormat chart="3" format="13" series="1">
      <pivotArea type="data" outline="0" fieldPosition="0">
        <references count="1">
          <reference field="4294967294" count="1" selected="0">
            <x v="0"/>
          </reference>
        </references>
      </pivotArea>
    </chartFormat>
    <chartFormat chart="3" format="14">
      <pivotArea type="data" outline="0" fieldPosition="0">
        <references count="2">
          <reference field="4294967294" count="1" selected="0">
            <x v="0"/>
          </reference>
          <reference field="9" count="1" selected="0">
            <x v="0"/>
          </reference>
        </references>
      </pivotArea>
    </chartFormat>
    <chartFormat chart="3" format="15">
      <pivotArea type="data" outline="0" fieldPosition="0">
        <references count="2">
          <reference field="4294967294" count="1" selected="0">
            <x v="0"/>
          </reference>
          <reference field="9" count="1" selected="0">
            <x v="5"/>
          </reference>
        </references>
      </pivotArea>
    </chartFormat>
    <chartFormat chart="3" format="16">
      <pivotArea type="data" outline="0" fieldPosition="0">
        <references count="2">
          <reference field="4294967294" count="1" selected="0">
            <x v="0"/>
          </reference>
          <reference field="9" count="1" selected="0">
            <x v="6"/>
          </reference>
        </references>
      </pivotArea>
    </chartFormat>
    <chartFormat chart="3" format="17">
      <pivotArea type="data" outline="0" fieldPosition="0">
        <references count="2">
          <reference field="4294967294" count="1" selected="0">
            <x v="0"/>
          </reference>
          <reference field="9" count="1" selected="0">
            <x v="4"/>
          </reference>
        </references>
      </pivotArea>
    </chartFormat>
    <chartFormat chart="3" format="18">
      <pivotArea type="data" outline="0" fieldPosition="0">
        <references count="2">
          <reference field="4294967294" count="1" selected="0">
            <x v="0"/>
          </reference>
          <reference field="9" count="1" selected="0">
            <x v="3"/>
          </reference>
        </references>
      </pivotArea>
    </chartFormat>
    <chartFormat chart="3" format="19">
      <pivotArea type="data" outline="0" fieldPosition="0">
        <references count="2">
          <reference field="4294967294" count="1" selected="0">
            <x v="0"/>
          </reference>
          <reference field="9" count="1" selected="0">
            <x v="1"/>
          </reference>
        </references>
      </pivotArea>
    </chartFormat>
    <chartFormat chart="3" format="20">
      <pivotArea type="data" outline="0" fieldPosition="0">
        <references count="2">
          <reference field="4294967294" count="1" selected="0">
            <x v="0"/>
          </reference>
          <reference field="9" count="1" selected="0">
            <x v="2"/>
          </reference>
        </references>
      </pivotArea>
    </chartFormat>
    <chartFormat chart="3" format="21">
      <pivotArea type="data" outline="0" fieldPosition="0">
        <references count="2">
          <reference field="4294967294" count="1" selected="0">
            <x v="0"/>
          </reference>
          <reference field="9" count="1" selected="0">
            <x v="8"/>
          </reference>
        </references>
      </pivotArea>
    </chartFormat>
    <chartFormat chart="3" format="22">
      <pivotArea type="data" outline="0" fieldPosition="0">
        <references count="2">
          <reference field="4294967294" count="1" selected="0">
            <x v="0"/>
          </reference>
          <reference field="9" count="1" selected="0">
            <x v="10"/>
          </reference>
        </references>
      </pivotArea>
    </chartFormat>
    <chartFormat chart="3" format="23">
      <pivotArea type="data" outline="0" fieldPosition="0">
        <references count="2">
          <reference field="4294967294" count="1" selected="0">
            <x v="0"/>
          </reference>
          <reference field="9" count="1" selected="0">
            <x v="7"/>
          </reference>
        </references>
      </pivotArea>
    </chartFormat>
    <chartFormat chart="3" format="24">
      <pivotArea type="data" outline="0" fieldPosition="0">
        <references count="2">
          <reference field="4294967294" count="1" selected="0">
            <x v="0"/>
          </reference>
          <reference field="9"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7D8FBA3-C41D-47CE-BFCB-D854EC3CE5AF}"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4:B26" firstHeaderRow="1" firstDataRow="1" firstDataCol="1"/>
  <pivotFields count="15">
    <pivotField showAll="0"/>
    <pivotField showAll="0"/>
    <pivotField showAll="0">
      <items count="11">
        <item h="1" x="5"/>
        <item h="1" x="6"/>
        <item h="1" x="7"/>
        <item h="1" x="8"/>
        <item h="1" x="0"/>
        <item h="1" x="1"/>
        <item x="2"/>
        <item h="1" x="3"/>
        <item h="1" x="4"/>
        <item h="1" x="9"/>
        <item t="default"/>
      </items>
    </pivotField>
    <pivotField numFmtId="14" showAll="0"/>
    <pivotField numFmtId="3" showAll="0"/>
    <pivotField showAll="0"/>
    <pivotField showAll="0"/>
    <pivotField showAll="0"/>
    <pivotField showAll="0"/>
    <pivotField axis="axisRow" showAll="0" sortType="descending">
      <items count="12">
        <item x="1"/>
        <item x="4"/>
        <item x="8"/>
        <item x="3"/>
        <item x="10"/>
        <item x="0"/>
        <item x="2"/>
        <item x="7"/>
        <item x="6"/>
        <item x="9"/>
        <item x="5"/>
        <item t="default"/>
      </items>
      <autoSortScope>
        <pivotArea dataOnly="0" outline="0" fieldPosition="0">
          <references count="1">
            <reference field="4294967294" count="1" selected="0">
              <x v="0"/>
            </reference>
          </references>
        </pivotArea>
      </autoSortScope>
    </pivotField>
    <pivotField showAll="0"/>
    <pivotField numFmtId="166" showAll="0"/>
    <pivotField numFmtId="3" showAll="0"/>
    <pivotField numFmtId="166" showAll="0"/>
    <pivotField dataField="1" numFmtId="3" showAll="0"/>
  </pivotFields>
  <rowFields count="1">
    <field x="9"/>
  </rowFields>
  <rowItems count="12">
    <i>
      <x v="6"/>
    </i>
    <i>
      <x v="3"/>
    </i>
    <i>
      <x v="1"/>
    </i>
    <i>
      <x v="2"/>
    </i>
    <i>
      <x v="5"/>
    </i>
    <i>
      <x/>
    </i>
    <i>
      <x v="4"/>
    </i>
    <i>
      <x v="10"/>
    </i>
    <i>
      <x v="7"/>
    </i>
    <i>
      <x v="9"/>
    </i>
    <i>
      <x v="8"/>
    </i>
    <i t="grand">
      <x/>
    </i>
  </rowItems>
  <colItems count="1">
    <i/>
  </colItems>
  <dataFields count="1">
    <dataField name="Sum of Operating Profit" fld="14" baseField="0" baseItem="0" numFmtId="3"/>
  </dataFields>
  <chartFormats count="5">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9" count="1" selected="0">
            <x v="1"/>
          </reference>
        </references>
      </pivotArea>
    </chartFormat>
    <chartFormat chart="5" format="6">
      <pivotArea type="data" outline="0" fieldPosition="0">
        <references count="2">
          <reference field="4294967294" count="1" selected="0">
            <x v="0"/>
          </reference>
          <reference field="9" count="1" selected="0">
            <x v="4"/>
          </reference>
        </references>
      </pivotArea>
    </chartFormat>
    <chartFormat chart="5" format="7">
      <pivotArea type="data" outline="0" fieldPosition="0">
        <references count="2">
          <reference field="4294967294" count="1" selected="0">
            <x v="0"/>
          </reference>
          <reference field="9" count="1" selected="0">
            <x v="2"/>
          </reference>
        </references>
      </pivotArea>
    </chartFormat>
    <chartFormat chart="5" format="8">
      <pivotArea type="data" outline="0" fieldPosition="0">
        <references count="2">
          <reference field="4294967294" count="1" selected="0">
            <x v="0"/>
          </reference>
          <reference field="9"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B6C2EAE-BCB0-4337-9266-5DB4C4618DF9}" sourceName="Year">
  <pivotTables>
    <pivotTable tabId="8" name="PivotTable5"/>
    <pivotTable tabId="8" name="PivotTable4"/>
    <pivotTable tabId="8" name="PivotTable6"/>
    <pivotTable tabId="8" name="PivotTable7"/>
  </pivotTables>
  <data>
    <tabular pivotCacheId="1346996165">
      <items count="10">
        <i x="5"/>
        <i x="6"/>
        <i x="7"/>
        <i x="8"/>
        <i x="0"/>
        <i x="1"/>
        <i x="2" s="1"/>
        <i x="3"/>
        <i x="4"/>
        <i x="9"/>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ICS_Sector" xr10:uid="{E1F131A7-E2D8-4429-8A60-E3DFA2DA0E88}" sourceName="GICS Sector">
  <pivotTables>
    <pivotTable tabId="8" name="PivotTable6"/>
  </pivotTables>
  <data>
    <tabular pivotCacheId="1346996165">
      <items count="11">
        <i x="1"/>
        <i x="4"/>
        <i x="8" s="1"/>
        <i x="3"/>
        <i x="10"/>
        <i x="0"/>
        <i x="2"/>
        <i x="7"/>
        <i x="6"/>
        <i x="9"/>
        <i x="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CBE1BCB7-60AA-4E0F-9F52-767F0A9F82CD}" cache="Slicer_Year" caption="Year" style="SlicerStyleLight3" rowHeight="247650"/>
  <slicer name="GICS Sector" xr10:uid="{C3CE51D0-A0DC-4C9C-A716-A92A5506CE83}" cache="Slicer_GICS_Sector" caption="GICS Sector" style="SlicerStyleLight3"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0ADE10-C5AB-40F1-BFCC-DC4850CEF9C3}" name="data" displayName="data" ref="A1:O1711" totalsRowShown="0">
  <autoFilter ref="A1:O1711" xr:uid="{370ADE10-C5AB-40F1-BFCC-DC4850CEF9C3}"/>
  <sortState xmlns:xlrd2="http://schemas.microsoft.com/office/spreadsheetml/2017/richdata2" ref="A14:K1711">
    <sortCondition ref="J1:J1711"/>
  </sortState>
  <tableColumns count="15">
    <tableColumn id="1" xr3:uid="{BDA875A8-BB1B-4025-928C-0ED4CEE4742B}" name="Ticker Symbol"/>
    <tableColumn id="2" xr3:uid="{196CFBFD-54CF-4362-AE0C-8AE2EA5F704F}" name="Years"/>
    <tableColumn id="3" xr3:uid="{10F40233-CD24-465C-BF51-058CEFDF6CFC}" name="Year"/>
    <tableColumn id="4" xr3:uid="{7FC6DC2D-14D9-4E07-8232-26A6A6AFAB18}" name="Period Ending" dataDxfId="9"/>
    <tableColumn id="5" xr3:uid="{F6F466AA-9331-4E40-B94B-692743F5877F}" name=" Total Revenue " dataDxfId="8"/>
    <tableColumn id="6" xr3:uid="{FFC156A5-625D-4879-A84E-05C6599C1817}" name=" Cost of Goods Sold " dataDxfId="7"/>
    <tableColumn id="7" xr3:uid="{334CEA6D-0101-42C4-A92A-CD06086B1612}" name=" Sales, General and Admin" dataDxfId="6"/>
    <tableColumn id="8" xr3:uid="{72DADBFF-C91D-40B0-9598-C797339D0704}" name=" Research and Development " dataDxfId="5"/>
    <tableColumn id="9" xr3:uid="{F42DE063-9090-4E8F-BDA1-BA0E9209B926}" name=" Other Operating Items " dataDxfId="4"/>
    <tableColumn id="10" xr3:uid="{7E1F540C-5A5B-4AD4-B82D-E6811F39C4E0}" name="GICS Sector"/>
    <tableColumn id="11" xr3:uid="{AD15B06B-816F-4C8A-9B92-D54F7ADD0AF7}" name="GICS Sub Industry"/>
    <tableColumn id="12" xr3:uid="{4680619B-FA94-48D2-9DEC-364C7F28AE1D}" name="Gross Margin" dataDxfId="3">
      <calculatedColumnFormula>1-(F2/E2)</calculatedColumnFormula>
    </tableColumn>
    <tableColumn id="13" xr3:uid="{0F47F6FC-5DD6-4DA3-B886-711A11688962}" name="Gross Profit" dataDxfId="2">
      <calculatedColumnFormula>E2-F2</calculatedColumnFormula>
    </tableColumn>
    <tableColumn id="14" xr3:uid="{452D486E-4261-403D-A997-A3A95C3DD668}" name="Operating Margin" dataDxfId="1">
      <calculatedColumnFormula>O2/E2</calculatedColumnFormula>
    </tableColumn>
    <tableColumn id="15" xr3:uid="{FA4BDFBF-BE1D-407A-B18B-E53D5A9F70C6}" name="Operating Profit" dataDxfId="0">
      <calculatedColumnFormula>M2-SUM(G2:I2)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10353-7F70-47A5-8977-C532144872B2}">
  <dimension ref="A1:O1711"/>
  <sheetViews>
    <sheetView workbookViewId="0">
      <selection activeCell="B1" sqref="B1"/>
    </sheetView>
  </sheetViews>
  <sheetFormatPr defaultRowHeight="14.4" x14ac:dyDescent="0.3"/>
  <cols>
    <col min="1" max="1" width="14.6640625" customWidth="1"/>
    <col min="2" max="2" width="7.5546875" customWidth="1"/>
    <col min="3" max="3" width="7.6640625" customWidth="1"/>
    <col min="4" max="4" width="14.21875" customWidth="1"/>
    <col min="5" max="5" width="17.88671875" customWidth="1"/>
    <col min="6" max="6" width="19" customWidth="1"/>
    <col min="7" max="7" width="24.44140625" customWidth="1"/>
    <col min="8" max="8" width="26.109375" customWidth="1"/>
    <col min="9" max="9" width="21.88671875" customWidth="1"/>
    <col min="10" max="10" width="29" customWidth="1"/>
    <col min="11" max="11" width="36.33203125" customWidth="1"/>
    <col min="12" max="12" width="13.88671875" bestFit="1" customWidth="1"/>
    <col min="13" max="13" width="14.77734375" bestFit="1" customWidth="1"/>
    <col min="14" max="14" width="17.44140625" bestFit="1" customWidth="1"/>
    <col min="15" max="15" width="16.44140625" bestFit="1" customWidth="1"/>
  </cols>
  <sheetData>
    <row r="1" spans="1:15" x14ac:dyDescent="0.3">
      <c r="A1" t="s">
        <v>0</v>
      </c>
      <c r="B1" t="s">
        <v>1</v>
      </c>
      <c r="C1" t="s">
        <v>2</v>
      </c>
      <c r="D1" t="s">
        <v>3</v>
      </c>
      <c r="E1" t="s">
        <v>4</v>
      </c>
      <c r="F1" t="s">
        <v>5</v>
      </c>
      <c r="G1" t="s">
        <v>6</v>
      </c>
      <c r="H1" t="s">
        <v>7</v>
      </c>
      <c r="I1" t="s">
        <v>8</v>
      </c>
      <c r="J1" t="s">
        <v>9</v>
      </c>
      <c r="K1" t="s">
        <v>10</v>
      </c>
      <c r="L1" t="s">
        <v>579</v>
      </c>
      <c r="M1" t="s">
        <v>575</v>
      </c>
      <c r="N1" t="s">
        <v>580</v>
      </c>
      <c r="O1" t="s">
        <v>612</v>
      </c>
    </row>
    <row r="2" spans="1:15" x14ac:dyDescent="0.3">
      <c r="A2" t="s">
        <v>11</v>
      </c>
      <c r="B2">
        <v>1</v>
      </c>
      <c r="C2">
        <v>2012</v>
      </c>
      <c r="D2" s="1">
        <v>41274</v>
      </c>
      <c r="E2" s="2">
        <v>24855000000</v>
      </c>
      <c r="F2" s="2">
        <v>10499000000</v>
      </c>
      <c r="G2" s="2">
        <v>12977000000</v>
      </c>
      <c r="H2">
        <v>0</v>
      </c>
      <c r="I2" s="2">
        <v>845000000</v>
      </c>
      <c r="J2" t="s">
        <v>12</v>
      </c>
      <c r="K2" t="s">
        <v>13</v>
      </c>
      <c r="L2" s="37">
        <f t="shared" ref="L2:L65" si="0">1-(F2/E2)</f>
        <v>0.57759002212834432</v>
      </c>
      <c r="M2" s="2">
        <f t="shared" ref="M2:M65" si="1">E2-F2</f>
        <v>14356000000</v>
      </c>
      <c r="N2" s="37">
        <f t="shared" ref="N2:N65" si="2">O2/E2</f>
        <v>2.1484610742305371E-2</v>
      </c>
      <c r="O2" s="2">
        <f t="shared" ref="O2:O65" si="3">M2-SUM(G2:I2)</f>
        <v>534000000</v>
      </c>
    </row>
    <row r="3" spans="1:15" x14ac:dyDescent="0.3">
      <c r="A3" t="s">
        <v>11</v>
      </c>
      <c r="B3">
        <v>2</v>
      </c>
      <c r="C3">
        <v>2013</v>
      </c>
      <c r="D3" s="1">
        <v>41639</v>
      </c>
      <c r="E3" s="2">
        <v>26743000000</v>
      </c>
      <c r="F3" s="2">
        <v>11019000000</v>
      </c>
      <c r="G3" s="2">
        <v>12913000000</v>
      </c>
      <c r="H3">
        <v>0</v>
      </c>
      <c r="I3" s="2">
        <v>853000000</v>
      </c>
      <c r="J3" t="s">
        <v>12</v>
      </c>
      <c r="K3" t="s">
        <v>13</v>
      </c>
      <c r="L3" s="37">
        <f t="shared" si="0"/>
        <v>0.58796694462102228</v>
      </c>
      <c r="M3" s="2">
        <f t="shared" si="1"/>
        <v>15724000000</v>
      </c>
      <c r="N3" s="37">
        <f t="shared" si="2"/>
        <v>7.3215420857794561E-2</v>
      </c>
      <c r="O3" s="2">
        <f t="shared" si="3"/>
        <v>1958000000</v>
      </c>
    </row>
    <row r="4" spans="1:15" x14ac:dyDescent="0.3">
      <c r="A4" t="s">
        <v>11</v>
      </c>
      <c r="B4">
        <v>3</v>
      </c>
      <c r="C4">
        <v>2014</v>
      </c>
      <c r="D4" s="1">
        <v>42004</v>
      </c>
      <c r="E4" s="2">
        <v>42650000000</v>
      </c>
      <c r="F4" s="2">
        <v>15620000000</v>
      </c>
      <c r="G4" s="2">
        <v>20686000000</v>
      </c>
      <c r="H4">
        <v>0</v>
      </c>
      <c r="I4" s="2">
        <v>1295000000</v>
      </c>
      <c r="J4" t="s">
        <v>12</v>
      </c>
      <c r="K4" t="s">
        <v>13</v>
      </c>
      <c r="L4" s="37">
        <f t="shared" si="0"/>
        <v>0.63376318874560378</v>
      </c>
      <c r="M4" s="2">
        <f t="shared" si="1"/>
        <v>27030000000</v>
      </c>
      <c r="N4" s="37">
        <f t="shared" si="2"/>
        <v>0.11838218053927316</v>
      </c>
      <c r="O4" s="2">
        <f t="shared" si="3"/>
        <v>5049000000</v>
      </c>
    </row>
    <row r="5" spans="1:15" x14ac:dyDescent="0.3">
      <c r="A5" t="s">
        <v>11</v>
      </c>
      <c r="B5">
        <v>4</v>
      </c>
      <c r="C5">
        <v>2015</v>
      </c>
      <c r="D5" s="1">
        <v>42369</v>
      </c>
      <c r="E5" s="2">
        <v>40990000000</v>
      </c>
      <c r="F5" s="2">
        <v>11096000000</v>
      </c>
      <c r="G5" s="2">
        <v>21275000000</v>
      </c>
      <c r="H5">
        <v>0</v>
      </c>
      <c r="I5" s="2">
        <v>1364000000</v>
      </c>
      <c r="J5" t="s">
        <v>12</v>
      </c>
      <c r="K5" t="s">
        <v>13</v>
      </c>
      <c r="L5" s="37">
        <f t="shared" si="0"/>
        <v>0.72929982922664061</v>
      </c>
      <c r="M5" s="2">
        <f t="shared" si="1"/>
        <v>29894000000</v>
      </c>
      <c r="N5" s="37">
        <f t="shared" si="2"/>
        <v>0.17699438887533545</v>
      </c>
      <c r="O5" s="2">
        <f t="shared" si="3"/>
        <v>7255000000</v>
      </c>
    </row>
    <row r="6" spans="1:15" x14ac:dyDescent="0.3">
      <c r="A6" t="s">
        <v>14</v>
      </c>
      <c r="B6">
        <v>1</v>
      </c>
      <c r="C6">
        <v>2012</v>
      </c>
      <c r="D6" s="1">
        <v>41272</v>
      </c>
      <c r="E6" s="2">
        <v>6205003000</v>
      </c>
      <c r="F6" s="2">
        <v>3106967000</v>
      </c>
      <c r="G6" s="2">
        <v>2440721000</v>
      </c>
      <c r="H6">
        <v>0</v>
      </c>
      <c r="I6">
        <v>0</v>
      </c>
      <c r="J6" t="s">
        <v>15</v>
      </c>
      <c r="K6" t="s">
        <v>16</v>
      </c>
      <c r="L6" s="37">
        <f t="shared" si="0"/>
        <v>0.49928033878468714</v>
      </c>
      <c r="M6" s="2">
        <f t="shared" si="1"/>
        <v>3098036000</v>
      </c>
      <c r="N6" s="37">
        <f t="shared" si="2"/>
        <v>0.10593306723622857</v>
      </c>
      <c r="O6" s="2">
        <f t="shared" si="3"/>
        <v>657315000</v>
      </c>
    </row>
    <row r="7" spans="1:15" x14ac:dyDescent="0.3">
      <c r="A7" t="s">
        <v>14</v>
      </c>
      <c r="B7">
        <v>2</v>
      </c>
      <c r="C7">
        <v>2013</v>
      </c>
      <c r="D7" s="1">
        <v>41636</v>
      </c>
      <c r="E7" s="2">
        <v>6493814000</v>
      </c>
      <c r="F7" s="2">
        <v>3241668000</v>
      </c>
      <c r="G7" s="2">
        <v>2591828000</v>
      </c>
      <c r="H7">
        <v>0</v>
      </c>
      <c r="I7">
        <v>0</v>
      </c>
      <c r="J7" t="s">
        <v>15</v>
      </c>
      <c r="K7" t="s">
        <v>16</v>
      </c>
      <c r="L7" s="37">
        <f t="shared" si="0"/>
        <v>0.50080676779470434</v>
      </c>
      <c r="M7" s="2">
        <f t="shared" si="1"/>
        <v>3252146000</v>
      </c>
      <c r="N7" s="37">
        <f t="shared" si="2"/>
        <v>0.10168415664507792</v>
      </c>
      <c r="O7" s="2">
        <f t="shared" si="3"/>
        <v>660318000</v>
      </c>
    </row>
    <row r="8" spans="1:15" x14ac:dyDescent="0.3">
      <c r="A8" t="s">
        <v>14</v>
      </c>
      <c r="B8">
        <v>3</v>
      </c>
      <c r="C8">
        <v>2015</v>
      </c>
      <c r="D8" s="1">
        <v>42007</v>
      </c>
      <c r="E8" s="2">
        <v>9843861000</v>
      </c>
      <c r="F8" s="2">
        <v>5390248000</v>
      </c>
      <c r="G8" s="2">
        <v>3601903000</v>
      </c>
      <c r="H8">
        <v>0</v>
      </c>
      <c r="I8">
        <v>0</v>
      </c>
      <c r="J8" t="s">
        <v>15</v>
      </c>
      <c r="K8" t="s">
        <v>16</v>
      </c>
      <c r="L8" s="37">
        <f t="shared" si="0"/>
        <v>0.45242542534885444</v>
      </c>
      <c r="M8" s="2">
        <f t="shared" si="1"/>
        <v>4453613000</v>
      </c>
      <c r="N8" s="37">
        <f t="shared" si="2"/>
        <v>8.6521944996988481E-2</v>
      </c>
      <c r="O8" s="2">
        <f t="shared" si="3"/>
        <v>851710000</v>
      </c>
    </row>
    <row r="9" spans="1:15" x14ac:dyDescent="0.3">
      <c r="A9" t="s">
        <v>14</v>
      </c>
      <c r="B9">
        <v>4</v>
      </c>
      <c r="C9">
        <v>2016</v>
      </c>
      <c r="D9" s="1">
        <v>42371</v>
      </c>
      <c r="E9" s="2">
        <v>9737018000</v>
      </c>
      <c r="F9" s="2">
        <v>5314246000</v>
      </c>
      <c r="G9" s="2">
        <v>3596992000</v>
      </c>
      <c r="H9">
        <v>0</v>
      </c>
      <c r="I9">
        <v>0</v>
      </c>
      <c r="J9" t="s">
        <v>15</v>
      </c>
      <c r="K9" t="s">
        <v>16</v>
      </c>
      <c r="L9" s="37">
        <f t="shared" si="0"/>
        <v>0.45422243237097848</v>
      </c>
      <c r="M9" s="2">
        <f t="shared" si="1"/>
        <v>4422772000</v>
      </c>
      <c r="N9" s="37">
        <f t="shared" si="2"/>
        <v>8.4808305787254373E-2</v>
      </c>
      <c r="O9" s="2">
        <f t="shared" si="3"/>
        <v>825780000</v>
      </c>
    </row>
    <row r="10" spans="1:15" x14ac:dyDescent="0.3">
      <c r="A10" t="s">
        <v>17</v>
      </c>
      <c r="B10">
        <v>1</v>
      </c>
      <c r="C10">
        <v>2013</v>
      </c>
      <c r="D10" s="1">
        <v>41545</v>
      </c>
      <c r="E10" s="2">
        <v>170910000000</v>
      </c>
      <c r="F10" s="2">
        <v>106606000000</v>
      </c>
      <c r="G10" s="2">
        <v>10830000000</v>
      </c>
      <c r="H10" s="2">
        <v>4475000000</v>
      </c>
      <c r="I10">
        <v>0</v>
      </c>
      <c r="J10" t="s">
        <v>18</v>
      </c>
      <c r="K10" t="s">
        <v>19</v>
      </c>
      <c r="L10" s="37">
        <f t="shared" si="0"/>
        <v>0.37624480720847231</v>
      </c>
      <c r="M10" s="2">
        <f t="shared" si="1"/>
        <v>64304000000</v>
      </c>
      <c r="N10" s="37">
        <f t="shared" si="2"/>
        <v>0.28669475162366159</v>
      </c>
      <c r="O10" s="2">
        <f t="shared" si="3"/>
        <v>48999000000</v>
      </c>
    </row>
    <row r="11" spans="1:15" x14ac:dyDescent="0.3">
      <c r="A11" t="s">
        <v>17</v>
      </c>
      <c r="B11">
        <v>2</v>
      </c>
      <c r="C11">
        <v>2014</v>
      </c>
      <c r="D11" s="1">
        <v>41909</v>
      </c>
      <c r="E11" s="2">
        <v>182795000000</v>
      </c>
      <c r="F11" s="2">
        <v>112258000000</v>
      </c>
      <c r="G11" s="2">
        <v>11993000000</v>
      </c>
      <c r="H11" s="2">
        <v>6041000000</v>
      </c>
      <c r="I11">
        <v>0</v>
      </c>
      <c r="J11" t="s">
        <v>18</v>
      </c>
      <c r="K11" t="s">
        <v>19</v>
      </c>
      <c r="L11" s="37">
        <f t="shared" si="0"/>
        <v>0.38588035777783858</v>
      </c>
      <c r="M11" s="2">
        <f t="shared" si="1"/>
        <v>70537000000</v>
      </c>
      <c r="N11" s="37">
        <f t="shared" si="2"/>
        <v>0.28722339232473537</v>
      </c>
      <c r="O11" s="2">
        <f t="shared" si="3"/>
        <v>52503000000</v>
      </c>
    </row>
    <row r="12" spans="1:15" x14ac:dyDescent="0.3">
      <c r="A12" t="s">
        <v>17</v>
      </c>
      <c r="B12">
        <v>3</v>
      </c>
      <c r="C12">
        <v>2015</v>
      </c>
      <c r="D12" s="1">
        <v>42273</v>
      </c>
      <c r="E12" s="2">
        <v>233715000000</v>
      </c>
      <c r="F12" s="2">
        <v>140089000000</v>
      </c>
      <c r="G12" s="2">
        <v>14329000000</v>
      </c>
      <c r="H12" s="2">
        <v>8067000000</v>
      </c>
      <c r="I12">
        <v>0</v>
      </c>
      <c r="J12" t="s">
        <v>18</v>
      </c>
      <c r="K12" t="s">
        <v>19</v>
      </c>
      <c r="L12" s="37">
        <f t="shared" si="0"/>
        <v>0.40059902017414373</v>
      </c>
      <c r="M12" s="2">
        <f t="shared" si="1"/>
        <v>93626000000</v>
      </c>
      <c r="N12" s="37">
        <f t="shared" si="2"/>
        <v>0.30477290717326661</v>
      </c>
      <c r="O12" s="2">
        <f t="shared" si="3"/>
        <v>71230000000</v>
      </c>
    </row>
    <row r="13" spans="1:15" x14ac:dyDescent="0.3">
      <c r="A13" t="s">
        <v>17</v>
      </c>
      <c r="B13">
        <v>4</v>
      </c>
      <c r="C13">
        <v>2016</v>
      </c>
      <c r="D13" s="1">
        <v>42637</v>
      </c>
      <c r="E13" s="2">
        <v>215639000000</v>
      </c>
      <c r="F13" s="2">
        <v>131376000000</v>
      </c>
      <c r="G13" s="2">
        <v>14194000000</v>
      </c>
      <c r="H13" s="2">
        <v>10045000000</v>
      </c>
      <c r="I13">
        <v>0</v>
      </c>
      <c r="J13" t="s">
        <v>18</v>
      </c>
      <c r="K13" t="s">
        <v>19</v>
      </c>
      <c r="L13" s="37">
        <f t="shared" si="0"/>
        <v>0.39075955648097049</v>
      </c>
      <c r="M13" s="2">
        <f t="shared" si="1"/>
        <v>84263000000</v>
      </c>
      <c r="N13" s="37">
        <f t="shared" si="2"/>
        <v>0.27835410106706115</v>
      </c>
      <c r="O13" s="2">
        <f t="shared" si="3"/>
        <v>60024000000</v>
      </c>
    </row>
    <row r="14" spans="1:15" x14ac:dyDescent="0.3">
      <c r="A14" t="s">
        <v>42</v>
      </c>
      <c r="B14">
        <v>1</v>
      </c>
      <c r="C14">
        <v>2012</v>
      </c>
      <c r="D14" s="1">
        <v>41274</v>
      </c>
      <c r="E14" s="2">
        <v>25364000000</v>
      </c>
      <c r="F14" s="2">
        <v>17074000000</v>
      </c>
      <c r="G14">
        <v>0</v>
      </c>
      <c r="H14">
        <v>0</v>
      </c>
      <c r="I14" s="2">
        <v>3727000000</v>
      </c>
      <c r="J14" t="s">
        <v>43</v>
      </c>
      <c r="K14" t="s">
        <v>44</v>
      </c>
      <c r="L14" s="37">
        <f t="shared" si="0"/>
        <v>0.32684119224097141</v>
      </c>
      <c r="M14" s="2">
        <f t="shared" si="1"/>
        <v>8290000000</v>
      </c>
      <c r="N14" s="37">
        <f t="shared" si="2"/>
        <v>0.17990064658571203</v>
      </c>
      <c r="O14" s="2">
        <f t="shared" si="3"/>
        <v>4563000000</v>
      </c>
    </row>
    <row r="15" spans="1:15" x14ac:dyDescent="0.3">
      <c r="A15" t="s">
        <v>42</v>
      </c>
      <c r="B15">
        <v>2</v>
      </c>
      <c r="C15">
        <v>2013</v>
      </c>
      <c r="D15" s="1">
        <v>41639</v>
      </c>
      <c r="E15" s="2">
        <v>23939000000</v>
      </c>
      <c r="F15" s="2">
        <v>15341000000</v>
      </c>
      <c r="G15">
        <v>0</v>
      </c>
      <c r="H15">
        <v>0</v>
      </c>
      <c r="I15" s="2">
        <v>3489000000</v>
      </c>
      <c r="J15" t="s">
        <v>43</v>
      </c>
      <c r="K15" t="s">
        <v>44</v>
      </c>
      <c r="L15" s="37">
        <f t="shared" si="0"/>
        <v>0.35916287230043031</v>
      </c>
      <c r="M15" s="2">
        <f t="shared" si="1"/>
        <v>8598000000</v>
      </c>
      <c r="N15" s="37">
        <f t="shared" si="2"/>
        <v>0.21341743598312377</v>
      </c>
      <c r="O15" s="2">
        <f t="shared" si="3"/>
        <v>5109000000</v>
      </c>
    </row>
    <row r="16" spans="1:15" x14ac:dyDescent="0.3">
      <c r="A16" t="s">
        <v>42</v>
      </c>
      <c r="B16">
        <v>3</v>
      </c>
      <c r="C16">
        <v>2014</v>
      </c>
      <c r="D16" s="1">
        <v>42004</v>
      </c>
      <c r="E16" s="2">
        <v>22728000000</v>
      </c>
      <c r="F16" s="2">
        <v>14373000000</v>
      </c>
      <c r="G16">
        <v>0</v>
      </c>
      <c r="H16">
        <v>0</v>
      </c>
      <c r="I16" s="2">
        <v>3547000000</v>
      </c>
      <c r="J16" t="s">
        <v>43</v>
      </c>
      <c r="K16" t="s">
        <v>44</v>
      </c>
      <c r="L16" s="37">
        <f t="shared" si="0"/>
        <v>0.36760823653643082</v>
      </c>
      <c r="M16" s="2">
        <f t="shared" si="1"/>
        <v>8355000000</v>
      </c>
      <c r="N16" s="37">
        <f t="shared" si="2"/>
        <v>0.21154523055262231</v>
      </c>
      <c r="O16" s="2">
        <f t="shared" si="3"/>
        <v>4808000000</v>
      </c>
    </row>
    <row r="17" spans="1:15" x14ac:dyDescent="0.3">
      <c r="A17" t="s">
        <v>42</v>
      </c>
      <c r="B17">
        <v>4</v>
      </c>
      <c r="C17">
        <v>2015</v>
      </c>
      <c r="D17" s="1">
        <v>42369</v>
      </c>
      <c r="E17" s="2">
        <v>20872000000</v>
      </c>
      <c r="F17" s="2">
        <v>13049000000</v>
      </c>
      <c r="G17">
        <v>0</v>
      </c>
      <c r="H17">
        <v>0</v>
      </c>
      <c r="I17" s="2">
        <v>3672000000</v>
      </c>
      <c r="J17" t="s">
        <v>43</v>
      </c>
      <c r="K17" t="s">
        <v>44</v>
      </c>
      <c r="L17" s="37">
        <f t="shared" si="0"/>
        <v>0.3748083556918359</v>
      </c>
      <c r="M17" s="2">
        <f t="shared" si="1"/>
        <v>7823000000</v>
      </c>
      <c r="N17" s="37">
        <f t="shared" si="2"/>
        <v>0.19887888079724031</v>
      </c>
      <c r="O17" s="2">
        <f t="shared" si="3"/>
        <v>4151000000</v>
      </c>
    </row>
    <row r="18" spans="1:15" x14ac:dyDescent="0.3">
      <c r="A18" t="s">
        <v>45</v>
      </c>
      <c r="B18">
        <v>1</v>
      </c>
      <c r="C18">
        <v>2012</v>
      </c>
      <c r="D18" s="1">
        <v>41274</v>
      </c>
      <c r="E18" s="2">
        <v>71214000000</v>
      </c>
      <c r="F18" s="2">
        <v>37745000000</v>
      </c>
      <c r="G18" s="2">
        <v>21491000000</v>
      </c>
      <c r="H18">
        <v>0</v>
      </c>
      <c r="I18">
        <v>0</v>
      </c>
      <c r="J18" t="s">
        <v>43</v>
      </c>
      <c r="K18" t="s">
        <v>46</v>
      </c>
      <c r="L18" s="37">
        <f t="shared" si="0"/>
        <v>0.46997781335130728</v>
      </c>
      <c r="M18" s="2">
        <f t="shared" si="1"/>
        <v>33469000000</v>
      </c>
      <c r="N18" s="37">
        <f t="shared" si="2"/>
        <v>0.16819726458280676</v>
      </c>
      <c r="O18" s="2">
        <f t="shared" si="3"/>
        <v>11978000000</v>
      </c>
    </row>
    <row r="19" spans="1:15" x14ac:dyDescent="0.3">
      <c r="A19" t="s">
        <v>45</v>
      </c>
      <c r="B19">
        <v>2</v>
      </c>
      <c r="C19">
        <v>2013</v>
      </c>
      <c r="D19" s="1">
        <v>41639</v>
      </c>
      <c r="E19" s="2">
        <v>68874000000</v>
      </c>
      <c r="F19" s="2">
        <v>34660000000</v>
      </c>
      <c r="G19" s="2">
        <v>22005000000</v>
      </c>
      <c r="H19">
        <v>0</v>
      </c>
      <c r="I19">
        <v>0</v>
      </c>
      <c r="J19" t="s">
        <v>43</v>
      </c>
      <c r="K19" t="s">
        <v>46</v>
      </c>
      <c r="L19" s="37">
        <f t="shared" si="0"/>
        <v>0.49676220344397015</v>
      </c>
      <c r="M19" s="2">
        <f t="shared" si="1"/>
        <v>34214000000</v>
      </c>
      <c r="N19" s="37">
        <f t="shared" si="2"/>
        <v>0.17726573162586753</v>
      </c>
      <c r="O19" s="2">
        <f t="shared" si="3"/>
        <v>12209000000</v>
      </c>
    </row>
    <row r="20" spans="1:15" x14ac:dyDescent="0.3">
      <c r="A20" t="s">
        <v>45</v>
      </c>
      <c r="B20">
        <v>3</v>
      </c>
      <c r="C20">
        <v>2014</v>
      </c>
      <c r="D20" s="1">
        <v>42004</v>
      </c>
      <c r="E20" s="2">
        <v>64406000000</v>
      </c>
      <c r="F20" s="2">
        <v>33611000000</v>
      </c>
      <c r="G20" s="2">
        <v>18491000000</v>
      </c>
      <c r="H20">
        <v>0</v>
      </c>
      <c r="I20">
        <v>0</v>
      </c>
      <c r="J20" t="s">
        <v>43</v>
      </c>
      <c r="K20" t="s">
        <v>46</v>
      </c>
      <c r="L20" s="37">
        <f t="shared" si="0"/>
        <v>0.47813868273142257</v>
      </c>
      <c r="M20" s="2">
        <f t="shared" si="1"/>
        <v>30795000000</v>
      </c>
      <c r="N20" s="37">
        <f t="shared" si="2"/>
        <v>0.19103810204018259</v>
      </c>
      <c r="O20" s="2">
        <f t="shared" si="3"/>
        <v>12304000000</v>
      </c>
    </row>
    <row r="21" spans="1:15" x14ac:dyDescent="0.3">
      <c r="A21" t="s">
        <v>45</v>
      </c>
      <c r="B21">
        <v>4</v>
      </c>
      <c r="C21">
        <v>2015</v>
      </c>
      <c r="D21" s="1">
        <v>42369</v>
      </c>
      <c r="E21" s="2">
        <v>58327000000</v>
      </c>
      <c r="F21" s="2">
        <v>36581000000</v>
      </c>
      <c r="G21" s="2">
        <v>16417000000</v>
      </c>
      <c r="H21">
        <v>0</v>
      </c>
      <c r="I21">
        <v>0</v>
      </c>
      <c r="J21" t="s">
        <v>43</v>
      </c>
      <c r="K21" t="s">
        <v>46</v>
      </c>
      <c r="L21" s="37">
        <f t="shared" si="0"/>
        <v>0.37282905001114408</v>
      </c>
      <c r="M21" s="2">
        <f t="shared" si="1"/>
        <v>21746000000</v>
      </c>
      <c r="N21" s="37">
        <f t="shared" si="2"/>
        <v>9.1364205256570713E-2</v>
      </c>
      <c r="O21" s="2">
        <f t="shared" si="3"/>
        <v>5329000000</v>
      </c>
    </row>
    <row r="22" spans="1:15" x14ac:dyDescent="0.3">
      <c r="A22" t="s">
        <v>50</v>
      </c>
      <c r="B22">
        <v>1</v>
      </c>
      <c r="C22">
        <v>2013</v>
      </c>
      <c r="D22" s="1">
        <v>41639</v>
      </c>
      <c r="E22" s="2">
        <v>9047657000</v>
      </c>
      <c r="F22" s="2">
        <v>6709936000</v>
      </c>
      <c r="G22">
        <v>0</v>
      </c>
      <c r="H22">
        <v>0</v>
      </c>
      <c r="I22" s="2">
        <v>1470287000</v>
      </c>
      <c r="J22" t="s">
        <v>43</v>
      </c>
      <c r="K22" t="s">
        <v>51</v>
      </c>
      <c r="L22" s="37">
        <f t="shared" si="0"/>
        <v>0.25837860564342796</v>
      </c>
      <c r="M22" s="2">
        <f t="shared" si="1"/>
        <v>2337721000</v>
      </c>
      <c r="N22" s="37">
        <f t="shared" si="2"/>
        <v>9.5873882044821113E-2</v>
      </c>
      <c r="O22" s="2">
        <f t="shared" si="3"/>
        <v>867434000</v>
      </c>
    </row>
    <row r="23" spans="1:15" x14ac:dyDescent="0.3">
      <c r="A23" t="s">
        <v>50</v>
      </c>
      <c r="B23">
        <v>2</v>
      </c>
      <c r="C23">
        <v>2014</v>
      </c>
      <c r="D23" s="1">
        <v>42004</v>
      </c>
      <c r="E23" s="2">
        <v>10381653000</v>
      </c>
      <c r="F23" s="2">
        <v>8093563000</v>
      </c>
      <c r="G23">
        <v>0</v>
      </c>
      <c r="H23">
        <v>0</v>
      </c>
      <c r="I23" s="2">
        <v>1485558000</v>
      </c>
      <c r="J23" t="s">
        <v>43</v>
      </c>
      <c r="K23" t="s">
        <v>51</v>
      </c>
      <c r="L23" s="37">
        <f t="shared" si="0"/>
        <v>0.22039746464267296</v>
      </c>
      <c r="M23" s="2">
        <f t="shared" si="1"/>
        <v>2288090000</v>
      </c>
      <c r="N23" s="37">
        <f t="shared" si="2"/>
        <v>7.7302911203061792E-2</v>
      </c>
      <c r="O23" s="2">
        <f t="shared" si="3"/>
        <v>802532000</v>
      </c>
    </row>
    <row r="24" spans="1:15" x14ac:dyDescent="0.3">
      <c r="A24" t="s">
        <v>50</v>
      </c>
      <c r="B24">
        <v>3</v>
      </c>
      <c r="C24">
        <v>2015</v>
      </c>
      <c r="D24" s="1">
        <v>42369</v>
      </c>
      <c r="E24" s="2">
        <v>10325494000</v>
      </c>
      <c r="F24" s="2">
        <v>8666624000</v>
      </c>
      <c r="G24">
        <v>0</v>
      </c>
      <c r="H24">
        <v>0</v>
      </c>
      <c r="I24" s="2">
        <v>1402573000</v>
      </c>
      <c r="J24" t="s">
        <v>43</v>
      </c>
      <c r="K24" t="s">
        <v>51</v>
      </c>
      <c r="L24" s="37">
        <f t="shared" si="0"/>
        <v>0.16065768862971597</v>
      </c>
      <c r="M24" s="2">
        <f t="shared" si="1"/>
        <v>1658870000</v>
      </c>
      <c r="N24" s="37">
        <f t="shared" si="2"/>
        <v>2.4821766396842609E-2</v>
      </c>
      <c r="O24" s="2">
        <f t="shared" si="3"/>
        <v>256297000</v>
      </c>
    </row>
    <row r="25" spans="1:15" x14ac:dyDescent="0.3">
      <c r="A25" t="s">
        <v>50</v>
      </c>
      <c r="B25">
        <v>4</v>
      </c>
      <c r="C25">
        <v>2016</v>
      </c>
      <c r="D25" s="1">
        <v>42735</v>
      </c>
      <c r="E25" s="2">
        <v>7531780000</v>
      </c>
      <c r="F25" s="2">
        <v>5251228000</v>
      </c>
      <c r="G25">
        <v>0</v>
      </c>
      <c r="H25">
        <v>0</v>
      </c>
      <c r="I25" s="2">
        <v>1351314000</v>
      </c>
      <c r="J25" t="s">
        <v>43</v>
      </c>
      <c r="K25" t="s">
        <v>51</v>
      </c>
      <c r="L25" s="37">
        <f t="shared" si="0"/>
        <v>0.30279057540183063</v>
      </c>
      <c r="M25" s="2">
        <f t="shared" si="1"/>
        <v>2280552000</v>
      </c>
      <c r="N25" s="37">
        <f t="shared" si="2"/>
        <v>0.12337561638815792</v>
      </c>
      <c r="O25" s="2">
        <f t="shared" si="3"/>
        <v>929238000</v>
      </c>
    </row>
    <row r="26" spans="1:15" x14ac:dyDescent="0.3">
      <c r="A26" t="s">
        <v>27</v>
      </c>
      <c r="B26">
        <v>1</v>
      </c>
      <c r="C26">
        <v>2013</v>
      </c>
      <c r="D26" s="1">
        <v>41607</v>
      </c>
      <c r="E26" s="2">
        <v>4055240000</v>
      </c>
      <c r="F26" s="2">
        <v>586557000</v>
      </c>
      <c r="G26" s="2">
        <v>2140578000</v>
      </c>
      <c r="H26" s="2">
        <v>826631000</v>
      </c>
      <c r="I26" s="2">
        <v>52254000</v>
      </c>
      <c r="J26" t="s">
        <v>18</v>
      </c>
      <c r="K26" t="s">
        <v>28</v>
      </c>
      <c r="L26" s="37">
        <f t="shared" si="0"/>
        <v>0.85535825253252584</v>
      </c>
      <c r="M26" s="2">
        <f t="shared" si="1"/>
        <v>3468683000</v>
      </c>
      <c r="N26" s="37">
        <f t="shared" si="2"/>
        <v>0.11077519456308381</v>
      </c>
      <c r="O26" s="2">
        <f t="shared" si="3"/>
        <v>449220000</v>
      </c>
    </row>
    <row r="27" spans="1:15" x14ac:dyDescent="0.3">
      <c r="A27" t="s">
        <v>27</v>
      </c>
      <c r="B27">
        <v>2</v>
      </c>
      <c r="C27">
        <v>2014</v>
      </c>
      <c r="D27" s="1">
        <v>41971</v>
      </c>
      <c r="E27" s="2">
        <v>4147065000</v>
      </c>
      <c r="F27" s="2">
        <v>622080000</v>
      </c>
      <c r="G27" s="2">
        <v>2195640000</v>
      </c>
      <c r="H27" s="2">
        <v>844353000</v>
      </c>
      <c r="I27" s="2">
        <v>52424000</v>
      </c>
      <c r="J27" t="s">
        <v>18</v>
      </c>
      <c r="K27" t="s">
        <v>28</v>
      </c>
      <c r="L27" s="37">
        <f t="shared" si="0"/>
        <v>0.84999511702854913</v>
      </c>
      <c r="M27" s="2">
        <f t="shared" si="1"/>
        <v>3524985000</v>
      </c>
      <c r="N27" s="37">
        <f t="shared" si="2"/>
        <v>0.10430702195408077</v>
      </c>
      <c r="O27" s="2">
        <f t="shared" si="3"/>
        <v>432568000</v>
      </c>
    </row>
    <row r="28" spans="1:15" x14ac:dyDescent="0.3">
      <c r="A28" t="s">
        <v>27</v>
      </c>
      <c r="B28">
        <v>3</v>
      </c>
      <c r="C28">
        <v>2015</v>
      </c>
      <c r="D28" s="1">
        <v>42335</v>
      </c>
      <c r="E28" s="2">
        <v>4795511000</v>
      </c>
      <c r="F28" s="2">
        <v>744317000</v>
      </c>
      <c r="G28" s="2">
        <v>2215161000</v>
      </c>
      <c r="H28" s="2">
        <v>862730000</v>
      </c>
      <c r="I28" s="2">
        <v>68649000</v>
      </c>
      <c r="J28" t="s">
        <v>18</v>
      </c>
      <c r="K28" t="s">
        <v>28</v>
      </c>
      <c r="L28" s="37">
        <f t="shared" si="0"/>
        <v>0.84478880352896701</v>
      </c>
      <c r="M28" s="2">
        <f t="shared" si="1"/>
        <v>4051194000</v>
      </c>
      <c r="N28" s="37">
        <f t="shared" si="2"/>
        <v>0.18864600665080322</v>
      </c>
      <c r="O28" s="2">
        <f t="shared" si="3"/>
        <v>904654000</v>
      </c>
    </row>
    <row r="29" spans="1:15" x14ac:dyDescent="0.3">
      <c r="A29" t="s">
        <v>27</v>
      </c>
      <c r="B29">
        <v>4</v>
      </c>
      <c r="C29">
        <v>2016</v>
      </c>
      <c r="D29" s="1">
        <v>42706</v>
      </c>
      <c r="E29" s="2">
        <v>5854430000</v>
      </c>
      <c r="F29" s="2">
        <v>819908000</v>
      </c>
      <c r="G29" s="2">
        <v>2487907000</v>
      </c>
      <c r="H29" s="2">
        <v>975987000</v>
      </c>
      <c r="I29" s="2">
        <v>78534000</v>
      </c>
      <c r="J29" t="s">
        <v>18</v>
      </c>
      <c r="K29" t="s">
        <v>28</v>
      </c>
      <c r="L29" s="37">
        <f t="shared" si="0"/>
        <v>0.8599508406454599</v>
      </c>
      <c r="M29" s="2">
        <f t="shared" si="1"/>
        <v>5034522000</v>
      </c>
      <c r="N29" s="37">
        <f t="shared" si="2"/>
        <v>0.25486580247778179</v>
      </c>
      <c r="O29" s="2">
        <f t="shared" si="3"/>
        <v>1492094000</v>
      </c>
    </row>
    <row r="30" spans="1:15" x14ac:dyDescent="0.3">
      <c r="A30" t="s">
        <v>29</v>
      </c>
      <c r="B30">
        <v>1</v>
      </c>
      <c r="C30">
        <v>2013</v>
      </c>
      <c r="D30" s="1">
        <v>41580</v>
      </c>
      <c r="E30" s="2">
        <v>2633689000</v>
      </c>
      <c r="F30" s="2">
        <v>941278000</v>
      </c>
      <c r="G30" s="2">
        <v>396233000</v>
      </c>
      <c r="H30" s="2">
        <v>513035000</v>
      </c>
      <c r="I30" s="2">
        <v>220000</v>
      </c>
      <c r="J30" t="s">
        <v>18</v>
      </c>
      <c r="K30" t="s">
        <v>30</v>
      </c>
      <c r="L30" s="37">
        <f t="shared" si="0"/>
        <v>0.64260092972252991</v>
      </c>
      <c r="M30" s="2">
        <f t="shared" si="1"/>
        <v>1692411000</v>
      </c>
      <c r="N30" s="37">
        <f t="shared" si="2"/>
        <v>0.29727238105941894</v>
      </c>
      <c r="O30" s="2">
        <f t="shared" si="3"/>
        <v>782923000</v>
      </c>
    </row>
    <row r="31" spans="1:15" x14ac:dyDescent="0.3">
      <c r="A31" t="s">
        <v>29</v>
      </c>
      <c r="B31">
        <v>2</v>
      </c>
      <c r="C31">
        <v>2014</v>
      </c>
      <c r="D31" s="1">
        <v>41944</v>
      </c>
      <c r="E31" s="2">
        <v>2864773000</v>
      </c>
      <c r="F31" s="2">
        <v>1034585000</v>
      </c>
      <c r="G31" s="2">
        <v>454676000</v>
      </c>
      <c r="H31" s="2">
        <v>559686000</v>
      </c>
      <c r="I31" s="2">
        <v>26020000</v>
      </c>
      <c r="J31" t="s">
        <v>18</v>
      </c>
      <c r="K31" t="s">
        <v>30</v>
      </c>
      <c r="L31" s="37">
        <f t="shared" si="0"/>
        <v>0.6388596932462014</v>
      </c>
      <c r="M31" s="2">
        <f t="shared" si="1"/>
        <v>1830188000</v>
      </c>
      <c r="N31" s="37">
        <f t="shared" si="2"/>
        <v>0.27569584047322421</v>
      </c>
      <c r="O31" s="2">
        <f t="shared" si="3"/>
        <v>789806000</v>
      </c>
    </row>
    <row r="32" spans="1:15" x14ac:dyDescent="0.3">
      <c r="A32" t="s">
        <v>29</v>
      </c>
      <c r="B32">
        <v>3</v>
      </c>
      <c r="C32">
        <v>2015</v>
      </c>
      <c r="D32" s="1">
        <v>42308</v>
      </c>
      <c r="E32" s="2">
        <v>3435092000</v>
      </c>
      <c r="F32" s="2">
        <v>1175830000</v>
      </c>
      <c r="G32" s="2">
        <v>702644000</v>
      </c>
      <c r="H32" s="2">
        <v>637459000</v>
      </c>
      <c r="I32" s="2">
        <v>88318000</v>
      </c>
      <c r="J32" t="s">
        <v>18</v>
      </c>
      <c r="K32" t="s">
        <v>30</v>
      </c>
      <c r="L32" s="37">
        <f t="shared" si="0"/>
        <v>0.65770057978068708</v>
      </c>
      <c r="M32" s="2">
        <f t="shared" si="1"/>
        <v>2259262000</v>
      </c>
      <c r="N32" s="37">
        <f t="shared" si="2"/>
        <v>0.24186863117494378</v>
      </c>
      <c r="O32" s="2">
        <f t="shared" si="3"/>
        <v>830841000</v>
      </c>
    </row>
    <row r="33" spans="1:15" x14ac:dyDescent="0.3">
      <c r="A33" t="s">
        <v>29</v>
      </c>
      <c r="B33">
        <v>4</v>
      </c>
      <c r="C33">
        <v>2016</v>
      </c>
      <c r="D33" s="1">
        <v>42672</v>
      </c>
      <c r="E33" s="2">
        <v>3421409000</v>
      </c>
      <c r="F33" s="2">
        <v>1194236000</v>
      </c>
      <c r="G33" s="2">
        <v>461438000</v>
      </c>
      <c r="H33" s="2">
        <v>653816000</v>
      </c>
      <c r="I33" s="2">
        <v>70123000</v>
      </c>
      <c r="J33" t="s">
        <v>18</v>
      </c>
      <c r="K33" t="s">
        <v>30</v>
      </c>
      <c r="L33" s="37">
        <f t="shared" si="0"/>
        <v>0.65095199083184729</v>
      </c>
      <c r="M33" s="2">
        <f t="shared" si="1"/>
        <v>2227173000</v>
      </c>
      <c r="N33" s="37">
        <f t="shared" si="2"/>
        <v>0.30449326578611324</v>
      </c>
      <c r="O33" s="2">
        <f t="shared" si="3"/>
        <v>1041796000</v>
      </c>
    </row>
    <row r="34" spans="1:15" x14ac:dyDescent="0.3">
      <c r="A34" t="s">
        <v>31</v>
      </c>
      <c r="B34">
        <v>1</v>
      </c>
      <c r="C34">
        <v>2012</v>
      </c>
      <c r="D34" s="1">
        <v>41274</v>
      </c>
      <c r="E34" s="2">
        <v>90559000000</v>
      </c>
      <c r="F34" s="2">
        <v>86936000000</v>
      </c>
      <c r="G34" s="2">
        <v>1665000000</v>
      </c>
      <c r="H34">
        <v>0</v>
      </c>
      <c r="I34">
        <v>0</v>
      </c>
      <c r="J34" t="s">
        <v>32</v>
      </c>
      <c r="K34" t="s">
        <v>33</v>
      </c>
      <c r="L34" s="37">
        <f t="shared" si="0"/>
        <v>4.0007067215848235E-2</v>
      </c>
      <c r="M34" s="2">
        <f t="shared" si="1"/>
        <v>3623000000</v>
      </c>
      <c r="N34" s="37">
        <f t="shared" si="2"/>
        <v>2.1621263485683367E-2</v>
      </c>
      <c r="O34" s="2">
        <f t="shared" si="3"/>
        <v>1958000000</v>
      </c>
    </row>
    <row r="35" spans="1:15" x14ac:dyDescent="0.3">
      <c r="A35" t="s">
        <v>31</v>
      </c>
      <c r="B35">
        <v>2</v>
      </c>
      <c r="C35">
        <v>2013</v>
      </c>
      <c r="D35" s="1">
        <v>41639</v>
      </c>
      <c r="E35" s="2">
        <v>89804000000</v>
      </c>
      <c r="F35" s="2">
        <v>85915000000</v>
      </c>
      <c r="G35" s="2">
        <v>1759000000</v>
      </c>
      <c r="H35">
        <v>0</v>
      </c>
      <c r="I35">
        <v>0</v>
      </c>
      <c r="J35" t="s">
        <v>32</v>
      </c>
      <c r="K35" t="s">
        <v>33</v>
      </c>
      <c r="L35" s="37">
        <f t="shared" si="0"/>
        <v>4.330542069395571E-2</v>
      </c>
      <c r="M35" s="2">
        <f t="shared" si="1"/>
        <v>3889000000</v>
      </c>
      <c r="N35" s="37">
        <f t="shared" si="2"/>
        <v>2.3718319896663845E-2</v>
      </c>
      <c r="O35" s="2">
        <f t="shared" si="3"/>
        <v>2130000000</v>
      </c>
    </row>
    <row r="36" spans="1:15" x14ac:dyDescent="0.3">
      <c r="A36" t="s">
        <v>31</v>
      </c>
      <c r="B36">
        <v>3</v>
      </c>
      <c r="C36">
        <v>2014</v>
      </c>
      <c r="D36" s="1">
        <v>42004</v>
      </c>
      <c r="E36" s="2">
        <v>81201000000</v>
      </c>
      <c r="F36" s="2">
        <v>76433000000</v>
      </c>
      <c r="G36" s="2">
        <v>1907000000</v>
      </c>
      <c r="H36">
        <v>0</v>
      </c>
      <c r="I36">
        <v>0</v>
      </c>
      <c r="J36" t="s">
        <v>32</v>
      </c>
      <c r="K36" t="s">
        <v>33</v>
      </c>
      <c r="L36" s="37">
        <f t="shared" si="0"/>
        <v>5.8718488688562998E-2</v>
      </c>
      <c r="M36" s="2">
        <f t="shared" si="1"/>
        <v>4768000000</v>
      </c>
      <c r="N36" s="37">
        <f t="shared" si="2"/>
        <v>3.5233556236992154E-2</v>
      </c>
      <c r="O36" s="2">
        <f t="shared" si="3"/>
        <v>2861000000</v>
      </c>
    </row>
    <row r="37" spans="1:15" x14ac:dyDescent="0.3">
      <c r="A37" t="s">
        <v>31</v>
      </c>
      <c r="B37">
        <v>4</v>
      </c>
      <c r="C37">
        <v>2015</v>
      </c>
      <c r="D37" s="1">
        <v>42369</v>
      </c>
      <c r="E37" s="2">
        <v>67702000000</v>
      </c>
      <c r="F37" s="2">
        <v>63682000000</v>
      </c>
      <c r="G37" s="2">
        <v>2010000000</v>
      </c>
      <c r="H37">
        <v>0</v>
      </c>
      <c r="I37">
        <v>0</v>
      </c>
      <c r="J37" t="s">
        <v>32</v>
      </c>
      <c r="K37" t="s">
        <v>33</v>
      </c>
      <c r="L37" s="37">
        <f t="shared" si="0"/>
        <v>5.9377861806150456E-2</v>
      </c>
      <c r="M37" s="2">
        <f t="shared" si="1"/>
        <v>4020000000</v>
      </c>
      <c r="N37" s="37">
        <f t="shared" si="2"/>
        <v>2.9688930903075242E-2</v>
      </c>
      <c r="O37" s="2">
        <f t="shared" si="3"/>
        <v>2010000000</v>
      </c>
    </row>
    <row r="38" spans="1:15" x14ac:dyDescent="0.3">
      <c r="A38" t="s">
        <v>34</v>
      </c>
      <c r="B38">
        <v>1</v>
      </c>
      <c r="C38">
        <v>2012</v>
      </c>
      <c r="D38" s="1">
        <v>41274</v>
      </c>
      <c r="E38" s="2">
        <v>3641390000</v>
      </c>
      <c r="F38" s="2">
        <v>2392091000</v>
      </c>
      <c r="G38" s="2">
        <v>108059000</v>
      </c>
      <c r="H38">
        <v>0</v>
      </c>
      <c r="I38" s="2">
        <v>166876000</v>
      </c>
      <c r="J38" t="s">
        <v>18</v>
      </c>
      <c r="K38" t="s">
        <v>35</v>
      </c>
      <c r="L38" s="37">
        <f t="shared" si="0"/>
        <v>0.34308299852528845</v>
      </c>
      <c r="M38" s="2">
        <f t="shared" si="1"/>
        <v>1249299000</v>
      </c>
      <c r="N38" s="37">
        <f t="shared" si="2"/>
        <v>0.26758023721710666</v>
      </c>
      <c r="O38" s="2">
        <f t="shared" si="3"/>
        <v>974364000</v>
      </c>
    </row>
    <row r="39" spans="1:15" x14ac:dyDescent="0.3">
      <c r="A39" t="s">
        <v>34</v>
      </c>
      <c r="B39">
        <v>2</v>
      </c>
      <c r="C39">
        <v>2013</v>
      </c>
      <c r="D39" s="1">
        <v>41639</v>
      </c>
      <c r="E39" s="2">
        <v>4319063000</v>
      </c>
      <c r="F39" s="2">
        <v>2894917000</v>
      </c>
      <c r="G39" s="2">
        <v>109115000</v>
      </c>
      <c r="H39">
        <v>0</v>
      </c>
      <c r="I39" s="2">
        <v>216119000</v>
      </c>
      <c r="J39" t="s">
        <v>18</v>
      </c>
      <c r="K39" t="s">
        <v>35</v>
      </c>
      <c r="L39" s="37">
        <f t="shared" si="0"/>
        <v>0.32973494482483812</v>
      </c>
      <c r="M39" s="2">
        <f t="shared" si="1"/>
        <v>1424146000</v>
      </c>
      <c r="N39" s="37">
        <f t="shared" si="2"/>
        <v>0.25443296381645741</v>
      </c>
      <c r="O39" s="2">
        <f t="shared" si="3"/>
        <v>1098912000</v>
      </c>
    </row>
    <row r="40" spans="1:15" x14ac:dyDescent="0.3">
      <c r="A40" t="s">
        <v>34</v>
      </c>
      <c r="B40">
        <v>3</v>
      </c>
      <c r="C40">
        <v>2014</v>
      </c>
      <c r="D40" s="1">
        <v>42004</v>
      </c>
      <c r="E40" s="2">
        <v>5302940000</v>
      </c>
      <c r="F40" s="2">
        <v>3643979000</v>
      </c>
      <c r="G40" s="2">
        <v>247412000</v>
      </c>
      <c r="H40">
        <v>0</v>
      </c>
      <c r="I40" s="2">
        <v>313082000</v>
      </c>
      <c r="J40" t="s">
        <v>18</v>
      </c>
      <c r="K40" t="s">
        <v>35</v>
      </c>
      <c r="L40" s="37">
        <f t="shared" si="0"/>
        <v>0.31283797289805282</v>
      </c>
      <c r="M40" s="2">
        <f t="shared" si="1"/>
        <v>1658961000</v>
      </c>
      <c r="N40" s="37">
        <f t="shared" si="2"/>
        <v>0.20714301877826263</v>
      </c>
      <c r="O40" s="2">
        <f t="shared" si="3"/>
        <v>1098467000</v>
      </c>
    </row>
    <row r="41" spans="1:15" x14ac:dyDescent="0.3">
      <c r="A41" t="s">
        <v>34</v>
      </c>
      <c r="B41">
        <v>4</v>
      </c>
      <c r="C41">
        <v>2015</v>
      </c>
      <c r="D41" s="1">
        <v>42369</v>
      </c>
      <c r="E41" s="2">
        <v>6439746000</v>
      </c>
      <c r="F41" s="2">
        <v>4482700000</v>
      </c>
      <c r="G41" s="2">
        <v>203046000</v>
      </c>
      <c r="H41">
        <v>0</v>
      </c>
      <c r="I41" s="2">
        <v>492140000</v>
      </c>
      <c r="J41" t="s">
        <v>18</v>
      </c>
      <c r="K41" t="s">
        <v>35</v>
      </c>
      <c r="L41" s="37">
        <f t="shared" si="0"/>
        <v>0.30390111659683472</v>
      </c>
      <c r="M41" s="2">
        <f t="shared" si="1"/>
        <v>1957046000</v>
      </c>
      <c r="N41" s="37">
        <f t="shared" si="2"/>
        <v>0.19594872220115514</v>
      </c>
      <c r="O41" s="2">
        <f t="shared" si="3"/>
        <v>1261860000</v>
      </c>
    </row>
    <row r="42" spans="1:15" x14ac:dyDescent="0.3">
      <c r="A42" t="s">
        <v>36</v>
      </c>
      <c r="B42">
        <v>1</v>
      </c>
      <c r="C42">
        <v>2013</v>
      </c>
      <c r="D42" s="1">
        <v>41305</v>
      </c>
      <c r="E42" s="2">
        <v>2312200000</v>
      </c>
      <c r="F42" s="2">
        <v>238500000</v>
      </c>
      <c r="G42" s="2">
        <v>1081800000</v>
      </c>
      <c r="H42" s="2">
        <v>600000000</v>
      </c>
      <c r="I42" s="2">
        <v>42100000</v>
      </c>
      <c r="J42" t="s">
        <v>18</v>
      </c>
      <c r="K42" t="s">
        <v>28</v>
      </c>
      <c r="L42" s="37">
        <f t="shared" si="0"/>
        <v>0.89685148343568899</v>
      </c>
      <c r="M42" s="2">
        <f t="shared" si="1"/>
        <v>2073700000</v>
      </c>
      <c r="N42" s="37">
        <f t="shared" si="2"/>
        <v>0.15128449096098953</v>
      </c>
      <c r="O42" s="2">
        <f t="shared" si="3"/>
        <v>349800000</v>
      </c>
    </row>
    <row r="43" spans="1:15" x14ac:dyDescent="0.3">
      <c r="A43" t="s">
        <v>36</v>
      </c>
      <c r="B43">
        <v>2</v>
      </c>
      <c r="C43">
        <v>2014</v>
      </c>
      <c r="D43" s="1">
        <v>41670</v>
      </c>
      <c r="E43" s="2">
        <v>2273900000</v>
      </c>
      <c r="F43" s="2">
        <v>274300000</v>
      </c>
      <c r="G43" s="2">
        <v>1054400000</v>
      </c>
      <c r="H43" s="2">
        <v>611100000</v>
      </c>
      <c r="I43" s="2">
        <v>36500000</v>
      </c>
      <c r="J43" t="s">
        <v>18</v>
      </c>
      <c r="K43" t="s">
        <v>28</v>
      </c>
      <c r="L43" s="37">
        <f t="shared" si="0"/>
        <v>0.87937024495360394</v>
      </c>
      <c r="M43" s="2">
        <f t="shared" si="1"/>
        <v>1999600000</v>
      </c>
      <c r="N43" s="37">
        <f t="shared" si="2"/>
        <v>0.1308764677426448</v>
      </c>
      <c r="O43" s="2">
        <f t="shared" si="3"/>
        <v>297600000</v>
      </c>
    </row>
    <row r="44" spans="1:15" x14ac:dyDescent="0.3">
      <c r="A44" t="s">
        <v>36</v>
      </c>
      <c r="B44">
        <v>3</v>
      </c>
      <c r="C44">
        <v>2015</v>
      </c>
      <c r="D44" s="1">
        <v>42035</v>
      </c>
      <c r="E44" s="2">
        <v>2512200000</v>
      </c>
      <c r="F44" s="2">
        <v>342100000</v>
      </c>
      <c r="G44" s="2">
        <v>1281300000</v>
      </c>
      <c r="H44" s="2">
        <v>725200000</v>
      </c>
      <c r="I44" s="2">
        <v>39800000</v>
      </c>
      <c r="J44" t="s">
        <v>18</v>
      </c>
      <c r="K44" t="s">
        <v>28</v>
      </c>
      <c r="L44" s="37">
        <f t="shared" si="0"/>
        <v>0.86382453626303635</v>
      </c>
      <c r="M44" s="2">
        <f t="shared" si="1"/>
        <v>2170100000</v>
      </c>
      <c r="N44" s="37">
        <f t="shared" si="2"/>
        <v>4.9279515962104926E-2</v>
      </c>
      <c r="O44" s="2">
        <f t="shared" si="3"/>
        <v>123800000</v>
      </c>
    </row>
    <row r="45" spans="1:15" x14ac:dyDescent="0.3">
      <c r="A45" t="s">
        <v>36</v>
      </c>
      <c r="B45">
        <v>4</v>
      </c>
      <c r="C45">
        <v>2016</v>
      </c>
      <c r="D45" s="1">
        <v>42400</v>
      </c>
      <c r="E45" s="2">
        <v>2504100000</v>
      </c>
      <c r="F45" s="2">
        <v>370700000</v>
      </c>
      <c r="G45" s="2">
        <v>1308900000</v>
      </c>
      <c r="H45" s="2">
        <v>790000000</v>
      </c>
      <c r="I45" s="2">
        <v>33200000</v>
      </c>
      <c r="J45" t="s">
        <v>18</v>
      </c>
      <c r="K45" t="s">
        <v>28</v>
      </c>
      <c r="L45" s="37">
        <f t="shared" si="0"/>
        <v>0.85196278103909595</v>
      </c>
      <c r="M45" s="2">
        <f t="shared" si="1"/>
        <v>2133400000</v>
      </c>
      <c r="N45" s="37">
        <f t="shared" si="2"/>
        <v>5.1914859630206457E-4</v>
      </c>
      <c r="O45" s="2">
        <f t="shared" si="3"/>
        <v>1300000</v>
      </c>
    </row>
    <row r="46" spans="1:15" x14ac:dyDescent="0.3">
      <c r="A46" t="s">
        <v>37</v>
      </c>
      <c r="B46">
        <v>1</v>
      </c>
      <c r="C46">
        <v>2012</v>
      </c>
      <c r="D46" s="1">
        <v>41274</v>
      </c>
      <c r="E46" s="2">
        <v>5781000000</v>
      </c>
      <c r="F46" s="2">
        <v>3477000000</v>
      </c>
      <c r="G46" s="2">
        <v>443000000</v>
      </c>
      <c r="H46">
        <v>0</v>
      </c>
      <c r="I46" s="2">
        <v>673000000</v>
      </c>
      <c r="J46" t="s">
        <v>38</v>
      </c>
      <c r="K46" t="s">
        <v>39</v>
      </c>
      <c r="L46" s="37">
        <f t="shared" si="0"/>
        <v>0.39854696419304614</v>
      </c>
      <c r="M46" s="2">
        <f t="shared" si="1"/>
        <v>2304000000</v>
      </c>
      <c r="N46" s="37">
        <f t="shared" si="2"/>
        <v>0.20550077841203945</v>
      </c>
      <c r="O46" s="2">
        <f t="shared" si="3"/>
        <v>1188000000</v>
      </c>
    </row>
    <row r="47" spans="1:15" x14ac:dyDescent="0.3">
      <c r="A47" t="s">
        <v>37</v>
      </c>
      <c r="B47">
        <v>2</v>
      </c>
      <c r="C47">
        <v>2013</v>
      </c>
      <c r="D47" s="1">
        <v>41639</v>
      </c>
      <c r="E47" s="2">
        <v>5838000000</v>
      </c>
      <c r="F47" s="2">
        <v>3490000000</v>
      </c>
      <c r="G47" s="2">
        <v>458000000</v>
      </c>
      <c r="H47">
        <v>0</v>
      </c>
      <c r="I47" s="2">
        <v>706000000</v>
      </c>
      <c r="J47" t="s">
        <v>38</v>
      </c>
      <c r="K47" t="s">
        <v>39</v>
      </c>
      <c r="L47" s="37">
        <f t="shared" si="0"/>
        <v>0.40219253168893454</v>
      </c>
      <c r="M47" s="2">
        <f t="shared" si="1"/>
        <v>2348000000</v>
      </c>
      <c r="N47" s="37">
        <f t="shared" si="2"/>
        <v>0.20280918122644742</v>
      </c>
      <c r="O47" s="2">
        <f t="shared" si="3"/>
        <v>1184000000</v>
      </c>
    </row>
    <row r="48" spans="1:15" x14ac:dyDescent="0.3">
      <c r="A48" t="s">
        <v>37</v>
      </c>
      <c r="B48">
        <v>3</v>
      </c>
      <c r="C48">
        <v>2014</v>
      </c>
      <c r="D48" s="1">
        <v>42004</v>
      </c>
      <c r="E48" s="2">
        <v>6053000000</v>
      </c>
      <c r="F48" s="2">
        <v>3586000000</v>
      </c>
      <c r="G48" s="2">
        <v>468000000</v>
      </c>
      <c r="H48">
        <v>0</v>
      </c>
      <c r="I48" s="2">
        <v>745000000</v>
      </c>
      <c r="J48" t="s">
        <v>38</v>
      </c>
      <c r="K48" t="s">
        <v>39</v>
      </c>
      <c r="L48" s="37">
        <f t="shared" si="0"/>
        <v>0.40756649595242034</v>
      </c>
      <c r="M48" s="2">
        <f t="shared" si="1"/>
        <v>2467000000</v>
      </c>
      <c r="N48" s="37">
        <f t="shared" si="2"/>
        <v>0.20716999834792665</v>
      </c>
      <c r="O48" s="2">
        <f t="shared" si="3"/>
        <v>1254000000</v>
      </c>
    </row>
    <row r="49" spans="1:15" x14ac:dyDescent="0.3">
      <c r="A49" t="s">
        <v>37</v>
      </c>
      <c r="B49">
        <v>4</v>
      </c>
      <c r="C49">
        <v>2015</v>
      </c>
      <c r="D49" s="1">
        <v>42369</v>
      </c>
      <c r="E49" s="2">
        <v>6098000000</v>
      </c>
      <c r="F49" s="2">
        <v>3501000000</v>
      </c>
      <c r="G49" s="2">
        <v>542000000</v>
      </c>
      <c r="H49">
        <v>0</v>
      </c>
      <c r="I49" s="2">
        <v>796000000</v>
      </c>
      <c r="J49" t="s">
        <v>38</v>
      </c>
      <c r="K49" t="s">
        <v>39</v>
      </c>
      <c r="L49" s="37">
        <f t="shared" si="0"/>
        <v>0.42587733683174811</v>
      </c>
      <c r="M49" s="2">
        <f t="shared" si="1"/>
        <v>2597000000</v>
      </c>
      <c r="N49" s="37">
        <f t="shared" si="2"/>
        <v>0.20646113479829453</v>
      </c>
      <c r="O49" s="2">
        <f t="shared" si="3"/>
        <v>1259000000</v>
      </c>
    </row>
    <row r="50" spans="1:15" x14ac:dyDescent="0.3">
      <c r="A50" t="s">
        <v>40</v>
      </c>
      <c r="B50">
        <v>1</v>
      </c>
      <c r="C50">
        <v>2012</v>
      </c>
      <c r="D50" s="1">
        <v>41274</v>
      </c>
      <c r="E50" s="2">
        <v>14945000000</v>
      </c>
      <c r="F50" s="2">
        <v>6395000000</v>
      </c>
      <c r="G50" s="2">
        <v>3812000000</v>
      </c>
      <c r="H50">
        <v>0</v>
      </c>
      <c r="I50" s="2">
        <v>1782000000</v>
      </c>
      <c r="J50" t="s">
        <v>38</v>
      </c>
      <c r="K50" t="s">
        <v>41</v>
      </c>
      <c r="L50" s="37">
        <f t="shared" si="0"/>
        <v>0.57209769153563061</v>
      </c>
      <c r="M50" s="2">
        <f t="shared" si="1"/>
        <v>8550000000</v>
      </c>
      <c r="N50" s="37">
        <f t="shared" si="2"/>
        <v>0.19779190364670457</v>
      </c>
      <c r="O50" s="2">
        <f t="shared" si="3"/>
        <v>2956000000</v>
      </c>
    </row>
    <row r="51" spans="1:15" x14ac:dyDescent="0.3">
      <c r="A51" t="s">
        <v>40</v>
      </c>
      <c r="B51">
        <v>2</v>
      </c>
      <c r="C51">
        <v>2013</v>
      </c>
      <c r="D51" s="1">
        <v>41639</v>
      </c>
      <c r="E51" s="2">
        <v>14813500000</v>
      </c>
      <c r="F51" s="2">
        <v>6722300000</v>
      </c>
      <c r="G51" s="2">
        <v>3329800000</v>
      </c>
      <c r="H51">
        <v>0</v>
      </c>
      <c r="I51" s="2">
        <v>1712500000</v>
      </c>
      <c r="J51" t="s">
        <v>38</v>
      </c>
      <c r="K51" t="s">
        <v>41</v>
      </c>
      <c r="L51" s="37">
        <f t="shared" si="0"/>
        <v>0.54620447564721375</v>
      </c>
      <c r="M51" s="2">
        <f t="shared" si="1"/>
        <v>8091200000</v>
      </c>
      <c r="N51" s="37">
        <f t="shared" si="2"/>
        <v>0.20581901643770883</v>
      </c>
      <c r="O51" s="2">
        <f t="shared" si="3"/>
        <v>3048900000</v>
      </c>
    </row>
    <row r="52" spans="1:15" x14ac:dyDescent="0.3">
      <c r="A52" t="s">
        <v>40</v>
      </c>
      <c r="B52">
        <v>3</v>
      </c>
      <c r="C52">
        <v>2014</v>
      </c>
      <c r="D52" s="1">
        <v>42004</v>
      </c>
      <c r="E52" s="2">
        <v>16378600000</v>
      </c>
      <c r="F52" s="2">
        <v>7685700000</v>
      </c>
      <c r="G52" s="2">
        <v>3667900000</v>
      </c>
      <c r="H52">
        <v>0</v>
      </c>
      <c r="I52" s="2">
        <v>1897600000</v>
      </c>
      <c r="J52" t="s">
        <v>38</v>
      </c>
      <c r="K52" t="s">
        <v>41</v>
      </c>
      <c r="L52" s="37">
        <f t="shared" si="0"/>
        <v>0.53074743873102714</v>
      </c>
      <c r="M52" s="2">
        <f t="shared" si="1"/>
        <v>8692900000</v>
      </c>
      <c r="N52" s="37">
        <f t="shared" si="2"/>
        <v>0.19094428095197391</v>
      </c>
      <c r="O52" s="2">
        <f t="shared" si="3"/>
        <v>3127400000</v>
      </c>
    </row>
    <row r="53" spans="1:15" x14ac:dyDescent="0.3">
      <c r="A53" t="s">
        <v>40</v>
      </c>
      <c r="B53">
        <v>4</v>
      </c>
      <c r="C53">
        <v>2015</v>
      </c>
      <c r="D53" s="1">
        <v>42369</v>
      </c>
      <c r="E53" s="2">
        <v>16453200000</v>
      </c>
      <c r="F53" s="2">
        <v>7433500000</v>
      </c>
      <c r="G53" s="2">
        <v>3676500000</v>
      </c>
      <c r="H53">
        <v>0</v>
      </c>
      <c r="I53" s="2">
        <v>2009700000</v>
      </c>
      <c r="J53" t="s">
        <v>38</v>
      </c>
      <c r="K53" t="s">
        <v>41</v>
      </c>
      <c r="L53" s="37">
        <f t="shared" si="0"/>
        <v>0.54820338900639387</v>
      </c>
      <c r="M53" s="2">
        <f t="shared" si="1"/>
        <v>9019700000</v>
      </c>
      <c r="N53" s="37">
        <f t="shared" si="2"/>
        <v>0.20260496438382808</v>
      </c>
      <c r="O53" s="2">
        <f t="shared" si="3"/>
        <v>3333500000</v>
      </c>
    </row>
    <row r="54" spans="1:15" x14ac:dyDescent="0.3">
      <c r="A54" t="s">
        <v>58</v>
      </c>
      <c r="B54">
        <v>1</v>
      </c>
      <c r="C54">
        <v>2012</v>
      </c>
      <c r="D54" s="1">
        <v>41274</v>
      </c>
      <c r="E54" s="2">
        <v>33315000000</v>
      </c>
      <c r="F54" s="2">
        <v>21618000000</v>
      </c>
      <c r="G54">
        <v>0</v>
      </c>
      <c r="H54">
        <v>0</v>
      </c>
      <c r="I54" s="2">
        <v>8002000000</v>
      </c>
      <c r="J54" t="s">
        <v>43</v>
      </c>
      <c r="K54" t="s">
        <v>46</v>
      </c>
      <c r="L54" s="37">
        <f t="shared" si="0"/>
        <v>0.35110310670868983</v>
      </c>
      <c r="M54" s="2">
        <f t="shared" si="1"/>
        <v>11697000000</v>
      </c>
      <c r="N54" s="37">
        <f t="shared" si="2"/>
        <v>0.11091100105057781</v>
      </c>
      <c r="O54" s="2">
        <f t="shared" si="3"/>
        <v>3695000000</v>
      </c>
    </row>
    <row r="55" spans="1:15" x14ac:dyDescent="0.3">
      <c r="A55" t="s">
        <v>58</v>
      </c>
      <c r="B55">
        <v>2</v>
      </c>
      <c r="C55">
        <v>2013</v>
      </c>
      <c r="D55" s="1">
        <v>41639</v>
      </c>
      <c r="E55" s="2">
        <v>34507000000</v>
      </c>
      <c r="F55" s="2">
        <v>19828000000</v>
      </c>
      <c r="G55" s="2">
        <v>1278000000</v>
      </c>
      <c r="H55">
        <v>0</v>
      </c>
      <c r="I55" s="2">
        <v>8389000000</v>
      </c>
      <c r="J55" t="s">
        <v>43</v>
      </c>
      <c r="K55" t="s">
        <v>46</v>
      </c>
      <c r="L55" s="37">
        <f t="shared" si="0"/>
        <v>0.42539194945952996</v>
      </c>
      <c r="M55" s="2">
        <f t="shared" si="1"/>
        <v>14679000000</v>
      </c>
      <c r="N55" s="37">
        <f t="shared" si="2"/>
        <v>0.1452458921378271</v>
      </c>
      <c r="O55" s="2">
        <f t="shared" si="3"/>
        <v>5012000000</v>
      </c>
    </row>
    <row r="56" spans="1:15" x14ac:dyDescent="0.3">
      <c r="A56" t="s">
        <v>58</v>
      </c>
      <c r="B56">
        <v>3</v>
      </c>
      <c r="C56">
        <v>2014</v>
      </c>
      <c r="D56" s="1">
        <v>42004</v>
      </c>
      <c r="E56" s="2">
        <v>35239000000</v>
      </c>
      <c r="F56" s="2">
        <v>21193000000</v>
      </c>
      <c r="G56" s="2">
        <v>919000000</v>
      </c>
      <c r="H56">
        <v>0</v>
      </c>
      <c r="I56" s="2">
        <v>8476000000</v>
      </c>
      <c r="J56" t="s">
        <v>43</v>
      </c>
      <c r="K56" t="s">
        <v>46</v>
      </c>
      <c r="L56" s="37">
        <f t="shared" si="0"/>
        <v>0.3985924685717529</v>
      </c>
      <c r="M56" s="2">
        <f t="shared" si="1"/>
        <v>14046000000</v>
      </c>
      <c r="N56" s="37">
        <f t="shared" si="2"/>
        <v>0.13198444904792986</v>
      </c>
      <c r="O56" s="2">
        <f t="shared" si="3"/>
        <v>4651000000</v>
      </c>
    </row>
    <row r="57" spans="1:15" x14ac:dyDescent="0.3">
      <c r="A57" t="s">
        <v>58</v>
      </c>
      <c r="B57">
        <v>4</v>
      </c>
      <c r="C57">
        <v>2015</v>
      </c>
      <c r="D57" s="1">
        <v>42369</v>
      </c>
      <c r="E57" s="2">
        <v>35653000000</v>
      </c>
      <c r="F57" s="2">
        <v>22837000000</v>
      </c>
      <c r="G57" s="2">
        <v>761000000</v>
      </c>
      <c r="H57">
        <v>0</v>
      </c>
      <c r="I57" s="2">
        <v>8445000000</v>
      </c>
      <c r="J57" t="s">
        <v>43</v>
      </c>
      <c r="K57" t="s">
        <v>46</v>
      </c>
      <c r="L57" s="37">
        <f t="shared" si="0"/>
        <v>0.35946484166830284</v>
      </c>
      <c r="M57" s="2">
        <f t="shared" si="1"/>
        <v>12816000000</v>
      </c>
      <c r="N57" s="37">
        <f t="shared" si="2"/>
        <v>0.10125375143746669</v>
      </c>
      <c r="O57" s="2">
        <f t="shared" si="3"/>
        <v>3610000000</v>
      </c>
    </row>
    <row r="58" spans="1:15" x14ac:dyDescent="0.3">
      <c r="A58" t="s">
        <v>68</v>
      </c>
      <c r="B58">
        <v>1</v>
      </c>
      <c r="C58">
        <v>2012</v>
      </c>
      <c r="D58" s="1">
        <v>41274</v>
      </c>
      <c r="E58" s="2">
        <v>10259000000</v>
      </c>
      <c r="F58" s="2">
        <v>1899000000</v>
      </c>
      <c r="G58" s="2">
        <v>3927000000</v>
      </c>
      <c r="H58">
        <v>0</v>
      </c>
      <c r="I58" s="2">
        <v>2877000000</v>
      </c>
      <c r="J58" t="s">
        <v>43</v>
      </c>
      <c r="K58" t="s">
        <v>69</v>
      </c>
      <c r="L58" s="37">
        <f t="shared" si="0"/>
        <v>0.8148942392046008</v>
      </c>
      <c r="M58" s="2">
        <f t="shared" si="1"/>
        <v>8360000000</v>
      </c>
      <c r="N58" s="37">
        <f t="shared" si="2"/>
        <v>0.15167170289501899</v>
      </c>
      <c r="O58" s="2">
        <f t="shared" si="3"/>
        <v>1556000000</v>
      </c>
    </row>
    <row r="59" spans="1:15" x14ac:dyDescent="0.3">
      <c r="A59" t="s">
        <v>68</v>
      </c>
      <c r="B59">
        <v>2</v>
      </c>
      <c r="C59">
        <v>2013</v>
      </c>
      <c r="D59" s="1">
        <v>41639</v>
      </c>
      <c r="E59" s="2">
        <v>11230000000</v>
      </c>
      <c r="F59" s="2">
        <v>1954000000</v>
      </c>
      <c r="G59" s="2">
        <v>3862000000</v>
      </c>
      <c r="H59">
        <v>0</v>
      </c>
      <c r="I59" s="2">
        <v>3132000000</v>
      </c>
      <c r="J59" t="s">
        <v>43</v>
      </c>
      <c r="K59" t="s">
        <v>69</v>
      </c>
      <c r="L59" s="37">
        <f t="shared" si="0"/>
        <v>0.8260017809439002</v>
      </c>
      <c r="M59" s="2">
        <f t="shared" si="1"/>
        <v>9276000000</v>
      </c>
      <c r="N59" s="37">
        <f t="shared" si="2"/>
        <v>0.20320569902048086</v>
      </c>
      <c r="O59" s="2">
        <f t="shared" si="3"/>
        <v>2282000000</v>
      </c>
    </row>
    <row r="60" spans="1:15" x14ac:dyDescent="0.3">
      <c r="A60" t="s">
        <v>68</v>
      </c>
      <c r="B60">
        <v>3</v>
      </c>
      <c r="C60">
        <v>2014</v>
      </c>
      <c r="D60" s="1">
        <v>42004</v>
      </c>
      <c r="E60" s="2">
        <v>12296000000</v>
      </c>
      <c r="F60" s="2">
        <v>1982000000</v>
      </c>
      <c r="G60" s="2">
        <v>3808000000</v>
      </c>
      <c r="H60">
        <v>0</v>
      </c>
      <c r="I60" s="2">
        <v>3603000000</v>
      </c>
      <c r="J60" t="s">
        <v>43</v>
      </c>
      <c r="K60" t="s">
        <v>69</v>
      </c>
      <c r="L60" s="37">
        <f t="shared" si="0"/>
        <v>0.83880936890045543</v>
      </c>
      <c r="M60" s="2">
        <f t="shared" si="1"/>
        <v>10314000000</v>
      </c>
      <c r="N60" s="37">
        <f t="shared" si="2"/>
        <v>0.23609303838646714</v>
      </c>
      <c r="O60" s="2">
        <f t="shared" si="3"/>
        <v>2903000000</v>
      </c>
    </row>
    <row r="61" spans="1:15" x14ac:dyDescent="0.3">
      <c r="A61" t="s">
        <v>68</v>
      </c>
      <c r="B61">
        <v>4</v>
      </c>
      <c r="C61">
        <v>2015</v>
      </c>
      <c r="D61" s="1">
        <v>42369</v>
      </c>
      <c r="E61" s="2">
        <v>12200000000</v>
      </c>
      <c r="F61" s="2">
        <v>2261000000</v>
      </c>
      <c r="G61" s="2">
        <v>3750000000</v>
      </c>
      <c r="H61">
        <v>0</v>
      </c>
      <c r="I61" s="2">
        <v>3630000000</v>
      </c>
      <c r="J61" t="s">
        <v>43</v>
      </c>
      <c r="K61" t="s">
        <v>69</v>
      </c>
      <c r="L61" s="37">
        <f t="shared" si="0"/>
        <v>0.814672131147541</v>
      </c>
      <c r="M61" s="2">
        <f t="shared" si="1"/>
        <v>9939000000</v>
      </c>
      <c r="N61" s="37">
        <f t="shared" si="2"/>
        <v>0.20975409836065573</v>
      </c>
      <c r="O61" s="2">
        <f t="shared" si="3"/>
        <v>2559000000</v>
      </c>
    </row>
    <row r="62" spans="1:15" x14ac:dyDescent="0.3">
      <c r="A62" t="s">
        <v>47</v>
      </c>
      <c r="B62">
        <v>1</v>
      </c>
      <c r="C62">
        <v>2012</v>
      </c>
      <c r="D62" s="1">
        <v>41274</v>
      </c>
      <c r="E62" s="2">
        <v>958511000</v>
      </c>
      <c r="F62" s="2">
        <v>386355000</v>
      </c>
      <c r="G62" s="2">
        <v>61732000</v>
      </c>
      <c r="H62">
        <v>0</v>
      </c>
      <c r="I62" s="2">
        <v>325173000</v>
      </c>
      <c r="J62" t="s">
        <v>48</v>
      </c>
      <c r="K62" t="s">
        <v>49</v>
      </c>
      <c r="L62" s="37">
        <f t="shared" si="0"/>
        <v>0.59692168373654553</v>
      </c>
      <c r="M62" s="2">
        <f t="shared" si="1"/>
        <v>572156000</v>
      </c>
      <c r="N62" s="37">
        <f t="shared" si="2"/>
        <v>0.19326956080837884</v>
      </c>
      <c r="O62" s="2">
        <f t="shared" si="3"/>
        <v>185251000</v>
      </c>
    </row>
    <row r="63" spans="1:15" x14ac:dyDescent="0.3">
      <c r="A63" t="s">
        <v>47</v>
      </c>
      <c r="B63">
        <v>2</v>
      </c>
      <c r="C63">
        <v>2013</v>
      </c>
      <c r="D63" s="1">
        <v>41639</v>
      </c>
      <c r="E63" s="2">
        <v>974053000</v>
      </c>
      <c r="F63" s="2">
        <v>380051000</v>
      </c>
      <c r="G63" s="2">
        <v>53073000</v>
      </c>
      <c r="H63">
        <v>0</v>
      </c>
      <c r="I63" s="2">
        <v>291910000</v>
      </c>
      <c r="J63" t="s">
        <v>48</v>
      </c>
      <c r="K63" t="s">
        <v>49</v>
      </c>
      <c r="L63" s="37">
        <f t="shared" si="0"/>
        <v>0.6098251327186508</v>
      </c>
      <c r="M63" s="2">
        <f t="shared" si="1"/>
        <v>594002000</v>
      </c>
      <c r="N63" s="37">
        <f t="shared" si="2"/>
        <v>0.25565241316437609</v>
      </c>
      <c r="O63" s="2">
        <f t="shared" si="3"/>
        <v>249019000</v>
      </c>
    </row>
    <row r="64" spans="1:15" x14ac:dyDescent="0.3">
      <c r="A64" t="s">
        <v>47</v>
      </c>
      <c r="B64">
        <v>3</v>
      </c>
      <c r="C64">
        <v>2014</v>
      </c>
      <c r="D64" s="1">
        <v>42004</v>
      </c>
      <c r="E64" s="2">
        <v>984363000</v>
      </c>
      <c r="F64" s="2">
        <v>380964000</v>
      </c>
      <c r="G64" s="2">
        <v>56621000</v>
      </c>
      <c r="H64">
        <v>0</v>
      </c>
      <c r="I64" s="2">
        <v>282608000</v>
      </c>
      <c r="J64" t="s">
        <v>48</v>
      </c>
      <c r="K64" t="s">
        <v>49</v>
      </c>
      <c r="L64" s="37">
        <f t="shared" si="0"/>
        <v>0.61298423447447736</v>
      </c>
      <c r="M64" s="2">
        <f t="shared" si="1"/>
        <v>603399000</v>
      </c>
      <c r="N64" s="37">
        <f t="shared" si="2"/>
        <v>0.2683664461179463</v>
      </c>
      <c r="O64" s="2">
        <f t="shared" si="3"/>
        <v>264170000</v>
      </c>
    </row>
    <row r="65" spans="1:15" x14ac:dyDescent="0.3">
      <c r="A65" t="s">
        <v>47</v>
      </c>
      <c r="B65">
        <v>4</v>
      </c>
      <c r="C65">
        <v>2015</v>
      </c>
      <c r="D65" s="1">
        <v>42369</v>
      </c>
      <c r="E65" s="2">
        <v>981310000</v>
      </c>
      <c r="F65" s="2">
        <v>365248000</v>
      </c>
      <c r="G65" s="2">
        <v>53546000</v>
      </c>
      <c r="H65">
        <v>0</v>
      </c>
      <c r="I65" s="2">
        <v>306301000</v>
      </c>
      <c r="J65" t="s">
        <v>48</v>
      </c>
      <c r="K65" t="s">
        <v>49</v>
      </c>
      <c r="L65" s="37">
        <f t="shared" si="0"/>
        <v>0.62779549785490829</v>
      </c>
      <c r="M65" s="2">
        <f t="shared" si="1"/>
        <v>616062000</v>
      </c>
      <c r="N65" s="37">
        <f t="shared" si="2"/>
        <v>0.26109486298926943</v>
      </c>
      <c r="O65" s="2">
        <f t="shared" si="3"/>
        <v>256215000</v>
      </c>
    </row>
    <row r="66" spans="1:15" x14ac:dyDescent="0.3">
      <c r="A66" t="s">
        <v>95</v>
      </c>
      <c r="B66">
        <v>1</v>
      </c>
      <c r="C66">
        <v>2012</v>
      </c>
      <c r="D66" s="1">
        <v>41274</v>
      </c>
      <c r="E66" s="2">
        <v>33781000000</v>
      </c>
      <c r="F66" s="2">
        <v>480000000</v>
      </c>
      <c r="G66" s="2">
        <v>23392000000</v>
      </c>
      <c r="H66">
        <v>0</v>
      </c>
      <c r="I66" s="2">
        <v>1712000000</v>
      </c>
      <c r="J66" t="s">
        <v>43</v>
      </c>
      <c r="K66" t="s">
        <v>96</v>
      </c>
      <c r="L66" s="37">
        <f t="shared" ref="L66:L129" si="4">1-(F66/E66)</f>
        <v>0.98579082916432315</v>
      </c>
      <c r="M66" s="2">
        <f t="shared" ref="M66:M129" si="5">E66-F66</f>
        <v>33301000000</v>
      </c>
      <c r="N66" s="37">
        <f t="shared" ref="N66:N129" si="6">O66/E66</f>
        <v>0.24265119445842337</v>
      </c>
      <c r="O66" s="2">
        <f t="shared" ref="O66:O129" si="7">M66-SUM(G66:I66)</f>
        <v>8197000000</v>
      </c>
    </row>
    <row r="67" spans="1:15" x14ac:dyDescent="0.3">
      <c r="A67" t="s">
        <v>95</v>
      </c>
      <c r="B67">
        <v>2</v>
      </c>
      <c r="C67">
        <v>2013</v>
      </c>
      <c r="D67" s="1">
        <v>41639</v>
      </c>
      <c r="E67" s="2">
        <v>34828000000</v>
      </c>
      <c r="F67" s="2">
        <v>442000000</v>
      </c>
      <c r="G67" s="2">
        <v>23150000000</v>
      </c>
      <c r="H67">
        <v>0</v>
      </c>
      <c r="I67" s="2">
        <v>1832000000</v>
      </c>
      <c r="J67" t="s">
        <v>43</v>
      </c>
      <c r="K67" t="s">
        <v>96</v>
      </c>
      <c r="L67" s="37">
        <f t="shared" si="4"/>
        <v>0.98730906167451471</v>
      </c>
      <c r="M67" s="2">
        <f t="shared" si="5"/>
        <v>34386000000</v>
      </c>
      <c r="N67" s="37">
        <f t="shared" si="6"/>
        <v>0.27001263351326521</v>
      </c>
      <c r="O67" s="2">
        <f t="shared" si="7"/>
        <v>9404000000</v>
      </c>
    </row>
    <row r="68" spans="1:15" x14ac:dyDescent="0.3">
      <c r="A68" t="s">
        <v>95</v>
      </c>
      <c r="B68">
        <v>3</v>
      </c>
      <c r="C68">
        <v>2014</v>
      </c>
      <c r="D68" s="1">
        <v>42004</v>
      </c>
      <c r="E68" s="2">
        <v>35895000000</v>
      </c>
      <c r="F68" s="2">
        <v>373000000</v>
      </c>
      <c r="G68" s="2">
        <v>23153000000</v>
      </c>
      <c r="H68">
        <v>0</v>
      </c>
      <c r="I68" s="2">
        <v>2044000000</v>
      </c>
      <c r="J68" t="s">
        <v>43</v>
      </c>
      <c r="K68" t="s">
        <v>96</v>
      </c>
      <c r="L68" s="37">
        <f t="shared" si="4"/>
        <v>0.98960858058225376</v>
      </c>
      <c r="M68" s="2">
        <f t="shared" si="5"/>
        <v>35522000000</v>
      </c>
      <c r="N68" s="37">
        <f t="shared" si="6"/>
        <v>0.28764451873519986</v>
      </c>
      <c r="O68" s="2">
        <f t="shared" si="7"/>
        <v>10325000000</v>
      </c>
    </row>
    <row r="69" spans="1:15" x14ac:dyDescent="0.3">
      <c r="A69" t="s">
        <v>95</v>
      </c>
      <c r="B69">
        <v>4</v>
      </c>
      <c r="C69">
        <v>2015</v>
      </c>
      <c r="D69" s="1">
        <v>42369</v>
      </c>
      <c r="E69" s="2">
        <v>34441000000</v>
      </c>
      <c r="F69" s="2">
        <v>475000000</v>
      </c>
      <c r="G69" s="2">
        <v>22892000000</v>
      </c>
      <c r="H69">
        <v>0</v>
      </c>
      <c r="I69" s="2">
        <v>1988000000</v>
      </c>
      <c r="J69" t="s">
        <v>43</v>
      </c>
      <c r="K69" t="s">
        <v>96</v>
      </c>
      <c r="L69" s="37">
        <f t="shared" si="4"/>
        <v>0.98620829824917977</v>
      </c>
      <c r="M69" s="2">
        <f t="shared" si="5"/>
        <v>33966000000</v>
      </c>
      <c r="N69" s="37">
        <f t="shared" si="6"/>
        <v>0.26381347812200573</v>
      </c>
      <c r="O69" s="2">
        <f t="shared" si="7"/>
        <v>9086000000</v>
      </c>
    </row>
    <row r="70" spans="1:15" x14ac:dyDescent="0.3">
      <c r="A70" t="s">
        <v>52</v>
      </c>
      <c r="B70">
        <v>1</v>
      </c>
      <c r="C70">
        <v>2012</v>
      </c>
      <c r="D70" s="1">
        <v>41274</v>
      </c>
      <c r="E70" s="2">
        <v>1373947000</v>
      </c>
      <c r="F70" s="2">
        <v>529900000</v>
      </c>
      <c r="G70" s="2">
        <v>433448000</v>
      </c>
      <c r="H70" s="2">
        <v>74744000</v>
      </c>
      <c r="I70" s="2">
        <v>20962000</v>
      </c>
      <c r="J70" t="s">
        <v>18</v>
      </c>
      <c r="K70" t="s">
        <v>53</v>
      </c>
      <c r="L70" s="37">
        <f t="shared" si="4"/>
        <v>0.61432282322389442</v>
      </c>
      <c r="M70" s="2">
        <f t="shared" si="5"/>
        <v>844047000</v>
      </c>
      <c r="N70" s="37">
        <f t="shared" si="6"/>
        <v>0.2291886077119423</v>
      </c>
      <c r="O70" s="2">
        <f t="shared" si="7"/>
        <v>314893000</v>
      </c>
    </row>
    <row r="71" spans="1:15" x14ac:dyDescent="0.3">
      <c r="A71" t="s">
        <v>52</v>
      </c>
      <c r="B71">
        <v>2</v>
      </c>
      <c r="C71">
        <v>2013</v>
      </c>
      <c r="D71" s="1">
        <v>41639</v>
      </c>
      <c r="E71" s="2">
        <v>1577922000</v>
      </c>
      <c r="F71" s="2">
        <v>511087000</v>
      </c>
      <c r="G71" s="2">
        <v>535598000</v>
      </c>
      <c r="H71" s="2">
        <v>93879000</v>
      </c>
      <c r="I71" s="2">
        <v>21547000</v>
      </c>
      <c r="J71" t="s">
        <v>18</v>
      </c>
      <c r="K71" t="s">
        <v>53</v>
      </c>
      <c r="L71" s="37">
        <f t="shared" si="4"/>
        <v>0.67610122680335283</v>
      </c>
      <c r="M71" s="2">
        <f t="shared" si="5"/>
        <v>1066835000</v>
      </c>
      <c r="N71" s="37">
        <f t="shared" si="6"/>
        <v>0.26351809531776604</v>
      </c>
      <c r="O71" s="2">
        <f t="shared" si="7"/>
        <v>415811000</v>
      </c>
    </row>
    <row r="72" spans="1:15" x14ac:dyDescent="0.3">
      <c r="A72" t="s">
        <v>52</v>
      </c>
      <c r="B72">
        <v>3</v>
      </c>
      <c r="C72">
        <v>2014</v>
      </c>
      <c r="D72" s="1">
        <v>42004</v>
      </c>
      <c r="E72" s="2">
        <v>1963874000</v>
      </c>
      <c r="F72" s="2">
        <v>610943000</v>
      </c>
      <c r="G72" s="2">
        <v>704880000</v>
      </c>
      <c r="H72" s="2">
        <v>125286000</v>
      </c>
      <c r="I72" s="2">
        <v>32057000</v>
      </c>
      <c r="J72" t="s">
        <v>18</v>
      </c>
      <c r="K72" t="s">
        <v>53</v>
      </c>
      <c r="L72" s="37">
        <f t="shared" si="4"/>
        <v>0.68890926810986852</v>
      </c>
      <c r="M72" s="2">
        <f t="shared" si="5"/>
        <v>1352931000</v>
      </c>
      <c r="N72" s="37">
        <f t="shared" si="6"/>
        <v>0.24986735401558349</v>
      </c>
      <c r="O72" s="2">
        <f t="shared" si="7"/>
        <v>490708000</v>
      </c>
    </row>
    <row r="73" spans="1:15" x14ac:dyDescent="0.3">
      <c r="A73" t="s">
        <v>52</v>
      </c>
      <c r="B73">
        <v>4</v>
      </c>
      <c r="C73">
        <v>2015</v>
      </c>
      <c r="D73" s="1">
        <v>42369</v>
      </c>
      <c r="E73" s="2">
        <v>2197448000</v>
      </c>
      <c r="F73" s="2">
        <v>725620000</v>
      </c>
      <c r="G73" s="2">
        <v>829253000</v>
      </c>
      <c r="H73" s="2">
        <v>148591000</v>
      </c>
      <c r="I73" s="2">
        <v>27067000</v>
      </c>
      <c r="J73" t="s">
        <v>18</v>
      </c>
      <c r="K73" t="s">
        <v>53</v>
      </c>
      <c r="L73" s="37">
        <f t="shared" si="4"/>
        <v>0.66978968330536148</v>
      </c>
      <c r="M73" s="2">
        <f t="shared" si="5"/>
        <v>1471828000</v>
      </c>
      <c r="N73" s="37">
        <f t="shared" si="6"/>
        <v>0.21248147851507748</v>
      </c>
      <c r="O73" s="2">
        <f t="shared" si="7"/>
        <v>466917000</v>
      </c>
    </row>
    <row r="74" spans="1:15" x14ac:dyDescent="0.3">
      <c r="A74" t="s">
        <v>54</v>
      </c>
      <c r="B74">
        <v>1</v>
      </c>
      <c r="C74">
        <v>2012</v>
      </c>
      <c r="D74" s="1">
        <v>41274</v>
      </c>
      <c r="E74" s="2">
        <v>2519154000</v>
      </c>
      <c r="F74" s="2">
        <v>1620311000</v>
      </c>
      <c r="G74" s="2">
        <v>308456000</v>
      </c>
      <c r="H74" s="2">
        <v>78919000</v>
      </c>
      <c r="I74">
        <v>0</v>
      </c>
      <c r="J74" t="s">
        <v>55</v>
      </c>
      <c r="K74" t="s">
        <v>56</v>
      </c>
      <c r="L74" s="37">
        <f t="shared" si="4"/>
        <v>0.35680351419563872</v>
      </c>
      <c r="M74" s="2">
        <f t="shared" si="5"/>
        <v>898843000</v>
      </c>
      <c r="N74" s="37">
        <f t="shared" si="6"/>
        <v>0.20303165268975221</v>
      </c>
      <c r="O74" s="2">
        <f t="shared" si="7"/>
        <v>511468000</v>
      </c>
    </row>
    <row r="75" spans="1:15" x14ac:dyDescent="0.3">
      <c r="A75" t="s">
        <v>54</v>
      </c>
      <c r="B75">
        <v>2</v>
      </c>
      <c r="C75">
        <v>2013</v>
      </c>
      <c r="D75" s="1">
        <v>41639</v>
      </c>
      <c r="E75" s="2">
        <v>2394270000</v>
      </c>
      <c r="F75" s="2">
        <v>1543799000</v>
      </c>
      <c r="G75" s="2">
        <v>158189000</v>
      </c>
      <c r="H75" s="2">
        <v>82246000</v>
      </c>
      <c r="I75">
        <v>0</v>
      </c>
      <c r="J75" t="s">
        <v>55</v>
      </c>
      <c r="K75" t="s">
        <v>56</v>
      </c>
      <c r="L75" s="37">
        <f t="shared" si="4"/>
        <v>0.35521098288831254</v>
      </c>
      <c r="M75" s="2">
        <f t="shared" si="5"/>
        <v>850471000</v>
      </c>
      <c r="N75" s="37">
        <f t="shared" si="6"/>
        <v>0.25478997773851736</v>
      </c>
      <c r="O75" s="2">
        <f t="shared" si="7"/>
        <v>610036000</v>
      </c>
    </row>
    <row r="76" spans="1:15" x14ac:dyDescent="0.3">
      <c r="A76" t="s">
        <v>54</v>
      </c>
      <c r="B76">
        <v>3</v>
      </c>
      <c r="C76">
        <v>2014</v>
      </c>
      <c r="D76" s="1">
        <v>42004</v>
      </c>
      <c r="E76" s="2">
        <v>2445548000</v>
      </c>
      <c r="F76" s="2">
        <v>1674700000</v>
      </c>
      <c r="G76" s="2">
        <v>355135000</v>
      </c>
      <c r="H76" s="2">
        <v>88310000</v>
      </c>
      <c r="I76">
        <v>0</v>
      </c>
      <c r="J76" t="s">
        <v>55</v>
      </c>
      <c r="K76" t="s">
        <v>56</v>
      </c>
      <c r="L76" s="37">
        <f t="shared" si="4"/>
        <v>0.31520460853763654</v>
      </c>
      <c r="M76" s="2">
        <f t="shared" si="5"/>
        <v>770848000</v>
      </c>
      <c r="N76" s="37">
        <f t="shared" si="6"/>
        <v>0.13387715146053156</v>
      </c>
      <c r="O76" s="2">
        <f t="shared" si="7"/>
        <v>327403000</v>
      </c>
    </row>
    <row r="77" spans="1:15" x14ac:dyDescent="0.3">
      <c r="A77" t="s">
        <v>54</v>
      </c>
      <c r="B77">
        <v>4</v>
      </c>
      <c r="C77">
        <v>2015</v>
      </c>
      <c r="D77" s="1">
        <v>42369</v>
      </c>
      <c r="E77" s="2">
        <v>3651335000</v>
      </c>
      <c r="F77" s="2">
        <v>2454463000</v>
      </c>
      <c r="G77" s="2">
        <v>512274000</v>
      </c>
      <c r="H77" s="2">
        <v>102871000</v>
      </c>
      <c r="I77">
        <v>0</v>
      </c>
      <c r="J77" t="s">
        <v>55</v>
      </c>
      <c r="K77" t="s">
        <v>56</v>
      </c>
      <c r="L77" s="37">
        <f t="shared" si="4"/>
        <v>0.32779024658104505</v>
      </c>
      <c r="M77" s="2">
        <f t="shared" si="5"/>
        <v>1196872000</v>
      </c>
      <c r="N77" s="37">
        <f t="shared" si="6"/>
        <v>0.15931898880820303</v>
      </c>
      <c r="O77" s="2">
        <f t="shared" si="7"/>
        <v>581727000</v>
      </c>
    </row>
    <row r="78" spans="1:15" x14ac:dyDescent="0.3">
      <c r="A78" t="s">
        <v>57</v>
      </c>
      <c r="B78">
        <v>1</v>
      </c>
      <c r="C78">
        <v>2012</v>
      </c>
      <c r="D78" s="1">
        <v>41274</v>
      </c>
      <c r="E78" s="2">
        <v>4657000000</v>
      </c>
      <c r="F78" s="2">
        <v>2319000000</v>
      </c>
      <c r="G78" s="2">
        <v>1542000000</v>
      </c>
      <c r="H78">
        <v>0</v>
      </c>
      <c r="I78" s="2">
        <v>264000000</v>
      </c>
      <c r="J78" t="s">
        <v>12</v>
      </c>
      <c r="K78" t="s">
        <v>13</v>
      </c>
      <c r="L78" s="37">
        <f t="shared" si="4"/>
        <v>0.50203993987545625</v>
      </c>
      <c r="M78" s="2">
        <f t="shared" si="5"/>
        <v>2338000000</v>
      </c>
      <c r="N78" s="37">
        <f t="shared" si="6"/>
        <v>0.11423663302555292</v>
      </c>
      <c r="O78" s="2">
        <f t="shared" si="7"/>
        <v>532000000</v>
      </c>
    </row>
    <row r="79" spans="1:15" x14ac:dyDescent="0.3">
      <c r="A79" t="s">
        <v>57</v>
      </c>
      <c r="B79">
        <v>2</v>
      </c>
      <c r="C79">
        <v>2013</v>
      </c>
      <c r="D79" s="1">
        <v>41639</v>
      </c>
      <c r="E79" s="2">
        <v>5156000000</v>
      </c>
      <c r="F79" s="2">
        <v>2355000000</v>
      </c>
      <c r="G79" s="2">
        <v>1693000000</v>
      </c>
      <c r="H79">
        <v>0</v>
      </c>
      <c r="I79" s="2">
        <v>270000000</v>
      </c>
      <c r="J79" t="s">
        <v>12</v>
      </c>
      <c r="K79" t="s">
        <v>13</v>
      </c>
      <c r="L79" s="37">
        <f t="shared" si="4"/>
        <v>0.54325058184639263</v>
      </c>
      <c r="M79" s="2">
        <f t="shared" si="5"/>
        <v>2801000000</v>
      </c>
      <c r="N79" s="37">
        <f t="shared" si="6"/>
        <v>0.16252909231962762</v>
      </c>
      <c r="O79" s="2">
        <f t="shared" si="7"/>
        <v>838000000</v>
      </c>
    </row>
    <row r="80" spans="1:15" x14ac:dyDescent="0.3">
      <c r="A80" t="s">
        <v>57</v>
      </c>
      <c r="B80">
        <v>3</v>
      </c>
      <c r="C80">
        <v>2014</v>
      </c>
      <c r="D80" s="1">
        <v>42004</v>
      </c>
      <c r="E80" s="2">
        <v>5368000000</v>
      </c>
      <c r="F80" s="2">
        <v>2325000000</v>
      </c>
      <c r="G80" s="2">
        <v>1817000000</v>
      </c>
      <c r="H80">
        <v>0</v>
      </c>
      <c r="I80" s="2">
        <v>294000000</v>
      </c>
      <c r="J80" t="s">
        <v>12</v>
      </c>
      <c r="K80" t="s">
        <v>13</v>
      </c>
      <c r="L80" s="37">
        <f t="shared" si="4"/>
        <v>0.56687779433681074</v>
      </c>
      <c r="M80" s="2">
        <f t="shared" si="5"/>
        <v>3043000000</v>
      </c>
      <c r="N80" s="37">
        <f t="shared" si="6"/>
        <v>0.1736214605067064</v>
      </c>
      <c r="O80" s="2">
        <f t="shared" si="7"/>
        <v>932000000</v>
      </c>
    </row>
    <row r="81" spans="1:15" x14ac:dyDescent="0.3">
      <c r="A81" t="s">
        <v>57</v>
      </c>
      <c r="B81">
        <v>4</v>
      </c>
      <c r="C81">
        <v>2015</v>
      </c>
      <c r="D81" s="1">
        <v>42369</v>
      </c>
      <c r="E81" s="2">
        <v>5598000000</v>
      </c>
      <c r="F81" s="2">
        <v>1935000000</v>
      </c>
      <c r="G81" s="2">
        <v>2013000000</v>
      </c>
      <c r="H81">
        <v>0</v>
      </c>
      <c r="I81" s="2">
        <v>320000000</v>
      </c>
      <c r="J81" t="s">
        <v>12</v>
      </c>
      <c r="K81" t="s">
        <v>13</v>
      </c>
      <c r="L81" s="37">
        <f t="shared" si="4"/>
        <v>0.65434083601286175</v>
      </c>
      <c r="M81" s="2">
        <f t="shared" si="5"/>
        <v>3663000000</v>
      </c>
      <c r="N81" s="37">
        <f t="shared" si="6"/>
        <v>0.2375848517327617</v>
      </c>
      <c r="O81" s="2">
        <f t="shared" si="7"/>
        <v>1330000000</v>
      </c>
    </row>
    <row r="82" spans="1:15" x14ac:dyDescent="0.3">
      <c r="A82" t="s">
        <v>100</v>
      </c>
      <c r="B82">
        <v>1</v>
      </c>
      <c r="C82">
        <v>2012</v>
      </c>
      <c r="D82" s="1">
        <v>41274</v>
      </c>
      <c r="E82" s="2">
        <v>100078000000</v>
      </c>
      <c r="F82" s="2">
        <v>3753000000</v>
      </c>
      <c r="G82" s="2">
        <v>70829000000</v>
      </c>
      <c r="H82">
        <v>0</v>
      </c>
      <c r="I82" s="2">
        <v>9433000000</v>
      </c>
      <c r="J82" t="s">
        <v>43</v>
      </c>
      <c r="K82" t="s">
        <v>101</v>
      </c>
      <c r="L82" s="37">
        <f t="shared" si="4"/>
        <v>0.962499250584544</v>
      </c>
      <c r="M82" s="2">
        <f t="shared" si="5"/>
        <v>96325000000</v>
      </c>
      <c r="N82" s="37">
        <f t="shared" si="6"/>
        <v>0.16050480625112412</v>
      </c>
      <c r="O82" s="2">
        <f t="shared" si="7"/>
        <v>16063000000</v>
      </c>
    </row>
    <row r="83" spans="1:15" x14ac:dyDescent="0.3">
      <c r="A83" t="s">
        <v>100</v>
      </c>
      <c r="B83">
        <v>2</v>
      </c>
      <c r="C83">
        <v>2013</v>
      </c>
      <c r="D83" s="1">
        <v>41639</v>
      </c>
      <c r="E83" s="2">
        <v>101697000000</v>
      </c>
      <c r="F83" s="2">
        <v>3034000000</v>
      </c>
      <c r="G83" s="2">
        <v>68128000000</v>
      </c>
      <c r="H83">
        <v>0</v>
      </c>
      <c r="I83" s="2">
        <v>4642000000</v>
      </c>
      <c r="J83" t="s">
        <v>43</v>
      </c>
      <c r="K83" t="s">
        <v>101</v>
      </c>
      <c r="L83" s="37">
        <f t="shared" si="4"/>
        <v>0.97016627825796242</v>
      </c>
      <c r="M83" s="2">
        <f t="shared" si="5"/>
        <v>98663000000</v>
      </c>
      <c r="N83" s="37">
        <f t="shared" si="6"/>
        <v>0.25460928050974957</v>
      </c>
      <c r="O83" s="2">
        <f t="shared" si="7"/>
        <v>25893000000</v>
      </c>
    </row>
    <row r="84" spans="1:15" x14ac:dyDescent="0.3">
      <c r="A84" t="s">
        <v>100</v>
      </c>
      <c r="B84">
        <v>3</v>
      </c>
      <c r="C84">
        <v>2014</v>
      </c>
      <c r="D84" s="1">
        <v>42004</v>
      </c>
      <c r="E84" s="2">
        <v>95181000000</v>
      </c>
      <c r="F84" s="2">
        <v>2656000000</v>
      </c>
      <c r="G84" s="2">
        <v>74181000000</v>
      </c>
      <c r="H84">
        <v>0</v>
      </c>
      <c r="I84" s="2">
        <v>3211000000</v>
      </c>
      <c r="J84" t="s">
        <v>43</v>
      </c>
      <c r="K84" t="s">
        <v>101</v>
      </c>
      <c r="L84" s="37">
        <f t="shared" si="4"/>
        <v>0.97209527111503347</v>
      </c>
      <c r="M84" s="2">
        <f t="shared" si="5"/>
        <v>92525000000</v>
      </c>
      <c r="N84" s="37">
        <f t="shared" si="6"/>
        <v>0.15899181559344827</v>
      </c>
      <c r="O84" s="2">
        <f t="shared" si="7"/>
        <v>15133000000</v>
      </c>
    </row>
    <row r="85" spans="1:15" x14ac:dyDescent="0.3">
      <c r="A85" t="s">
        <v>100</v>
      </c>
      <c r="B85">
        <v>4</v>
      </c>
      <c r="C85">
        <v>2015</v>
      </c>
      <c r="D85" s="1">
        <v>42369</v>
      </c>
      <c r="E85" s="2">
        <v>93056000000</v>
      </c>
      <c r="F85" s="2">
        <v>2204000000</v>
      </c>
      <c r="G85" s="2">
        <v>56358000000</v>
      </c>
      <c r="H85">
        <v>0</v>
      </c>
      <c r="I85" s="2">
        <v>3995000000</v>
      </c>
      <c r="J85" t="s">
        <v>43</v>
      </c>
      <c r="K85" t="s">
        <v>101</v>
      </c>
      <c r="L85" s="37">
        <f t="shared" si="4"/>
        <v>0.97631533700137552</v>
      </c>
      <c r="M85" s="2">
        <f t="shared" si="5"/>
        <v>90852000000</v>
      </c>
      <c r="N85" s="37">
        <f t="shared" si="6"/>
        <v>0.3277488823933975</v>
      </c>
      <c r="O85" s="2">
        <f t="shared" si="7"/>
        <v>30499000000</v>
      </c>
    </row>
    <row r="86" spans="1:15" x14ac:dyDescent="0.3">
      <c r="A86" t="s">
        <v>59</v>
      </c>
      <c r="B86">
        <v>1</v>
      </c>
      <c r="C86">
        <v>2013</v>
      </c>
      <c r="D86" s="1">
        <v>41639</v>
      </c>
      <c r="E86" s="2">
        <v>2069600000</v>
      </c>
      <c r="F86" s="2">
        <v>1208100000</v>
      </c>
      <c r="G86" s="2">
        <v>483100000</v>
      </c>
      <c r="H86">
        <v>0</v>
      </c>
      <c r="I86">
        <v>0</v>
      </c>
      <c r="J86" t="s">
        <v>12</v>
      </c>
      <c r="K86" t="s">
        <v>60</v>
      </c>
      <c r="L86" s="37">
        <f t="shared" si="4"/>
        <v>0.41626401236954003</v>
      </c>
      <c r="M86" s="2">
        <f t="shared" si="5"/>
        <v>861500000</v>
      </c>
      <c r="N86" s="37">
        <f t="shared" si="6"/>
        <v>0.1828372632392733</v>
      </c>
      <c r="O86" s="2">
        <f t="shared" si="7"/>
        <v>378400000</v>
      </c>
    </row>
    <row r="87" spans="1:15" x14ac:dyDescent="0.3">
      <c r="A87" t="s">
        <v>59</v>
      </c>
      <c r="B87">
        <v>2</v>
      </c>
      <c r="C87">
        <v>2014</v>
      </c>
      <c r="D87" s="1">
        <v>42004</v>
      </c>
      <c r="E87" s="2">
        <v>2118300000</v>
      </c>
      <c r="F87" s="2">
        <v>1264600000</v>
      </c>
      <c r="G87" s="2">
        <v>527400000</v>
      </c>
      <c r="H87">
        <v>0</v>
      </c>
      <c r="I87">
        <v>0</v>
      </c>
      <c r="J87" t="s">
        <v>12</v>
      </c>
      <c r="K87" t="s">
        <v>60</v>
      </c>
      <c r="L87" s="37">
        <f t="shared" si="4"/>
        <v>0.40301184912429777</v>
      </c>
      <c r="M87" s="2">
        <f t="shared" si="5"/>
        <v>853700000</v>
      </c>
      <c r="N87" s="37">
        <f t="shared" si="6"/>
        <v>0.15403861587121748</v>
      </c>
      <c r="O87" s="2">
        <f t="shared" si="7"/>
        <v>326300000</v>
      </c>
    </row>
    <row r="88" spans="1:15" x14ac:dyDescent="0.3">
      <c r="A88" t="s">
        <v>59</v>
      </c>
      <c r="B88">
        <v>3</v>
      </c>
      <c r="C88">
        <v>2015</v>
      </c>
      <c r="D88" s="1">
        <v>42369</v>
      </c>
      <c r="E88" s="2">
        <v>2068100000</v>
      </c>
      <c r="F88" s="2">
        <v>1199000000</v>
      </c>
      <c r="G88" s="2">
        <v>510500000</v>
      </c>
      <c r="H88">
        <v>0</v>
      </c>
      <c r="I88">
        <v>0</v>
      </c>
      <c r="J88" t="s">
        <v>12</v>
      </c>
      <c r="K88" t="s">
        <v>60</v>
      </c>
      <c r="L88" s="37">
        <f t="shared" si="4"/>
        <v>0.42024080073497416</v>
      </c>
      <c r="M88" s="2">
        <f t="shared" si="5"/>
        <v>869100000</v>
      </c>
      <c r="N88" s="37">
        <f t="shared" si="6"/>
        <v>0.17339587060587011</v>
      </c>
      <c r="O88" s="2">
        <f t="shared" si="7"/>
        <v>358600000</v>
      </c>
    </row>
    <row r="89" spans="1:15" x14ac:dyDescent="0.3">
      <c r="A89" t="s">
        <v>59</v>
      </c>
      <c r="B89">
        <v>4</v>
      </c>
      <c r="C89">
        <v>2016</v>
      </c>
      <c r="D89" s="1">
        <v>42735</v>
      </c>
      <c r="E89" s="2">
        <v>2238000000</v>
      </c>
      <c r="F89" s="2">
        <v>1252700000</v>
      </c>
      <c r="G89" s="2">
        <v>559800000</v>
      </c>
      <c r="H89">
        <v>0</v>
      </c>
      <c r="I89">
        <v>0</v>
      </c>
      <c r="J89" t="s">
        <v>12</v>
      </c>
      <c r="K89" t="s">
        <v>60</v>
      </c>
      <c r="L89" s="37">
        <f t="shared" si="4"/>
        <v>0.4402591599642538</v>
      </c>
      <c r="M89" s="2">
        <f t="shared" si="5"/>
        <v>985300000</v>
      </c>
      <c r="N89" s="37">
        <f t="shared" si="6"/>
        <v>0.19012511170688115</v>
      </c>
      <c r="O89" s="2">
        <f t="shared" si="7"/>
        <v>425500000</v>
      </c>
    </row>
    <row r="90" spans="1:15" x14ac:dyDescent="0.3">
      <c r="A90" t="s">
        <v>104</v>
      </c>
      <c r="B90">
        <v>1</v>
      </c>
      <c r="C90">
        <v>2012</v>
      </c>
      <c r="D90" s="1">
        <v>41274</v>
      </c>
      <c r="E90" s="2">
        <v>10737000000</v>
      </c>
      <c r="F90" s="2">
        <v>429000000</v>
      </c>
      <c r="G90" s="2">
        <v>5650000000</v>
      </c>
      <c r="H90">
        <v>0</v>
      </c>
      <c r="I90" s="2">
        <v>1167000000</v>
      </c>
      <c r="J90" t="s">
        <v>43</v>
      </c>
      <c r="K90" t="s">
        <v>101</v>
      </c>
      <c r="L90" s="37">
        <f t="shared" si="4"/>
        <v>0.96004470522492313</v>
      </c>
      <c r="M90" s="2">
        <f t="shared" si="5"/>
        <v>10308000000</v>
      </c>
      <c r="N90" s="37">
        <f t="shared" si="6"/>
        <v>0.32513737543075349</v>
      </c>
      <c r="O90" s="2">
        <f t="shared" si="7"/>
        <v>3491000000</v>
      </c>
    </row>
    <row r="91" spans="1:15" x14ac:dyDescent="0.3">
      <c r="A91" t="s">
        <v>104</v>
      </c>
      <c r="B91">
        <v>2</v>
      </c>
      <c r="C91">
        <v>2013</v>
      </c>
      <c r="D91" s="1">
        <v>41639</v>
      </c>
      <c r="E91" s="2">
        <v>10543000000</v>
      </c>
      <c r="F91" s="2">
        <v>301000000</v>
      </c>
      <c r="G91" s="2">
        <v>5625000000</v>
      </c>
      <c r="H91">
        <v>0</v>
      </c>
      <c r="I91" s="2">
        <v>698000000</v>
      </c>
      <c r="J91" t="s">
        <v>43</v>
      </c>
      <c r="K91" t="s">
        <v>101</v>
      </c>
      <c r="L91" s="37">
        <f t="shared" si="4"/>
        <v>0.97145025135160767</v>
      </c>
      <c r="M91" s="2">
        <f t="shared" si="5"/>
        <v>10242000000</v>
      </c>
      <c r="N91" s="37">
        <f t="shared" si="6"/>
        <v>0.37171583040880207</v>
      </c>
      <c r="O91" s="2">
        <f t="shared" si="7"/>
        <v>3919000000</v>
      </c>
    </row>
    <row r="92" spans="1:15" x14ac:dyDescent="0.3">
      <c r="A92" t="s">
        <v>104</v>
      </c>
      <c r="B92">
        <v>3</v>
      </c>
      <c r="C92">
        <v>2014</v>
      </c>
      <c r="D92" s="1">
        <v>42004</v>
      </c>
      <c r="E92" s="2">
        <v>9998000000</v>
      </c>
      <c r="F92" s="2">
        <v>239000000</v>
      </c>
      <c r="G92" s="2">
        <v>5715000000</v>
      </c>
      <c r="H92">
        <v>0</v>
      </c>
      <c r="I92" s="2">
        <v>342000000</v>
      </c>
      <c r="J92" t="s">
        <v>43</v>
      </c>
      <c r="K92" t="s">
        <v>101</v>
      </c>
      <c r="L92" s="37">
        <f t="shared" si="4"/>
        <v>0.9760952190438088</v>
      </c>
      <c r="M92" s="2">
        <f t="shared" si="5"/>
        <v>9759000000</v>
      </c>
      <c r="N92" s="37">
        <f t="shared" si="6"/>
        <v>0.37027405481096221</v>
      </c>
      <c r="O92" s="2">
        <f t="shared" si="7"/>
        <v>3702000000</v>
      </c>
    </row>
    <row r="93" spans="1:15" x14ac:dyDescent="0.3">
      <c r="A93" t="s">
        <v>104</v>
      </c>
      <c r="B93">
        <v>4</v>
      </c>
      <c r="C93">
        <v>2015</v>
      </c>
      <c r="D93" s="1">
        <v>42369</v>
      </c>
      <c r="E93" s="2">
        <v>10346000000</v>
      </c>
      <c r="F93" s="2">
        <v>233000000</v>
      </c>
      <c r="G93" s="2">
        <v>5996000000</v>
      </c>
      <c r="H93">
        <v>0</v>
      </c>
      <c r="I93" s="2">
        <v>533000000</v>
      </c>
      <c r="J93" t="s">
        <v>43</v>
      </c>
      <c r="K93" t="s">
        <v>101</v>
      </c>
      <c r="L93" s="37">
        <f t="shared" si="4"/>
        <v>0.9774792190218442</v>
      </c>
      <c r="M93" s="2">
        <f t="shared" si="5"/>
        <v>10113000000</v>
      </c>
      <c r="N93" s="37">
        <f t="shared" si="6"/>
        <v>0.34641407307171856</v>
      </c>
      <c r="O93" s="2">
        <f t="shared" si="7"/>
        <v>3584000000</v>
      </c>
    </row>
    <row r="94" spans="1:15" x14ac:dyDescent="0.3">
      <c r="A94" t="s">
        <v>63</v>
      </c>
      <c r="B94">
        <v>1</v>
      </c>
      <c r="C94">
        <v>2013</v>
      </c>
      <c r="D94" s="1">
        <v>41574</v>
      </c>
      <c r="E94" s="2">
        <v>7509000000</v>
      </c>
      <c r="F94" s="2">
        <v>4518000000</v>
      </c>
      <c r="G94" s="2">
        <v>898000000</v>
      </c>
      <c r="H94" s="2">
        <v>1320000000</v>
      </c>
      <c r="I94">
        <v>0</v>
      </c>
      <c r="J94" t="s">
        <v>18</v>
      </c>
      <c r="K94" t="s">
        <v>64</v>
      </c>
      <c r="L94" s="37">
        <f t="shared" si="4"/>
        <v>0.39832201358369956</v>
      </c>
      <c r="M94" s="2">
        <f t="shared" si="5"/>
        <v>2991000000</v>
      </c>
      <c r="N94" s="37">
        <f t="shared" si="6"/>
        <v>0.10294313490478094</v>
      </c>
      <c r="O94" s="2">
        <f t="shared" si="7"/>
        <v>773000000</v>
      </c>
    </row>
    <row r="95" spans="1:15" x14ac:dyDescent="0.3">
      <c r="A95" t="s">
        <v>63</v>
      </c>
      <c r="B95">
        <v>2</v>
      </c>
      <c r="C95">
        <v>2014</v>
      </c>
      <c r="D95" s="1">
        <v>41938</v>
      </c>
      <c r="E95" s="2">
        <v>9072000000</v>
      </c>
      <c r="F95" s="2">
        <v>5229000000</v>
      </c>
      <c r="G95" s="2">
        <v>895000000</v>
      </c>
      <c r="H95" s="2">
        <v>1428000000</v>
      </c>
      <c r="I95">
        <v>0</v>
      </c>
      <c r="J95" t="s">
        <v>18</v>
      </c>
      <c r="K95" t="s">
        <v>64</v>
      </c>
      <c r="L95" s="37">
        <f t="shared" si="4"/>
        <v>0.42361111111111116</v>
      </c>
      <c r="M95" s="2">
        <f t="shared" si="5"/>
        <v>3843000000</v>
      </c>
      <c r="N95" s="37">
        <f t="shared" si="6"/>
        <v>0.16754850088183421</v>
      </c>
      <c r="O95" s="2">
        <f t="shared" si="7"/>
        <v>1520000000</v>
      </c>
    </row>
    <row r="96" spans="1:15" x14ac:dyDescent="0.3">
      <c r="A96" t="s">
        <v>63</v>
      </c>
      <c r="B96">
        <v>3</v>
      </c>
      <c r="C96">
        <v>2015</v>
      </c>
      <c r="D96" s="1">
        <v>42302</v>
      </c>
      <c r="E96" s="2">
        <v>9659000000</v>
      </c>
      <c r="F96" s="2">
        <v>5707000000</v>
      </c>
      <c r="G96" s="2">
        <v>808000000</v>
      </c>
      <c r="H96" s="2">
        <v>1451000000</v>
      </c>
      <c r="I96">
        <v>0</v>
      </c>
      <c r="J96" t="s">
        <v>18</v>
      </c>
      <c r="K96" t="s">
        <v>64</v>
      </c>
      <c r="L96" s="37">
        <f t="shared" si="4"/>
        <v>0.40915208613728127</v>
      </c>
      <c r="M96" s="2">
        <f t="shared" si="5"/>
        <v>3952000000</v>
      </c>
      <c r="N96" s="37">
        <f t="shared" si="6"/>
        <v>0.17527694378300032</v>
      </c>
      <c r="O96" s="2">
        <f t="shared" si="7"/>
        <v>1693000000</v>
      </c>
    </row>
    <row r="97" spans="1:15" x14ac:dyDescent="0.3">
      <c r="A97" t="s">
        <v>63</v>
      </c>
      <c r="B97">
        <v>4</v>
      </c>
      <c r="C97">
        <v>2016</v>
      </c>
      <c r="D97" s="1">
        <v>42673</v>
      </c>
      <c r="E97" s="2">
        <v>10825000000</v>
      </c>
      <c r="F97" s="2">
        <v>6314000000</v>
      </c>
      <c r="G97" s="2">
        <v>819000000</v>
      </c>
      <c r="H97" s="2">
        <v>1540000000</v>
      </c>
      <c r="I97">
        <v>0</v>
      </c>
      <c r="J97" t="s">
        <v>18</v>
      </c>
      <c r="K97" t="s">
        <v>64</v>
      </c>
      <c r="L97" s="37">
        <f t="shared" si="4"/>
        <v>0.41672055427251731</v>
      </c>
      <c r="M97" s="2">
        <f t="shared" si="5"/>
        <v>4511000000</v>
      </c>
      <c r="N97" s="37">
        <f t="shared" si="6"/>
        <v>0.19879907621247114</v>
      </c>
      <c r="O97" s="2">
        <f t="shared" si="7"/>
        <v>2152000000</v>
      </c>
    </row>
    <row r="98" spans="1:15" x14ac:dyDescent="0.3">
      <c r="A98" t="s">
        <v>65</v>
      </c>
      <c r="B98">
        <v>1</v>
      </c>
      <c r="C98">
        <v>2012</v>
      </c>
      <c r="D98" s="1">
        <v>41274</v>
      </c>
      <c r="E98" s="2">
        <v>3334213000</v>
      </c>
      <c r="F98" s="2">
        <v>2154132000</v>
      </c>
      <c r="G98" s="2">
        <v>380532000</v>
      </c>
      <c r="H98">
        <v>0</v>
      </c>
      <c r="I98" s="2">
        <v>53677000</v>
      </c>
      <c r="J98" t="s">
        <v>12</v>
      </c>
      <c r="K98" t="s">
        <v>66</v>
      </c>
      <c r="L98" s="37">
        <f t="shared" si="4"/>
        <v>0.35393089763611385</v>
      </c>
      <c r="M98" s="2">
        <f t="shared" si="5"/>
        <v>1180081000</v>
      </c>
      <c r="N98" s="37">
        <f t="shared" si="6"/>
        <v>0.22370256489312471</v>
      </c>
      <c r="O98" s="2">
        <f t="shared" si="7"/>
        <v>745872000</v>
      </c>
    </row>
    <row r="99" spans="1:15" x14ac:dyDescent="0.3">
      <c r="A99" t="s">
        <v>65</v>
      </c>
      <c r="B99">
        <v>2</v>
      </c>
      <c r="C99">
        <v>2013</v>
      </c>
      <c r="D99" s="1">
        <v>41639</v>
      </c>
      <c r="E99" s="2">
        <v>3594136000</v>
      </c>
      <c r="F99" s="2">
        <v>2323642000</v>
      </c>
      <c r="G99" s="2">
        <v>398177000</v>
      </c>
      <c r="H99">
        <v>0</v>
      </c>
      <c r="I99" s="2">
        <v>57238000</v>
      </c>
      <c r="J99" t="s">
        <v>12</v>
      </c>
      <c r="K99" t="s">
        <v>66</v>
      </c>
      <c r="L99" s="37">
        <f t="shared" si="4"/>
        <v>0.35349079723193555</v>
      </c>
      <c r="M99" s="2">
        <f t="shared" si="5"/>
        <v>1270494000</v>
      </c>
      <c r="N99" s="37">
        <f t="shared" si="6"/>
        <v>0.22678023313530707</v>
      </c>
      <c r="O99" s="2">
        <f t="shared" si="7"/>
        <v>815079000</v>
      </c>
    </row>
    <row r="100" spans="1:15" x14ac:dyDescent="0.3">
      <c r="A100" t="s">
        <v>65</v>
      </c>
      <c r="B100">
        <v>3</v>
      </c>
      <c r="C100">
        <v>2014</v>
      </c>
      <c r="D100" s="1">
        <v>42004</v>
      </c>
      <c r="E100" s="2">
        <v>4021964000</v>
      </c>
      <c r="F100" s="2">
        <v>2597017000</v>
      </c>
      <c r="G100" s="2">
        <v>462637000</v>
      </c>
      <c r="H100">
        <v>0</v>
      </c>
      <c r="I100" s="2">
        <v>63724000</v>
      </c>
      <c r="J100" t="s">
        <v>12</v>
      </c>
      <c r="K100" t="s">
        <v>66</v>
      </c>
      <c r="L100" s="37">
        <f t="shared" si="4"/>
        <v>0.35429133627252751</v>
      </c>
      <c r="M100" s="2">
        <f t="shared" si="5"/>
        <v>1424947000</v>
      </c>
      <c r="N100" s="37">
        <f t="shared" si="6"/>
        <v>0.22341970241404449</v>
      </c>
      <c r="O100" s="2">
        <f t="shared" si="7"/>
        <v>898586000</v>
      </c>
    </row>
    <row r="101" spans="1:15" x14ac:dyDescent="0.3">
      <c r="A101" t="s">
        <v>65</v>
      </c>
      <c r="B101">
        <v>4</v>
      </c>
      <c r="C101">
        <v>2015</v>
      </c>
      <c r="D101" s="1">
        <v>42369</v>
      </c>
      <c r="E101" s="2">
        <v>3974295000</v>
      </c>
      <c r="F101" s="2">
        <v>2549280000</v>
      </c>
      <c r="G101" s="2">
        <v>448592000</v>
      </c>
      <c r="H101">
        <v>0</v>
      </c>
      <c r="I101" s="2">
        <v>68707000</v>
      </c>
      <c r="J101" t="s">
        <v>12</v>
      </c>
      <c r="K101" t="s">
        <v>66</v>
      </c>
      <c r="L101" s="37">
        <f t="shared" si="4"/>
        <v>0.35855793291640403</v>
      </c>
      <c r="M101" s="2">
        <f t="shared" si="5"/>
        <v>1425015000</v>
      </c>
      <c r="N101" s="37">
        <f t="shared" si="6"/>
        <v>0.22839673451517817</v>
      </c>
      <c r="O101" s="2">
        <f t="shared" si="7"/>
        <v>907716000</v>
      </c>
    </row>
    <row r="102" spans="1:15" x14ac:dyDescent="0.3">
      <c r="A102" t="s">
        <v>124</v>
      </c>
      <c r="B102">
        <v>1</v>
      </c>
      <c r="C102">
        <v>2012</v>
      </c>
      <c r="D102" s="1">
        <v>41274</v>
      </c>
      <c r="E102" s="2">
        <v>17936000000</v>
      </c>
      <c r="F102" s="2">
        <v>12620000000</v>
      </c>
      <c r="G102" s="2">
        <v>2096000000</v>
      </c>
      <c r="H102">
        <v>0</v>
      </c>
      <c r="I102" s="2">
        <v>-6000000</v>
      </c>
      <c r="J102" t="s">
        <v>43</v>
      </c>
      <c r="K102" t="s">
        <v>46</v>
      </c>
      <c r="L102" s="37">
        <f t="shared" si="4"/>
        <v>0.29638715432649421</v>
      </c>
      <c r="M102" s="2">
        <f t="shared" si="5"/>
        <v>5316000000</v>
      </c>
      <c r="N102" s="37">
        <f t="shared" si="6"/>
        <v>0.17986173059768065</v>
      </c>
      <c r="O102" s="2">
        <f t="shared" si="7"/>
        <v>3226000000</v>
      </c>
    </row>
    <row r="103" spans="1:15" x14ac:dyDescent="0.3">
      <c r="A103" t="s">
        <v>124</v>
      </c>
      <c r="B103">
        <v>2</v>
      </c>
      <c r="C103">
        <v>2013</v>
      </c>
      <c r="D103" s="1">
        <v>41639</v>
      </c>
      <c r="E103" s="2">
        <v>19261000000</v>
      </c>
      <c r="F103" s="2">
        <v>12522000000</v>
      </c>
      <c r="G103" s="2">
        <v>2211000000</v>
      </c>
      <c r="H103">
        <v>0</v>
      </c>
      <c r="I103" s="2">
        <v>15000000</v>
      </c>
      <c r="J103" t="s">
        <v>43</v>
      </c>
      <c r="K103" t="s">
        <v>46</v>
      </c>
      <c r="L103" s="37">
        <f t="shared" si="4"/>
        <v>0.34987799179689527</v>
      </c>
      <c r="M103" s="2">
        <f t="shared" si="5"/>
        <v>6739000000</v>
      </c>
      <c r="N103" s="37">
        <f t="shared" si="6"/>
        <v>0.2343076683453611</v>
      </c>
      <c r="O103" s="2">
        <f t="shared" si="7"/>
        <v>4513000000</v>
      </c>
    </row>
    <row r="104" spans="1:15" x14ac:dyDescent="0.3">
      <c r="A104" t="s">
        <v>124</v>
      </c>
      <c r="B104">
        <v>3</v>
      </c>
      <c r="C104">
        <v>2014</v>
      </c>
      <c r="D104" s="1">
        <v>42004</v>
      </c>
      <c r="E104" s="2">
        <v>19171000000</v>
      </c>
      <c r="F104" s="2">
        <v>13241000000</v>
      </c>
      <c r="G104" s="2">
        <v>2245000000</v>
      </c>
      <c r="H104">
        <v>0</v>
      </c>
      <c r="I104" s="2">
        <v>-82000000</v>
      </c>
      <c r="J104" t="s">
        <v>43</v>
      </c>
      <c r="K104" t="s">
        <v>46</v>
      </c>
      <c r="L104" s="37">
        <f t="shared" si="4"/>
        <v>0.30932137082051014</v>
      </c>
      <c r="M104" s="2">
        <f t="shared" si="5"/>
        <v>5930000000</v>
      </c>
      <c r="N104" s="37">
        <f t="shared" si="6"/>
        <v>0.19649470554483334</v>
      </c>
      <c r="O104" s="2">
        <f t="shared" si="7"/>
        <v>3767000000</v>
      </c>
    </row>
    <row r="105" spans="1:15" x14ac:dyDescent="0.3">
      <c r="A105" t="s">
        <v>124</v>
      </c>
      <c r="B105">
        <v>4</v>
      </c>
      <c r="C105">
        <v>2015</v>
      </c>
      <c r="D105" s="1">
        <v>42369</v>
      </c>
      <c r="E105" s="2">
        <v>18987000000</v>
      </c>
      <c r="F105" s="2">
        <v>12968000000</v>
      </c>
      <c r="G105" s="2">
        <v>2270000000</v>
      </c>
      <c r="H105">
        <v>0</v>
      </c>
      <c r="I105" s="2">
        <v>120000000</v>
      </c>
      <c r="J105" t="s">
        <v>43</v>
      </c>
      <c r="K105" t="s">
        <v>46</v>
      </c>
      <c r="L105" s="37">
        <f t="shared" si="4"/>
        <v>0.31700637278137678</v>
      </c>
      <c r="M105" s="2">
        <f t="shared" si="5"/>
        <v>6019000000</v>
      </c>
      <c r="N105" s="37">
        <f t="shared" si="6"/>
        <v>0.1911307736872597</v>
      </c>
      <c r="O105" s="2">
        <f t="shared" si="7"/>
        <v>3629000000</v>
      </c>
    </row>
    <row r="106" spans="1:15" x14ac:dyDescent="0.3">
      <c r="A106" t="s">
        <v>135</v>
      </c>
      <c r="B106">
        <v>1</v>
      </c>
      <c r="C106">
        <v>2012</v>
      </c>
      <c r="D106" s="1">
        <v>41274</v>
      </c>
      <c r="E106" s="2">
        <v>5513000000</v>
      </c>
      <c r="F106" s="2">
        <v>375000000</v>
      </c>
      <c r="G106" s="2">
        <v>3380000000</v>
      </c>
      <c r="H106">
        <v>0</v>
      </c>
      <c r="I106" s="2">
        <v>490000000</v>
      </c>
      <c r="J106" t="s">
        <v>43</v>
      </c>
      <c r="K106" t="s">
        <v>136</v>
      </c>
      <c r="L106" s="37">
        <f t="shared" si="4"/>
        <v>0.93197895882459636</v>
      </c>
      <c r="M106" s="2">
        <f t="shared" si="5"/>
        <v>5138000000</v>
      </c>
      <c r="N106" s="37">
        <f t="shared" si="6"/>
        <v>0.23000181389443133</v>
      </c>
      <c r="O106" s="2">
        <f t="shared" si="7"/>
        <v>1268000000</v>
      </c>
    </row>
    <row r="107" spans="1:15" x14ac:dyDescent="0.3">
      <c r="A107" t="s">
        <v>135</v>
      </c>
      <c r="B107">
        <v>2</v>
      </c>
      <c r="C107">
        <v>2013</v>
      </c>
      <c r="D107" s="1">
        <v>41639</v>
      </c>
      <c r="E107" s="2">
        <v>5133000000</v>
      </c>
      <c r="F107" s="2">
        <v>216000000</v>
      </c>
      <c r="G107" s="2">
        <v>3142000000</v>
      </c>
      <c r="H107">
        <v>0</v>
      </c>
      <c r="I107" s="2">
        <v>581000000</v>
      </c>
      <c r="J107" t="s">
        <v>43</v>
      </c>
      <c r="K107" t="s">
        <v>136</v>
      </c>
      <c r="L107" s="37">
        <f t="shared" si="4"/>
        <v>0.95791934541203971</v>
      </c>
      <c r="M107" s="2">
        <f t="shared" si="5"/>
        <v>4917000000</v>
      </c>
      <c r="N107" s="37">
        <f t="shared" si="6"/>
        <v>0.23261250730566921</v>
      </c>
      <c r="O107" s="2">
        <f t="shared" si="7"/>
        <v>1194000000</v>
      </c>
    </row>
    <row r="108" spans="1:15" x14ac:dyDescent="0.3">
      <c r="A108" t="s">
        <v>135</v>
      </c>
      <c r="B108">
        <v>3</v>
      </c>
      <c r="C108">
        <v>2014</v>
      </c>
      <c r="D108" s="1">
        <v>42004</v>
      </c>
      <c r="E108" s="2">
        <v>5342000000</v>
      </c>
      <c r="F108" s="2">
        <v>160000000</v>
      </c>
      <c r="G108" s="2">
        <v>3247000000</v>
      </c>
      <c r="H108">
        <v>0</v>
      </c>
      <c r="I108" s="2">
        <v>464000000</v>
      </c>
      <c r="J108" t="s">
        <v>43</v>
      </c>
      <c r="K108" t="s">
        <v>136</v>
      </c>
      <c r="L108" s="37">
        <f t="shared" si="4"/>
        <v>0.97004867090977165</v>
      </c>
      <c r="M108" s="2">
        <f t="shared" si="5"/>
        <v>5182000000</v>
      </c>
      <c r="N108" s="37">
        <f t="shared" si="6"/>
        <v>0.27536503182328714</v>
      </c>
      <c r="O108" s="2">
        <f t="shared" si="7"/>
        <v>1471000000</v>
      </c>
    </row>
    <row r="109" spans="1:15" x14ac:dyDescent="0.3">
      <c r="A109" t="s">
        <v>135</v>
      </c>
      <c r="B109">
        <v>4</v>
      </c>
      <c r="C109">
        <v>2015</v>
      </c>
      <c r="D109" s="1">
        <v>42369</v>
      </c>
      <c r="E109" s="2">
        <v>5276000000</v>
      </c>
      <c r="F109" s="2">
        <v>237000000</v>
      </c>
      <c r="G109" s="2">
        <v>3113000000</v>
      </c>
      <c r="H109">
        <v>0</v>
      </c>
      <c r="I109" s="2">
        <v>448000000</v>
      </c>
      <c r="J109" t="s">
        <v>43</v>
      </c>
      <c r="K109" t="s">
        <v>136</v>
      </c>
      <c r="L109" s="37">
        <f t="shared" si="4"/>
        <v>0.95507960576194084</v>
      </c>
      <c r="M109" s="2">
        <f t="shared" si="5"/>
        <v>5039000000</v>
      </c>
      <c r="N109" s="37">
        <f t="shared" si="6"/>
        <v>0.28013646702047007</v>
      </c>
      <c r="O109" s="2">
        <f t="shared" si="7"/>
        <v>1478000000</v>
      </c>
    </row>
    <row r="110" spans="1:15" x14ac:dyDescent="0.3">
      <c r="A110" t="s">
        <v>70</v>
      </c>
      <c r="B110">
        <v>1</v>
      </c>
      <c r="C110">
        <v>2012</v>
      </c>
      <c r="D110" s="1">
        <v>41274</v>
      </c>
      <c r="E110" s="2">
        <v>2875960000</v>
      </c>
      <c r="F110" s="2">
        <v>722479000</v>
      </c>
      <c r="G110" s="2">
        <v>389486000</v>
      </c>
      <c r="H110">
        <v>0</v>
      </c>
      <c r="I110" s="2">
        <v>644276000</v>
      </c>
      <c r="J110" t="s">
        <v>48</v>
      </c>
      <c r="K110" t="s">
        <v>71</v>
      </c>
      <c r="L110" s="37">
        <f t="shared" si="4"/>
        <v>0.74878683987259909</v>
      </c>
      <c r="M110" s="2">
        <f t="shared" si="5"/>
        <v>2153481000</v>
      </c>
      <c r="N110" s="37">
        <f t="shared" si="6"/>
        <v>0.38933747340018637</v>
      </c>
      <c r="O110" s="2">
        <f t="shared" si="7"/>
        <v>1119719000</v>
      </c>
    </row>
    <row r="111" spans="1:15" x14ac:dyDescent="0.3">
      <c r="A111" t="s">
        <v>70</v>
      </c>
      <c r="B111">
        <v>2</v>
      </c>
      <c r="C111">
        <v>2013</v>
      </c>
      <c r="D111" s="1">
        <v>41639</v>
      </c>
      <c r="E111" s="2">
        <v>3361407000</v>
      </c>
      <c r="F111" s="2">
        <v>859873000</v>
      </c>
      <c r="G111" s="2">
        <v>487084000</v>
      </c>
      <c r="H111">
        <v>0</v>
      </c>
      <c r="I111" s="2">
        <v>800145000</v>
      </c>
      <c r="J111" t="s">
        <v>48</v>
      </c>
      <c r="K111" t="s">
        <v>71</v>
      </c>
      <c r="L111" s="37">
        <f t="shared" si="4"/>
        <v>0.74419253604219904</v>
      </c>
      <c r="M111" s="2">
        <f t="shared" si="5"/>
        <v>2501534000</v>
      </c>
      <c r="N111" s="37">
        <f t="shared" si="6"/>
        <v>0.36124902459000058</v>
      </c>
      <c r="O111" s="2">
        <f t="shared" si="7"/>
        <v>1214305000</v>
      </c>
    </row>
    <row r="112" spans="1:15" x14ac:dyDescent="0.3">
      <c r="A112" t="s">
        <v>70</v>
      </c>
      <c r="B112">
        <v>3</v>
      </c>
      <c r="C112">
        <v>2014</v>
      </c>
      <c r="D112" s="1">
        <v>42004</v>
      </c>
      <c r="E112" s="2">
        <v>4100048000</v>
      </c>
      <c r="F112" s="2">
        <v>1094265000</v>
      </c>
      <c r="G112" s="2">
        <v>515059000</v>
      </c>
      <c r="H112">
        <v>0</v>
      </c>
      <c r="I112" s="2">
        <v>1003802000</v>
      </c>
      <c r="J112" t="s">
        <v>48</v>
      </c>
      <c r="K112" t="s">
        <v>71</v>
      </c>
      <c r="L112" s="37">
        <f t="shared" si="4"/>
        <v>0.73310922213593599</v>
      </c>
      <c r="M112" s="2">
        <f t="shared" si="5"/>
        <v>3005783000</v>
      </c>
      <c r="N112" s="37">
        <f t="shared" si="6"/>
        <v>0.36265965666743416</v>
      </c>
      <c r="O112" s="2">
        <f t="shared" si="7"/>
        <v>1486922000</v>
      </c>
    </row>
    <row r="113" spans="1:15" x14ac:dyDescent="0.3">
      <c r="A113" t="s">
        <v>70</v>
      </c>
      <c r="B113">
        <v>4</v>
      </c>
      <c r="C113">
        <v>2015</v>
      </c>
      <c r="D113" s="1">
        <v>42369</v>
      </c>
      <c r="E113" s="2">
        <v>4771516000</v>
      </c>
      <c r="F113" s="2">
        <v>1308868000</v>
      </c>
      <c r="G113" s="2">
        <v>564531000</v>
      </c>
      <c r="H113">
        <v>0</v>
      </c>
      <c r="I113" s="2">
        <v>1285328000</v>
      </c>
      <c r="J113" t="s">
        <v>48</v>
      </c>
      <c r="K113" t="s">
        <v>71</v>
      </c>
      <c r="L113" s="37">
        <f t="shared" si="4"/>
        <v>0.72569137355926294</v>
      </c>
      <c r="M113" s="2">
        <f t="shared" si="5"/>
        <v>3462648000</v>
      </c>
      <c r="N113" s="37">
        <f t="shared" si="6"/>
        <v>0.33800347730155361</v>
      </c>
      <c r="O113" s="2">
        <f t="shared" si="7"/>
        <v>1612789000</v>
      </c>
    </row>
    <row r="114" spans="1:15" x14ac:dyDescent="0.3">
      <c r="A114" t="s">
        <v>72</v>
      </c>
      <c r="B114">
        <v>1</v>
      </c>
      <c r="C114">
        <v>2013</v>
      </c>
      <c r="D114" s="1">
        <v>41639</v>
      </c>
      <c r="E114" s="2">
        <v>74452000000</v>
      </c>
      <c r="F114" s="2">
        <v>54181000000</v>
      </c>
      <c r="G114" s="2">
        <v>19526000000</v>
      </c>
      <c r="H114">
        <v>0</v>
      </c>
      <c r="I114">
        <v>0</v>
      </c>
      <c r="J114" t="s">
        <v>15</v>
      </c>
      <c r="K114" t="s">
        <v>73</v>
      </c>
      <c r="L114" s="37">
        <f t="shared" si="4"/>
        <v>0.27226938161500025</v>
      </c>
      <c r="M114" s="2">
        <f t="shared" si="5"/>
        <v>20271000000</v>
      </c>
      <c r="N114" s="37">
        <f t="shared" si="6"/>
        <v>1.0006447106860796E-2</v>
      </c>
      <c r="O114" s="2">
        <f t="shared" si="7"/>
        <v>745000000</v>
      </c>
    </row>
    <row r="115" spans="1:15" x14ac:dyDescent="0.3">
      <c r="A115" t="s">
        <v>72</v>
      </c>
      <c r="B115">
        <v>2</v>
      </c>
      <c r="C115">
        <v>2014</v>
      </c>
      <c r="D115" s="1">
        <v>42004</v>
      </c>
      <c r="E115" s="2">
        <v>88988000000</v>
      </c>
      <c r="F115" s="2">
        <v>62752000000</v>
      </c>
      <c r="G115" s="2">
        <v>26058000000</v>
      </c>
      <c r="H115">
        <v>0</v>
      </c>
      <c r="I115">
        <v>0</v>
      </c>
      <c r="J115" t="s">
        <v>15</v>
      </c>
      <c r="K115" t="s">
        <v>73</v>
      </c>
      <c r="L115" s="37">
        <f t="shared" si="4"/>
        <v>0.29482626871038786</v>
      </c>
      <c r="M115" s="2">
        <f t="shared" si="5"/>
        <v>26236000000</v>
      </c>
      <c r="N115" s="37">
        <f t="shared" si="6"/>
        <v>2.000269699285297E-3</v>
      </c>
      <c r="O115" s="2">
        <f t="shared" si="7"/>
        <v>178000000</v>
      </c>
    </row>
    <row r="116" spans="1:15" x14ac:dyDescent="0.3">
      <c r="A116" t="s">
        <v>72</v>
      </c>
      <c r="B116">
        <v>3</v>
      </c>
      <c r="C116">
        <v>2015</v>
      </c>
      <c r="D116" s="1">
        <v>42369</v>
      </c>
      <c r="E116" s="2">
        <v>107006000000</v>
      </c>
      <c r="F116" s="2">
        <v>71651000000</v>
      </c>
      <c r="G116" s="2">
        <v>33122000000</v>
      </c>
      <c r="H116">
        <v>0</v>
      </c>
      <c r="I116">
        <v>0</v>
      </c>
      <c r="J116" t="s">
        <v>15</v>
      </c>
      <c r="K116" t="s">
        <v>73</v>
      </c>
      <c r="L116" s="37">
        <f t="shared" si="4"/>
        <v>0.33040203353083009</v>
      </c>
      <c r="M116" s="2">
        <f t="shared" si="5"/>
        <v>35355000000</v>
      </c>
      <c r="N116" s="37">
        <f t="shared" si="6"/>
        <v>2.0867988710913405E-2</v>
      </c>
      <c r="O116" s="2">
        <f t="shared" si="7"/>
        <v>2233000000</v>
      </c>
    </row>
    <row r="117" spans="1:15" x14ac:dyDescent="0.3">
      <c r="A117" t="s">
        <v>72</v>
      </c>
      <c r="B117">
        <v>4</v>
      </c>
      <c r="C117">
        <v>2016</v>
      </c>
      <c r="D117" s="1">
        <v>42735</v>
      </c>
      <c r="E117" s="2">
        <v>135987000000</v>
      </c>
      <c r="F117" s="2">
        <v>88265000000</v>
      </c>
      <c r="G117" s="2">
        <v>43536000000</v>
      </c>
      <c r="H117">
        <v>0</v>
      </c>
      <c r="I117">
        <v>0</v>
      </c>
      <c r="J117" t="s">
        <v>15</v>
      </c>
      <c r="K117" t="s">
        <v>73</v>
      </c>
      <c r="L117" s="37">
        <f t="shared" si="4"/>
        <v>0.35093060366064399</v>
      </c>
      <c r="M117" s="2">
        <f t="shared" si="5"/>
        <v>47722000000</v>
      </c>
      <c r="N117" s="37">
        <f t="shared" si="6"/>
        <v>3.0782354195621642E-2</v>
      </c>
      <c r="O117" s="2">
        <f t="shared" si="7"/>
        <v>4186000000</v>
      </c>
    </row>
    <row r="118" spans="1:15" x14ac:dyDescent="0.3">
      <c r="A118" t="s">
        <v>74</v>
      </c>
      <c r="B118">
        <v>1</v>
      </c>
      <c r="C118">
        <v>2013</v>
      </c>
      <c r="D118" s="1">
        <v>41639</v>
      </c>
      <c r="E118" s="2">
        <v>17517600000</v>
      </c>
      <c r="F118" s="2">
        <v>14757700000</v>
      </c>
      <c r="G118" s="2">
        <v>1924300000</v>
      </c>
      <c r="H118">
        <v>0</v>
      </c>
      <c r="I118" s="2">
        <v>95300000</v>
      </c>
      <c r="J118" t="s">
        <v>15</v>
      </c>
      <c r="K118" t="s">
        <v>75</v>
      </c>
      <c r="L118" s="37">
        <f t="shared" si="4"/>
        <v>0.15755012102114441</v>
      </c>
      <c r="M118" s="2">
        <f t="shared" si="5"/>
        <v>2759900000</v>
      </c>
      <c r="N118" s="37">
        <f t="shared" si="6"/>
        <v>4.2260355299812757E-2</v>
      </c>
      <c r="O118" s="2">
        <f t="shared" si="7"/>
        <v>740300000</v>
      </c>
    </row>
    <row r="119" spans="1:15" x14ac:dyDescent="0.3">
      <c r="A119" t="s">
        <v>74</v>
      </c>
      <c r="B119">
        <v>2</v>
      </c>
      <c r="C119">
        <v>2014</v>
      </c>
      <c r="D119" s="1">
        <v>42004</v>
      </c>
      <c r="E119" s="2">
        <v>19108800000</v>
      </c>
      <c r="F119" s="2">
        <v>16120100000</v>
      </c>
      <c r="G119" s="2">
        <v>2061000000</v>
      </c>
      <c r="H119">
        <v>0</v>
      </c>
      <c r="I119" s="2">
        <v>106900000</v>
      </c>
      <c r="J119" t="s">
        <v>15</v>
      </c>
      <c r="K119" t="s">
        <v>75</v>
      </c>
      <c r="L119" s="37">
        <f t="shared" si="4"/>
        <v>0.15640437913422089</v>
      </c>
      <c r="M119" s="2">
        <f t="shared" si="5"/>
        <v>2988700000</v>
      </c>
      <c r="N119" s="37">
        <f t="shared" si="6"/>
        <v>4.2954031650339113E-2</v>
      </c>
      <c r="O119" s="2">
        <f t="shared" si="7"/>
        <v>820800000</v>
      </c>
    </row>
    <row r="120" spans="1:15" x14ac:dyDescent="0.3">
      <c r="A120" t="s">
        <v>74</v>
      </c>
      <c r="B120">
        <v>3</v>
      </c>
      <c r="C120">
        <v>2015</v>
      </c>
      <c r="D120" s="1">
        <v>42369</v>
      </c>
      <c r="E120" s="2">
        <v>20862000000</v>
      </c>
      <c r="F120" s="2">
        <v>17600500000</v>
      </c>
      <c r="G120" s="2">
        <v>2245600000</v>
      </c>
      <c r="H120">
        <v>0</v>
      </c>
      <c r="I120" s="2">
        <v>127400000</v>
      </c>
      <c r="J120" t="s">
        <v>15</v>
      </c>
      <c r="K120" t="s">
        <v>75</v>
      </c>
      <c r="L120" s="37">
        <f t="shared" si="4"/>
        <v>0.15633688045249738</v>
      </c>
      <c r="M120" s="2">
        <f t="shared" si="5"/>
        <v>3261500000</v>
      </c>
      <c r="N120" s="37">
        <f t="shared" si="6"/>
        <v>4.2589396989742116E-2</v>
      </c>
      <c r="O120" s="2">
        <f t="shared" si="7"/>
        <v>888500000</v>
      </c>
    </row>
    <row r="121" spans="1:15" x14ac:dyDescent="0.3">
      <c r="A121" t="s">
        <v>74</v>
      </c>
      <c r="B121">
        <v>4</v>
      </c>
      <c r="C121">
        <v>2016</v>
      </c>
      <c r="D121" s="1">
        <v>42735</v>
      </c>
      <c r="E121" s="2">
        <v>21609000000</v>
      </c>
      <c r="F121" s="2">
        <v>18295800000</v>
      </c>
      <c r="G121" s="2">
        <v>2280300000</v>
      </c>
      <c r="H121">
        <v>0</v>
      </c>
      <c r="I121" s="2">
        <v>143400000</v>
      </c>
      <c r="J121" t="s">
        <v>15</v>
      </c>
      <c r="K121" t="s">
        <v>75</v>
      </c>
      <c r="L121" s="37">
        <f t="shared" si="4"/>
        <v>0.15332500347077604</v>
      </c>
      <c r="M121" s="2">
        <f t="shared" si="5"/>
        <v>3313200000</v>
      </c>
      <c r="N121" s="37">
        <f t="shared" si="6"/>
        <v>4.1163404137165072E-2</v>
      </c>
      <c r="O121" s="2">
        <f t="shared" si="7"/>
        <v>889500000</v>
      </c>
    </row>
    <row r="122" spans="1:15" x14ac:dyDescent="0.3">
      <c r="A122" t="s">
        <v>146</v>
      </c>
      <c r="B122">
        <v>1</v>
      </c>
      <c r="C122">
        <v>2012</v>
      </c>
      <c r="D122" s="1">
        <v>41274</v>
      </c>
      <c r="E122" s="2">
        <v>4111000000</v>
      </c>
      <c r="F122" s="2">
        <v>3477000000</v>
      </c>
      <c r="G122">
        <v>0</v>
      </c>
      <c r="H122">
        <v>0</v>
      </c>
      <c r="I122" s="2">
        <v>14000000</v>
      </c>
      <c r="J122" t="s">
        <v>43</v>
      </c>
      <c r="K122" t="s">
        <v>46</v>
      </c>
      <c r="L122" s="37">
        <f t="shared" si="4"/>
        <v>0.15422038433471175</v>
      </c>
      <c r="M122" s="2">
        <f t="shared" si="5"/>
        <v>634000000</v>
      </c>
      <c r="N122" s="37">
        <f t="shared" si="6"/>
        <v>0.15081488688883482</v>
      </c>
      <c r="O122" s="2">
        <f t="shared" si="7"/>
        <v>620000000</v>
      </c>
    </row>
    <row r="123" spans="1:15" x14ac:dyDescent="0.3">
      <c r="A123" t="s">
        <v>146</v>
      </c>
      <c r="B123">
        <v>2</v>
      </c>
      <c r="C123">
        <v>2013</v>
      </c>
      <c r="D123" s="1">
        <v>41639</v>
      </c>
      <c r="E123" s="2">
        <v>4531000000</v>
      </c>
      <c r="F123" s="2">
        <v>3748000000</v>
      </c>
      <c r="G123">
        <v>0</v>
      </c>
      <c r="H123">
        <v>0</v>
      </c>
      <c r="I123" s="2">
        <v>15000000</v>
      </c>
      <c r="J123" t="s">
        <v>43</v>
      </c>
      <c r="K123" t="s">
        <v>46</v>
      </c>
      <c r="L123" s="37">
        <f t="shared" si="4"/>
        <v>0.17280953431913482</v>
      </c>
      <c r="M123" s="2">
        <f t="shared" si="5"/>
        <v>783000000</v>
      </c>
      <c r="N123" s="37">
        <f t="shared" si="6"/>
        <v>0.16949900684175678</v>
      </c>
      <c r="O123" s="2">
        <f t="shared" si="7"/>
        <v>768000000</v>
      </c>
    </row>
    <row r="124" spans="1:15" x14ac:dyDescent="0.3">
      <c r="A124" t="s">
        <v>146</v>
      </c>
      <c r="B124">
        <v>3</v>
      </c>
      <c r="C124">
        <v>2014</v>
      </c>
      <c r="D124" s="1">
        <v>42004</v>
      </c>
      <c r="E124" s="2">
        <v>4945000000</v>
      </c>
      <c r="F124" s="2">
        <v>4157000000</v>
      </c>
      <c r="G124">
        <v>0</v>
      </c>
      <c r="H124">
        <v>0</v>
      </c>
      <c r="I124" s="2">
        <v>14000000</v>
      </c>
      <c r="J124" t="s">
        <v>43</v>
      </c>
      <c r="K124" t="s">
        <v>46</v>
      </c>
      <c r="L124" s="37">
        <f t="shared" si="4"/>
        <v>0.15935288169868556</v>
      </c>
      <c r="M124" s="2">
        <f t="shared" si="5"/>
        <v>788000000</v>
      </c>
      <c r="N124" s="37">
        <f t="shared" si="6"/>
        <v>0.15652173913043479</v>
      </c>
      <c r="O124" s="2">
        <f t="shared" si="7"/>
        <v>774000000</v>
      </c>
    </row>
    <row r="125" spans="1:15" x14ac:dyDescent="0.3">
      <c r="A125" t="s">
        <v>146</v>
      </c>
      <c r="B125">
        <v>4</v>
      </c>
      <c r="C125">
        <v>2015</v>
      </c>
      <c r="D125" s="1">
        <v>42369</v>
      </c>
      <c r="E125" s="2">
        <v>5142000000</v>
      </c>
      <c r="F125" s="2">
        <v>4195000000</v>
      </c>
      <c r="G125">
        <v>0</v>
      </c>
      <c r="H125">
        <v>0</v>
      </c>
      <c r="I125" s="2">
        <v>13000000</v>
      </c>
      <c r="J125" t="s">
        <v>43</v>
      </c>
      <c r="K125" t="s">
        <v>46</v>
      </c>
      <c r="L125" s="37">
        <f t="shared" si="4"/>
        <v>0.18416958381952553</v>
      </c>
      <c r="M125" s="2">
        <f t="shared" si="5"/>
        <v>947000000</v>
      </c>
      <c r="N125" s="37">
        <f t="shared" si="6"/>
        <v>0.18164138467522364</v>
      </c>
      <c r="O125" s="2">
        <f t="shared" si="7"/>
        <v>934000000</v>
      </c>
    </row>
    <row r="126" spans="1:15" x14ac:dyDescent="0.3">
      <c r="A126" t="s">
        <v>78</v>
      </c>
      <c r="B126">
        <v>1</v>
      </c>
      <c r="C126">
        <v>2012</v>
      </c>
      <c r="D126" s="1">
        <v>41274</v>
      </c>
      <c r="E126" s="2">
        <v>16428000000</v>
      </c>
      <c r="F126" s="2">
        <v>3079000000</v>
      </c>
      <c r="G126" s="2">
        <v>1333000000</v>
      </c>
      <c r="H126">
        <v>0</v>
      </c>
      <c r="I126" s="2">
        <v>6881000000</v>
      </c>
      <c r="J126" t="s">
        <v>79</v>
      </c>
      <c r="K126" t="s">
        <v>80</v>
      </c>
      <c r="L126" s="37">
        <f t="shared" si="4"/>
        <v>0.81257608960311667</v>
      </c>
      <c r="M126" s="2">
        <f t="shared" si="5"/>
        <v>13349000000</v>
      </c>
      <c r="N126" s="37">
        <f t="shared" si="6"/>
        <v>0.31257608960311661</v>
      </c>
      <c r="O126" s="2">
        <f t="shared" si="7"/>
        <v>5135000000</v>
      </c>
    </row>
    <row r="127" spans="1:15" x14ac:dyDescent="0.3">
      <c r="A127" t="s">
        <v>78</v>
      </c>
      <c r="B127">
        <v>2</v>
      </c>
      <c r="C127">
        <v>2013</v>
      </c>
      <c r="D127" s="1">
        <v>41639</v>
      </c>
      <c r="E127" s="2">
        <v>14771000000</v>
      </c>
      <c r="F127" s="2">
        <v>2938000000</v>
      </c>
      <c r="G127" s="2">
        <v>1286000000</v>
      </c>
      <c r="H127">
        <v>0</v>
      </c>
      <c r="I127" s="2">
        <v>5866000000</v>
      </c>
      <c r="J127" t="s">
        <v>79</v>
      </c>
      <c r="K127" t="s">
        <v>80</v>
      </c>
      <c r="L127" s="37">
        <f t="shared" si="4"/>
        <v>0.80109674361925398</v>
      </c>
      <c r="M127" s="2">
        <f t="shared" si="5"/>
        <v>11833000000</v>
      </c>
      <c r="N127" s="37">
        <f t="shared" si="6"/>
        <v>0.31690474578566108</v>
      </c>
      <c r="O127" s="2">
        <f t="shared" si="7"/>
        <v>4681000000</v>
      </c>
    </row>
    <row r="128" spans="1:15" x14ac:dyDescent="0.3">
      <c r="A128" t="s">
        <v>78</v>
      </c>
      <c r="B128">
        <v>3</v>
      </c>
      <c r="C128">
        <v>2014</v>
      </c>
      <c r="D128" s="1">
        <v>42004</v>
      </c>
      <c r="E128" s="2">
        <v>12691000000</v>
      </c>
      <c r="F128" s="2">
        <v>2511000000</v>
      </c>
      <c r="G128" s="2">
        <v>1095000000</v>
      </c>
      <c r="H128">
        <v>0</v>
      </c>
      <c r="I128" s="2">
        <v>9720000000</v>
      </c>
      <c r="J128" t="s">
        <v>79</v>
      </c>
      <c r="K128" t="s">
        <v>80</v>
      </c>
      <c r="L128" s="37">
        <f t="shared" si="4"/>
        <v>0.80214325112284302</v>
      </c>
      <c r="M128" s="2">
        <f t="shared" si="5"/>
        <v>10180000000</v>
      </c>
      <c r="N128" s="37">
        <f t="shared" si="6"/>
        <v>-5.0035458198723508E-2</v>
      </c>
      <c r="O128" s="2">
        <f t="shared" si="7"/>
        <v>-635000000</v>
      </c>
    </row>
    <row r="129" spans="1:15" x14ac:dyDescent="0.3">
      <c r="A129" t="s">
        <v>78</v>
      </c>
      <c r="B129">
        <v>4</v>
      </c>
      <c r="C129">
        <v>2015</v>
      </c>
      <c r="D129" s="1">
        <v>42369</v>
      </c>
      <c r="E129" s="2">
        <v>6383000000</v>
      </c>
      <c r="F129" s="2">
        <v>2065000000</v>
      </c>
      <c r="G129" s="2">
        <v>791000000</v>
      </c>
      <c r="H129">
        <v>0</v>
      </c>
      <c r="I129" s="2">
        <v>29372000000</v>
      </c>
      <c r="J129" t="s">
        <v>79</v>
      </c>
      <c r="K129" t="s">
        <v>80</v>
      </c>
      <c r="L129" s="37">
        <f t="shared" si="4"/>
        <v>0.67648441171862761</v>
      </c>
      <c r="M129" s="2">
        <f t="shared" si="5"/>
        <v>4318000000</v>
      </c>
      <c r="N129" s="37">
        <f t="shared" si="6"/>
        <v>-4.0490365032116555</v>
      </c>
      <c r="O129" s="2">
        <f t="shared" si="7"/>
        <v>-25845000000</v>
      </c>
    </row>
    <row r="130" spans="1:15" x14ac:dyDescent="0.3">
      <c r="A130" t="s">
        <v>81</v>
      </c>
      <c r="B130">
        <v>1</v>
      </c>
      <c r="C130">
        <v>2013</v>
      </c>
      <c r="D130" s="1">
        <v>41639</v>
      </c>
      <c r="E130" s="2">
        <v>14581000000</v>
      </c>
      <c r="F130" s="2">
        <v>2942000000</v>
      </c>
      <c r="G130" s="2">
        <v>2256000000</v>
      </c>
      <c r="H130">
        <v>0</v>
      </c>
      <c r="I130" s="2">
        <v>3927000000</v>
      </c>
      <c r="J130" t="s">
        <v>79</v>
      </c>
      <c r="K130" t="s">
        <v>80</v>
      </c>
      <c r="L130" s="37">
        <f t="shared" ref="L130:L193" si="8">1-(F130/E130)</f>
        <v>0.79823057403470266</v>
      </c>
      <c r="M130" s="2">
        <f t="shared" ref="M130:M193" si="9">E130-F130</f>
        <v>11639000000</v>
      </c>
      <c r="N130" s="37">
        <f t="shared" ref="N130:N193" si="10">O130/E130</f>
        <v>0.37418558397915097</v>
      </c>
      <c r="O130" s="2">
        <f t="shared" ref="O130:O193" si="11">M130-SUM(G130:I130)</f>
        <v>5456000000</v>
      </c>
    </row>
    <row r="131" spans="1:15" x14ac:dyDescent="0.3">
      <c r="A131" t="s">
        <v>81</v>
      </c>
      <c r="B131">
        <v>2</v>
      </c>
      <c r="C131">
        <v>2014</v>
      </c>
      <c r="D131" s="1">
        <v>42004</v>
      </c>
      <c r="E131" s="2">
        <v>18470000000</v>
      </c>
      <c r="F131" s="2">
        <v>3317000000</v>
      </c>
      <c r="G131" s="2">
        <v>2725000000</v>
      </c>
      <c r="H131">
        <v>0</v>
      </c>
      <c r="I131" s="2">
        <v>4550000000</v>
      </c>
      <c r="J131" t="s">
        <v>79</v>
      </c>
      <c r="K131" t="s">
        <v>80</v>
      </c>
      <c r="L131" s="37">
        <f t="shared" si="8"/>
        <v>0.8204114780725501</v>
      </c>
      <c r="M131" s="2">
        <f t="shared" si="9"/>
        <v>15153000000</v>
      </c>
      <c r="N131" s="37">
        <f t="shared" si="10"/>
        <v>0.42652950730914996</v>
      </c>
      <c r="O131" s="2">
        <f t="shared" si="11"/>
        <v>7878000000</v>
      </c>
    </row>
    <row r="132" spans="1:15" x14ac:dyDescent="0.3">
      <c r="A132" t="s">
        <v>81</v>
      </c>
      <c r="B132">
        <v>3</v>
      </c>
      <c r="C132">
        <v>2015</v>
      </c>
      <c r="D132" s="1">
        <v>42369</v>
      </c>
      <c r="E132" s="2">
        <v>8698000000</v>
      </c>
      <c r="F132" s="2">
        <v>3185000000</v>
      </c>
      <c r="G132" s="2">
        <v>2000000000</v>
      </c>
      <c r="H132">
        <v>0</v>
      </c>
      <c r="I132" s="2">
        <v>4603000000</v>
      </c>
      <c r="J132" t="s">
        <v>79</v>
      </c>
      <c r="K132" t="s">
        <v>80</v>
      </c>
      <c r="L132" s="37">
        <f t="shared" si="8"/>
        <v>0.63382386755575992</v>
      </c>
      <c r="M132" s="2">
        <f t="shared" si="9"/>
        <v>5513000000</v>
      </c>
      <c r="N132" s="37">
        <f t="shared" si="10"/>
        <v>-0.1253161646355484</v>
      </c>
      <c r="O132" s="2">
        <f t="shared" si="11"/>
        <v>-1090000000</v>
      </c>
    </row>
    <row r="133" spans="1:15" x14ac:dyDescent="0.3">
      <c r="A133" t="s">
        <v>81</v>
      </c>
      <c r="B133">
        <v>4</v>
      </c>
      <c r="C133">
        <v>2016</v>
      </c>
      <c r="D133" s="1">
        <v>42735</v>
      </c>
      <c r="E133" s="2">
        <v>7869000000</v>
      </c>
      <c r="F133" s="2">
        <v>2900000000</v>
      </c>
      <c r="G133" s="2">
        <v>2094000000</v>
      </c>
      <c r="H133">
        <v>0</v>
      </c>
      <c r="I133" s="2">
        <v>4301000000</v>
      </c>
      <c r="J133" t="s">
        <v>79</v>
      </c>
      <c r="K133" t="s">
        <v>80</v>
      </c>
      <c r="L133" s="37">
        <f t="shared" si="8"/>
        <v>0.6314652433600203</v>
      </c>
      <c r="M133" s="2">
        <f t="shared" si="9"/>
        <v>4969000000</v>
      </c>
      <c r="N133" s="37">
        <f t="shared" si="10"/>
        <v>-0.18121743550641758</v>
      </c>
      <c r="O133" s="2">
        <f t="shared" si="11"/>
        <v>-1426000000</v>
      </c>
    </row>
    <row r="134" spans="1:15" x14ac:dyDescent="0.3">
      <c r="A134" t="s">
        <v>82</v>
      </c>
      <c r="B134">
        <v>1</v>
      </c>
      <c r="C134">
        <v>2013</v>
      </c>
      <c r="D134" s="1">
        <v>41547</v>
      </c>
      <c r="E134" s="2">
        <v>10180400000</v>
      </c>
      <c r="F134" s="2">
        <v>7472100000</v>
      </c>
      <c r="G134" s="2">
        <v>1018600000</v>
      </c>
      <c r="H134" s="2">
        <v>133700000</v>
      </c>
      <c r="I134">
        <v>0</v>
      </c>
      <c r="J134" t="s">
        <v>55</v>
      </c>
      <c r="K134" t="s">
        <v>83</v>
      </c>
      <c r="L134" s="37">
        <f t="shared" si="8"/>
        <v>0.26603080429059767</v>
      </c>
      <c r="M134" s="2">
        <f t="shared" si="9"/>
        <v>2708300000</v>
      </c>
      <c r="N134" s="37">
        <f t="shared" si="10"/>
        <v>0.152842717378492</v>
      </c>
      <c r="O134" s="2">
        <f t="shared" si="11"/>
        <v>1556000000</v>
      </c>
    </row>
    <row r="135" spans="1:15" x14ac:dyDescent="0.3">
      <c r="A135" t="s">
        <v>82</v>
      </c>
      <c r="B135">
        <v>2</v>
      </c>
      <c r="C135">
        <v>2014</v>
      </c>
      <c r="D135" s="1">
        <v>41912</v>
      </c>
      <c r="E135" s="2">
        <v>10439000000</v>
      </c>
      <c r="F135" s="2">
        <v>7629900000</v>
      </c>
      <c r="G135" s="2">
        <v>1007400000</v>
      </c>
      <c r="H135" s="2">
        <v>139800000</v>
      </c>
      <c r="I135">
        <v>0</v>
      </c>
      <c r="J135" t="s">
        <v>55</v>
      </c>
      <c r="K135" t="s">
        <v>83</v>
      </c>
      <c r="L135" s="37">
        <f t="shared" si="8"/>
        <v>0.26909665676788963</v>
      </c>
      <c r="M135" s="2">
        <f t="shared" si="9"/>
        <v>2809100000</v>
      </c>
      <c r="N135" s="37">
        <f t="shared" si="10"/>
        <v>0.15920107289970303</v>
      </c>
      <c r="O135" s="2">
        <f t="shared" si="11"/>
        <v>1661900000</v>
      </c>
    </row>
    <row r="136" spans="1:15" x14ac:dyDescent="0.3">
      <c r="A136" t="s">
        <v>82</v>
      </c>
      <c r="B136">
        <v>3</v>
      </c>
      <c r="C136">
        <v>2015</v>
      </c>
      <c r="D136" s="1">
        <v>42277</v>
      </c>
      <c r="E136" s="2">
        <v>9894900000</v>
      </c>
      <c r="F136" s="2">
        <v>6939000000</v>
      </c>
      <c r="G136" s="2">
        <v>895300000</v>
      </c>
      <c r="H136" s="2">
        <v>137100000</v>
      </c>
      <c r="I136">
        <v>0</v>
      </c>
      <c r="J136" t="s">
        <v>55</v>
      </c>
      <c r="K136" t="s">
        <v>83</v>
      </c>
      <c r="L136" s="37">
        <f t="shared" si="8"/>
        <v>0.29872964860685813</v>
      </c>
      <c r="M136" s="2">
        <f t="shared" si="9"/>
        <v>2955900000</v>
      </c>
      <c r="N136" s="37">
        <f t="shared" si="10"/>
        <v>0.19439307117808163</v>
      </c>
      <c r="O136" s="2">
        <f t="shared" si="11"/>
        <v>1923500000</v>
      </c>
    </row>
    <row r="137" spans="1:15" x14ac:dyDescent="0.3">
      <c r="A137" t="s">
        <v>82</v>
      </c>
      <c r="B137">
        <v>4</v>
      </c>
      <c r="C137">
        <v>2016</v>
      </c>
      <c r="D137" s="1">
        <v>42643</v>
      </c>
      <c r="E137" s="2">
        <v>9524400000</v>
      </c>
      <c r="F137" s="2">
        <v>6402700000</v>
      </c>
      <c r="G137" s="2">
        <v>797600000</v>
      </c>
      <c r="H137" s="2">
        <v>132000000</v>
      </c>
      <c r="I137">
        <v>0</v>
      </c>
      <c r="J137" t="s">
        <v>55</v>
      </c>
      <c r="K137" t="s">
        <v>83</v>
      </c>
      <c r="L137" s="37">
        <f t="shared" si="8"/>
        <v>0.32775817899290249</v>
      </c>
      <c r="M137" s="2">
        <f t="shared" si="9"/>
        <v>3121700000</v>
      </c>
      <c r="N137" s="37">
        <f t="shared" si="10"/>
        <v>0.23015623031372054</v>
      </c>
      <c r="O137" s="2">
        <f t="shared" si="11"/>
        <v>2192100000</v>
      </c>
    </row>
    <row r="138" spans="1:15" x14ac:dyDescent="0.3">
      <c r="A138" t="s">
        <v>84</v>
      </c>
      <c r="B138">
        <v>1</v>
      </c>
      <c r="C138">
        <v>2012</v>
      </c>
      <c r="D138" s="1">
        <v>41274</v>
      </c>
      <c r="E138" s="2">
        <v>4292100000</v>
      </c>
      <c r="F138" s="2">
        <v>2948900000</v>
      </c>
      <c r="G138" s="2">
        <v>512900000</v>
      </c>
      <c r="H138">
        <v>0</v>
      </c>
      <c r="I138">
        <v>0</v>
      </c>
      <c r="J138" t="s">
        <v>18</v>
      </c>
      <c r="K138" t="s">
        <v>85</v>
      </c>
      <c r="L138" s="37">
        <f t="shared" si="8"/>
        <v>0.31294704224039516</v>
      </c>
      <c r="M138" s="2">
        <f t="shared" si="9"/>
        <v>1343200000</v>
      </c>
      <c r="N138" s="37">
        <f t="shared" si="10"/>
        <v>0.19344842850818947</v>
      </c>
      <c r="O138" s="2">
        <f t="shared" si="11"/>
        <v>830300000</v>
      </c>
    </row>
    <row r="139" spans="1:15" x14ac:dyDescent="0.3">
      <c r="A139" t="s">
        <v>84</v>
      </c>
      <c r="B139">
        <v>2</v>
      </c>
      <c r="C139">
        <v>2013</v>
      </c>
      <c r="D139" s="1">
        <v>41639</v>
      </c>
      <c r="E139" s="2">
        <v>4614700000</v>
      </c>
      <c r="F139" s="2">
        <v>3163900000</v>
      </c>
      <c r="G139" s="2">
        <v>548000000</v>
      </c>
      <c r="H139">
        <v>0</v>
      </c>
      <c r="I139">
        <v>0</v>
      </c>
      <c r="J139" t="s">
        <v>18</v>
      </c>
      <c r="K139" t="s">
        <v>85</v>
      </c>
      <c r="L139" s="37">
        <f t="shared" si="8"/>
        <v>0.31438663401737921</v>
      </c>
      <c r="M139" s="2">
        <f t="shared" si="9"/>
        <v>1450800000</v>
      </c>
      <c r="N139" s="37">
        <f t="shared" si="10"/>
        <v>0.19563568596008407</v>
      </c>
      <c r="O139" s="2">
        <f t="shared" si="11"/>
        <v>902800000</v>
      </c>
    </row>
    <row r="140" spans="1:15" x14ac:dyDescent="0.3">
      <c r="A140" t="s">
        <v>84</v>
      </c>
      <c r="B140">
        <v>3</v>
      </c>
      <c r="C140">
        <v>2014</v>
      </c>
      <c r="D140" s="1">
        <v>42004</v>
      </c>
      <c r="E140" s="2">
        <v>5345500000</v>
      </c>
      <c r="F140" s="2">
        <v>3651700000</v>
      </c>
      <c r="G140" s="2">
        <v>645100000</v>
      </c>
      <c r="H140">
        <v>0</v>
      </c>
      <c r="I140">
        <v>0</v>
      </c>
      <c r="J140" t="s">
        <v>18</v>
      </c>
      <c r="K140" t="s">
        <v>85</v>
      </c>
      <c r="L140" s="37">
        <f t="shared" si="8"/>
        <v>0.31686465251145823</v>
      </c>
      <c r="M140" s="2">
        <f t="shared" si="9"/>
        <v>1693800000</v>
      </c>
      <c r="N140" s="37">
        <f t="shared" si="10"/>
        <v>0.19618370592086801</v>
      </c>
      <c r="O140" s="2">
        <f t="shared" si="11"/>
        <v>1048700000</v>
      </c>
    </row>
    <row r="141" spans="1:15" x14ac:dyDescent="0.3">
      <c r="A141" t="s">
        <v>84</v>
      </c>
      <c r="B141">
        <v>4</v>
      </c>
      <c r="C141">
        <v>2015</v>
      </c>
      <c r="D141" s="1">
        <v>42369</v>
      </c>
      <c r="E141" s="2">
        <v>5568700000</v>
      </c>
      <c r="F141" s="2">
        <v>3789200000</v>
      </c>
      <c r="G141" s="2">
        <v>669100000</v>
      </c>
      <c r="H141">
        <v>0</v>
      </c>
      <c r="I141">
        <v>0</v>
      </c>
      <c r="J141" t="s">
        <v>18</v>
      </c>
      <c r="K141" t="s">
        <v>85</v>
      </c>
      <c r="L141" s="37">
        <f t="shared" si="8"/>
        <v>0.31955393538886989</v>
      </c>
      <c r="M141" s="2">
        <f t="shared" si="9"/>
        <v>1779500000</v>
      </c>
      <c r="N141" s="37">
        <f t="shared" si="10"/>
        <v>0.19940021908165281</v>
      </c>
      <c r="O141" s="2">
        <f t="shared" si="11"/>
        <v>1110400000</v>
      </c>
    </row>
    <row r="142" spans="1:15" x14ac:dyDescent="0.3">
      <c r="A142" t="s">
        <v>86</v>
      </c>
      <c r="B142">
        <v>1</v>
      </c>
      <c r="C142">
        <v>2012</v>
      </c>
      <c r="D142" s="1">
        <v>41274</v>
      </c>
      <c r="E142" s="2">
        <v>23700000000</v>
      </c>
      <c r="F142" s="2">
        <v>20401000000</v>
      </c>
      <c r="G142" s="2">
        <v>997000000</v>
      </c>
      <c r="H142" s="2">
        <v>197000000</v>
      </c>
      <c r="I142" s="2">
        <v>1460000000</v>
      </c>
      <c r="J142" t="s">
        <v>12</v>
      </c>
      <c r="K142" t="s">
        <v>87</v>
      </c>
      <c r="L142" s="37">
        <f t="shared" si="8"/>
        <v>0.13919831223628687</v>
      </c>
      <c r="M142" s="2">
        <f t="shared" si="9"/>
        <v>3299000000</v>
      </c>
      <c r="N142" s="37">
        <f t="shared" si="10"/>
        <v>2.7215189873417721E-2</v>
      </c>
      <c r="O142" s="2">
        <f t="shared" si="11"/>
        <v>645000000</v>
      </c>
    </row>
    <row r="143" spans="1:15" x14ac:dyDescent="0.3">
      <c r="A143" t="s">
        <v>86</v>
      </c>
      <c r="B143">
        <v>2</v>
      </c>
      <c r="C143">
        <v>2013</v>
      </c>
      <c r="D143" s="1">
        <v>41639</v>
      </c>
      <c r="E143" s="2">
        <v>23032000000</v>
      </c>
      <c r="F143" s="2">
        <v>19286000000</v>
      </c>
      <c r="G143" s="2">
        <v>1008000000</v>
      </c>
      <c r="H143" s="2">
        <v>192000000</v>
      </c>
      <c r="I143" s="2">
        <v>1421000000</v>
      </c>
      <c r="J143" t="s">
        <v>12</v>
      </c>
      <c r="K143" t="s">
        <v>87</v>
      </c>
      <c r="L143" s="37">
        <f t="shared" si="8"/>
        <v>0.16264327891629038</v>
      </c>
      <c r="M143" s="2">
        <f t="shared" si="9"/>
        <v>3746000000</v>
      </c>
      <c r="N143" s="37">
        <f t="shared" si="10"/>
        <v>4.8845085098992706E-2</v>
      </c>
      <c r="O143" s="2">
        <f t="shared" si="11"/>
        <v>1125000000</v>
      </c>
    </row>
    <row r="144" spans="1:15" x14ac:dyDescent="0.3">
      <c r="A144" t="s">
        <v>86</v>
      </c>
      <c r="B144">
        <v>3</v>
      </c>
      <c r="C144">
        <v>2014</v>
      </c>
      <c r="D144" s="1">
        <v>42004</v>
      </c>
      <c r="E144" s="2">
        <v>23906000000</v>
      </c>
      <c r="F144" s="2">
        <v>19137000000</v>
      </c>
      <c r="G144" s="2">
        <v>995000000</v>
      </c>
      <c r="H144" s="2">
        <v>218000000</v>
      </c>
      <c r="I144" s="2">
        <v>1371000000</v>
      </c>
      <c r="J144" t="s">
        <v>12</v>
      </c>
      <c r="K144" t="s">
        <v>87</v>
      </c>
      <c r="L144" s="37">
        <f t="shared" si="8"/>
        <v>0.1994896678658078</v>
      </c>
      <c r="M144" s="2">
        <f t="shared" si="9"/>
        <v>4769000000</v>
      </c>
      <c r="N144" s="37">
        <f t="shared" si="10"/>
        <v>9.1399648623776461E-2</v>
      </c>
      <c r="O144" s="2">
        <f t="shared" si="11"/>
        <v>2185000000</v>
      </c>
    </row>
    <row r="145" spans="1:15" x14ac:dyDescent="0.3">
      <c r="A145" t="s">
        <v>86</v>
      </c>
      <c r="B145">
        <v>4</v>
      </c>
      <c r="C145">
        <v>2015</v>
      </c>
      <c r="D145" s="1">
        <v>42369</v>
      </c>
      <c r="E145" s="2">
        <v>22534000000</v>
      </c>
      <c r="F145" s="2">
        <v>18069000000</v>
      </c>
      <c r="G145" s="2">
        <v>979000000</v>
      </c>
      <c r="H145" s="2">
        <v>238000000</v>
      </c>
      <c r="I145" s="2">
        <v>1280000000</v>
      </c>
      <c r="J145" t="s">
        <v>12</v>
      </c>
      <c r="K145" t="s">
        <v>87</v>
      </c>
      <c r="L145" s="37">
        <f t="shared" si="8"/>
        <v>0.19814502529510958</v>
      </c>
      <c r="M145" s="2">
        <f t="shared" si="9"/>
        <v>4465000000</v>
      </c>
      <c r="N145" s="37">
        <f t="shared" si="10"/>
        <v>8.7334694239815394E-2</v>
      </c>
      <c r="O145" s="2">
        <f t="shared" si="11"/>
        <v>1968000000</v>
      </c>
    </row>
    <row r="146" spans="1:15" x14ac:dyDescent="0.3">
      <c r="A146" t="s">
        <v>88</v>
      </c>
      <c r="B146">
        <v>1</v>
      </c>
      <c r="C146">
        <v>2012</v>
      </c>
      <c r="D146" s="1">
        <v>41274</v>
      </c>
      <c r="E146" s="2">
        <v>4856000000</v>
      </c>
      <c r="F146" s="2">
        <v>1662000000</v>
      </c>
      <c r="G146" s="2">
        <v>1139000000</v>
      </c>
      <c r="H146" s="2">
        <v>604000000</v>
      </c>
      <c r="I146">
        <v>0</v>
      </c>
      <c r="J146" t="s">
        <v>18</v>
      </c>
      <c r="K146" t="s">
        <v>89</v>
      </c>
      <c r="L146" s="37">
        <f t="shared" si="8"/>
        <v>0.65774299835255357</v>
      </c>
      <c r="M146" s="2">
        <f t="shared" si="9"/>
        <v>3194000000</v>
      </c>
      <c r="N146" s="37">
        <f t="shared" si="10"/>
        <v>0.29880560131795719</v>
      </c>
      <c r="O146" s="2">
        <f t="shared" si="11"/>
        <v>1451000000</v>
      </c>
    </row>
    <row r="147" spans="1:15" x14ac:dyDescent="0.3">
      <c r="A147" t="s">
        <v>88</v>
      </c>
      <c r="B147">
        <v>2</v>
      </c>
      <c r="C147">
        <v>2013</v>
      </c>
      <c r="D147" s="1">
        <v>41639</v>
      </c>
      <c r="E147" s="2">
        <v>4583000000</v>
      </c>
      <c r="F147" s="2">
        <v>1531000000</v>
      </c>
      <c r="G147" s="2">
        <v>1096000000</v>
      </c>
      <c r="H147" s="2">
        <v>584000000</v>
      </c>
      <c r="I147">
        <v>0</v>
      </c>
      <c r="J147" t="s">
        <v>18</v>
      </c>
      <c r="K147" t="s">
        <v>89</v>
      </c>
      <c r="L147" s="37">
        <f t="shared" si="8"/>
        <v>0.66593934104298502</v>
      </c>
      <c r="M147" s="2">
        <f t="shared" si="9"/>
        <v>3052000000</v>
      </c>
      <c r="N147" s="37">
        <f t="shared" si="10"/>
        <v>0.29936722670739691</v>
      </c>
      <c r="O147" s="2">
        <f t="shared" si="11"/>
        <v>1372000000</v>
      </c>
    </row>
    <row r="148" spans="1:15" x14ac:dyDescent="0.3">
      <c r="A148" t="s">
        <v>88</v>
      </c>
      <c r="B148">
        <v>3</v>
      </c>
      <c r="C148">
        <v>2014</v>
      </c>
      <c r="D148" s="1">
        <v>42004</v>
      </c>
      <c r="E148" s="2">
        <v>4408000000</v>
      </c>
      <c r="F148" s="2">
        <v>1525000000</v>
      </c>
      <c r="G148" s="2">
        <v>1129000000</v>
      </c>
      <c r="H148" s="2">
        <v>571000000</v>
      </c>
      <c r="I148">
        <v>0</v>
      </c>
      <c r="J148" t="s">
        <v>18</v>
      </c>
      <c r="K148" t="s">
        <v>89</v>
      </c>
      <c r="L148" s="37">
        <f t="shared" si="8"/>
        <v>0.65403811252268595</v>
      </c>
      <c r="M148" s="2">
        <f t="shared" si="9"/>
        <v>2883000000</v>
      </c>
      <c r="N148" s="37">
        <f t="shared" si="10"/>
        <v>0.26837568058076228</v>
      </c>
      <c r="O148" s="2">
        <f t="shared" si="11"/>
        <v>1183000000</v>
      </c>
    </row>
    <row r="149" spans="1:15" x14ac:dyDescent="0.3">
      <c r="A149" t="s">
        <v>88</v>
      </c>
      <c r="B149">
        <v>4</v>
      </c>
      <c r="C149">
        <v>2015</v>
      </c>
      <c r="D149" s="1">
        <v>42369</v>
      </c>
      <c r="E149" s="2">
        <v>4664000000</v>
      </c>
      <c r="F149" s="2">
        <v>1585000000</v>
      </c>
      <c r="G149" s="2">
        <v>1114000000</v>
      </c>
      <c r="H149" s="2">
        <v>646000000</v>
      </c>
      <c r="I149">
        <v>0</v>
      </c>
      <c r="J149" t="s">
        <v>18</v>
      </c>
      <c r="K149" t="s">
        <v>89</v>
      </c>
      <c r="L149" s="37">
        <f t="shared" si="8"/>
        <v>0.66016295025728988</v>
      </c>
      <c r="M149" s="2">
        <f t="shared" si="9"/>
        <v>3079000000</v>
      </c>
      <c r="N149" s="37">
        <f t="shared" si="10"/>
        <v>0.28280445969125212</v>
      </c>
      <c r="O149" s="2">
        <f t="shared" si="11"/>
        <v>1319000000</v>
      </c>
    </row>
    <row r="150" spans="1:15" x14ac:dyDescent="0.3">
      <c r="A150" t="s">
        <v>90</v>
      </c>
      <c r="B150">
        <v>1</v>
      </c>
      <c r="C150">
        <v>2015</v>
      </c>
      <c r="D150" s="1">
        <v>42309</v>
      </c>
      <c r="E150" s="2">
        <v>6824000000</v>
      </c>
      <c r="F150" s="2">
        <v>3271000000</v>
      </c>
      <c r="G150" s="2">
        <v>486000000</v>
      </c>
      <c r="H150" s="2">
        <v>1049000000</v>
      </c>
      <c r="I150" s="2">
        <v>249000000</v>
      </c>
      <c r="J150" t="s">
        <v>18</v>
      </c>
      <c r="K150" t="s">
        <v>30</v>
      </c>
      <c r="L150" s="37">
        <f t="shared" si="8"/>
        <v>0.52066236811254396</v>
      </c>
      <c r="M150" s="2">
        <f t="shared" si="9"/>
        <v>3553000000</v>
      </c>
      <c r="N150" s="37">
        <f t="shared" si="10"/>
        <v>0.25923212192262601</v>
      </c>
      <c r="O150" s="2">
        <f t="shared" si="11"/>
        <v>1769000000</v>
      </c>
    </row>
    <row r="151" spans="1:15" x14ac:dyDescent="0.3">
      <c r="A151" t="s">
        <v>90</v>
      </c>
      <c r="B151">
        <v>2</v>
      </c>
      <c r="C151">
        <v>2016</v>
      </c>
      <c r="D151" s="1">
        <v>42673</v>
      </c>
      <c r="E151" s="2">
        <v>13240000000</v>
      </c>
      <c r="F151" s="2">
        <v>7300000000</v>
      </c>
      <c r="G151" s="2">
        <v>806000000</v>
      </c>
      <c r="H151" s="2">
        <v>2674000000</v>
      </c>
      <c r="I151" s="2">
        <v>1873000000</v>
      </c>
      <c r="J151" t="s">
        <v>18</v>
      </c>
      <c r="K151" t="s">
        <v>30</v>
      </c>
      <c r="L151" s="37">
        <f t="shared" si="8"/>
        <v>0.44864048338368578</v>
      </c>
      <c r="M151" s="2">
        <f t="shared" si="9"/>
        <v>5940000000</v>
      </c>
      <c r="N151" s="37">
        <f t="shared" si="10"/>
        <v>4.4335347432024171E-2</v>
      </c>
      <c r="O151" s="2">
        <f t="shared" si="11"/>
        <v>587000000</v>
      </c>
    </row>
    <row r="152" spans="1:15" x14ac:dyDescent="0.3">
      <c r="A152" t="s">
        <v>91</v>
      </c>
      <c r="B152">
        <v>1</v>
      </c>
      <c r="C152">
        <v>2012</v>
      </c>
      <c r="D152" s="1">
        <v>41274</v>
      </c>
      <c r="E152" s="2">
        <v>5863500000</v>
      </c>
      <c r="F152" s="2">
        <v>4335300000</v>
      </c>
      <c r="G152" s="2">
        <v>1148900000</v>
      </c>
      <c r="H152">
        <v>0</v>
      </c>
      <c r="I152">
        <v>0</v>
      </c>
      <c r="J152" t="s">
        <v>55</v>
      </c>
      <c r="K152" t="s">
        <v>92</v>
      </c>
      <c r="L152" s="37">
        <f t="shared" si="8"/>
        <v>0.26062931696085956</v>
      </c>
      <c r="M152" s="2">
        <f t="shared" si="9"/>
        <v>1528200000</v>
      </c>
      <c r="N152" s="37">
        <f t="shared" si="10"/>
        <v>6.4688326085102749E-2</v>
      </c>
      <c r="O152" s="2">
        <f t="shared" si="11"/>
        <v>379300000</v>
      </c>
    </row>
    <row r="153" spans="1:15" x14ac:dyDescent="0.3">
      <c r="A153" t="s">
        <v>91</v>
      </c>
      <c r="B153">
        <v>2</v>
      </c>
      <c r="C153">
        <v>2013</v>
      </c>
      <c r="D153" s="1">
        <v>41636</v>
      </c>
      <c r="E153" s="2">
        <v>6140000000</v>
      </c>
      <c r="F153" s="2">
        <v>4502300000</v>
      </c>
      <c r="G153" s="2">
        <v>1174200000</v>
      </c>
      <c r="H153">
        <v>0</v>
      </c>
      <c r="I153">
        <v>0</v>
      </c>
      <c r="J153" t="s">
        <v>55</v>
      </c>
      <c r="K153" t="s">
        <v>92</v>
      </c>
      <c r="L153" s="37">
        <f t="shared" si="8"/>
        <v>0.26672638436482088</v>
      </c>
      <c r="M153" s="2">
        <f t="shared" si="9"/>
        <v>1637700000</v>
      </c>
      <c r="N153" s="37">
        <f t="shared" si="10"/>
        <v>7.5488599348534205E-2</v>
      </c>
      <c r="O153" s="2">
        <f t="shared" si="11"/>
        <v>463500000</v>
      </c>
    </row>
    <row r="154" spans="1:15" x14ac:dyDescent="0.3">
      <c r="A154" t="s">
        <v>91</v>
      </c>
      <c r="B154">
        <v>3</v>
      </c>
      <c r="C154">
        <v>2015</v>
      </c>
      <c r="D154" s="1">
        <v>42007</v>
      </c>
      <c r="E154" s="2">
        <v>6330300000</v>
      </c>
      <c r="F154" s="2">
        <v>4679100000</v>
      </c>
      <c r="G154" s="2">
        <v>1158900000</v>
      </c>
      <c r="H154">
        <v>0</v>
      </c>
      <c r="I154">
        <v>0</v>
      </c>
      <c r="J154" t="s">
        <v>55</v>
      </c>
      <c r="K154" t="s">
        <v>92</v>
      </c>
      <c r="L154" s="37">
        <f t="shared" si="8"/>
        <v>0.26084071844936263</v>
      </c>
      <c r="M154" s="2">
        <f t="shared" si="9"/>
        <v>1651200000</v>
      </c>
      <c r="N154" s="37">
        <f t="shared" si="10"/>
        <v>7.7768826121984741E-2</v>
      </c>
      <c r="O154" s="2">
        <f t="shared" si="11"/>
        <v>492300000</v>
      </c>
    </row>
    <row r="155" spans="1:15" x14ac:dyDescent="0.3">
      <c r="A155" t="s">
        <v>91</v>
      </c>
      <c r="B155">
        <v>4</v>
      </c>
      <c r="C155">
        <v>2016</v>
      </c>
      <c r="D155" s="1">
        <v>42371</v>
      </c>
      <c r="E155" s="2">
        <v>5966900000</v>
      </c>
      <c r="F155" s="2">
        <v>4321100000</v>
      </c>
      <c r="G155" s="2">
        <v>1108100000</v>
      </c>
      <c r="H155">
        <v>0</v>
      </c>
      <c r="I155">
        <v>0</v>
      </c>
      <c r="J155" t="s">
        <v>55</v>
      </c>
      <c r="K155" t="s">
        <v>92</v>
      </c>
      <c r="L155" s="37">
        <f t="shared" si="8"/>
        <v>0.27582161591446142</v>
      </c>
      <c r="M155" s="2">
        <f t="shared" si="9"/>
        <v>1645800000</v>
      </c>
      <c r="N155" s="37">
        <f t="shared" si="10"/>
        <v>9.0113794432619951E-2</v>
      </c>
      <c r="O155" s="2">
        <f t="shared" si="11"/>
        <v>537700000</v>
      </c>
    </row>
    <row r="156" spans="1:15" x14ac:dyDescent="0.3">
      <c r="A156" t="s">
        <v>93</v>
      </c>
      <c r="B156">
        <v>1</v>
      </c>
      <c r="C156">
        <v>2012</v>
      </c>
      <c r="D156" s="1">
        <v>41274</v>
      </c>
      <c r="E156" s="2">
        <v>2853926000</v>
      </c>
      <c r="F156" s="2">
        <v>1329500000</v>
      </c>
      <c r="G156" s="2">
        <v>220758000</v>
      </c>
      <c r="H156">
        <v>0</v>
      </c>
      <c r="I156" s="2">
        <v>380402000</v>
      </c>
      <c r="J156" t="s">
        <v>38</v>
      </c>
      <c r="K156" t="s">
        <v>94</v>
      </c>
      <c r="L156" s="37">
        <f t="shared" si="8"/>
        <v>0.53415050004800402</v>
      </c>
      <c r="M156" s="2">
        <f t="shared" si="9"/>
        <v>1524426000</v>
      </c>
      <c r="N156" s="37">
        <f t="shared" si="10"/>
        <v>0.32350733691062766</v>
      </c>
      <c r="O156" s="2">
        <f t="shared" si="11"/>
        <v>923266000</v>
      </c>
    </row>
    <row r="157" spans="1:15" x14ac:dyDescent="0.3">
      <c r="A157" t="s">
        <v>93</v>
      </c>
      <c r="B157">
        <v>2</v>
      </c>
      <c r="C157">
        <v>2013</v>
      </c>
      <c r="D157" s="1">
        <v>41639</v>
      </c>
      <c r="E157" s="2">
        <v>2879000000</v>
      </c>
      <c r="F157" s="2">
        <v>1289000000</v>
      </c>
      <c r="G157" s="2">
        <v>234000000</v>
      </c>
      <c r="H157">
        <v>0</v>
      </c>
      <c r="I157" s="2">
        <v>407000000</v>
      </c>
      <c r="J157" t="s">
        <v>38</v>
      </c>
      <c r="K157" t="s">
        <v>94</v>
      </c>
      <c r="L157" s="37">
        <f t="shared" si="8"/>
        <v>0.55227509551927745</v>
      </c>
      <c r="M157" s="2">
        <f t="shared" si="9"/>
        <v>1590000000</v>
      </c>
      <c r="N157" s="37">
        <f t="shared" si="10"/>
        <v>0.32962834317471346</v>
      </c>
      <c r="O157" s="2">
        <f t="shared" si="11"/>
        <v>949000000</v>
      </c>
    </row>
    <row r="158" spans="1:15" x14ac:dyDescent="0.3">
      <c r="A158" t="s">
        <v>93</v>
      </c>
      <c r="B158">
        <v>3</v>
      </c>
      <c r="C158">
        <v>2014</v>
      </c>
      <c r="D158" s="1">
        <v>42004</v>
      </c>
      <c r="E158" s="2">
        <v>3011000000</v>
      </c>
      <c r="F158" s="2">
        <v>1350000000</v>
      </c>
      <c r="G158" s="2">
        <v>236000000</v>
      </c>
      <c r="H158">
        <v>0</v>
      </c>
      <c r="I158" s="2">
        <v>424000000</v>
      </c>
      <c r="J158" t="s">
        <v>38</v>
      </c>
      <c r="K158" t="s">
        <v>94</v>
      </c>
      <c r="L158" s="37">
        <f t="shared" si="8"/>
        <v>0.55164397210229166</v>
      </c>
      <c r="M158" s="2">
        <f t="shared" si="9"/>
        <v>1661000000</v>
      </c>
      <c r="N158" s="37">
        <f t="shared" si="10"/>
        <v>0.33244769179674527</v>
      </c>
      <c r="O158" s="2">
        <f t="shared" si="11"/>
        <v>1001000000</v>
      </c>
    </row>
    <row r="159" spans="1:15" x14ac:dyDescent="0.3">
      <c r="A159" t="s">
        <v>93</v>
      </c>
      <c r="B159">
        <v>4</v>
      </c>
      <c r="C159">
        <v>2015</v>
      </c>
      <c r="D159" s="1">
        <v>42369</v>
      </c>
      <c r="E159" s="2">
        <v>3159000000</v>
      </c>
      <c r="F159" s="2">
        <v>1404000000</v>
      </c>
      <c r="G159" s="2">
        <v>243000000</v>
      </c>
      <c r="H159">
        <v>0</v>
      </c>
      <c r="I159" s="2">
        <v>440000000</v>
      </c>
      <c r="J159" t="s">
        <v>38</v>
      </c>
      <c r="K159" t="s">
        <v>94</v>
      </c>
      <c r="L159" s="37">
        <f t="shared" si="8"/>
        <v>0.55555555555555558</v>
      </c>
      <c r="M159" s="2">
        <f t="shared" si="9"/>
        <v>1755000000</v>
      </c>
      <c r="N159" s="37">
        <f t="shared" si="10"/>
        <v>0.33934789490345046</v>
      </c>
      <c r="O159" s="2">
        <f t="shared" si="11"/>
        <v>1072000000</v>
      </c>
    </row>
    <row r="160" spans="1:15" x14ac:dyDescent="0.3">
      <c r="A160" t="s">
        <v>149</v>
      </c>
      <c r="B160">
        <v>1</v>
      </c>
      <c r="C160">
        <v>2013</v>
      </c>
      <c r="D160" s="1">
        <v>41639</v>
      </c>
      <c r="E160" s="2">
        <v>2666000000</v>
      </c>
      <c r="F160" s="2">
        <v>55000000</v>
      </c>
      <c r="G160" s="2">
        <v>1670000000</v>
      </c>
      <c r="H160">
        <v>0</v>
      </c>
      <c r="I160" s="2">
        <v>46000000</v>
      </c>
      <c r="J160" t="s">
        <v>43</v>
      </c>
      <c r="K160" t="s">
        <v>136</v>
      </c>
      <c r="L160" s="37">
        <f t="shared" si="8"/>
        <v>0.9793698424606152</v>
      </c>
      <c r="M160" s="2">
        <f t="shared" si="9"/>
        <v>2611000000</v>
      </c>
      <c r="N160" s="37">
        <f t="shared" si="10"/>
        <v>0.33570892723180795</v>
      </c>
      <c r="O160" s="2">
        <f t="shared" si="11"/>
        <v>895000000</v>
      </c>
    </row>
    <row r="161" spans="1:15" x14ac:dyDescent="0.3">
      <c r="A161" t="s">
        <v>149</v>
      </c>
      <c r="B161">
        <v>2</v>
      </c>
      <c r="C161">
        <v>2014</v>
      </c>
      <c r="D161" s="1">
        <v>42004</v>
      </c>
      <c r="E161" s="2">
        <v>2607000000</v>
      </c>
      <c r="F161" s="2">
        <v>45000000</v>
      </c>
      <c r="G161" s="2">
        <v>1611000000</v>
      </c>
      <c r="H161">
        <v>0</v>
      </c>
      <c r="I161" s="2">
        <v>27000000</v>
      </c>
      <c r="J161" t="s">
        <v>43</v>
      </c>
      <c r="K161" t="s">
        <v>136</v>
      </c>
      <c r="L161" s="37">
        <f t="shared" si="8"/>
        <v>0.98273878020713468</v>
      </c>
      <c r="M161" s="2">
        <f t="shared" si="9"/>
        <v>2562000000</v>
      </c>
      <c r="N161" s="37">
        <f t="shared" si="10"/>
        <v>0.35443037974683544</v>
      </c>
      <c r="O161" s="2">
        <f t="shared" si="11"/>
        <v>924000000</v>
      </c>
    </row>
    <row r="162" spans="1:15" x14ac:dyDescent="0.3">
      <c r="A162" t="s">
        <v>149</v>
      </c>
      <c r="B162">
        <v>3</v>
      </c>
      <c r="C162">
        <v>2015</v>
      </c>
      <c r="D162" s="1">
        <v>42369</v>
      </c>
      <c r="E162" s="2">
        <v>2819000000</v>
      </c>
      <c r="F162" s="2">
        <v>43000000</v>
      </c>
      <c r="G162" s="2">
        <v>1859000000</v>
      </c>
      <c r="H162">
        <v>0</v>
      </c>
      <c r="I162" s="2">
        <v>147000000</v>
      </c>
      <c r="J162" t="s">
        <v>43</v>
      </c>
      <c r="K162" t="s">
        <v>136</v>
      </c>
      <c r="L162" s="37">
        <f t="shared" si="8"/>
        <v>0.98474636395885062</v>
      </c>
      <c r="M162" s="2">
        <f t="shared" si="9"/>
        <v>2776000000</v>
      </c>
      <c r="N162" s="37">
        <f t="shared" si="10"/>
        <v>0.27314650585313943</v>
      </c>
      <c r="O162" s="2">
        <f t="shared" si="11"/>
        <v>770000000</v>
      </c>
    </row>
    <row r="163" spans="1:15" x14ac:dyDescent="0.3">
      <c r="A163" t="s">
        <v>149</v>
      </c>
      <c r="B163">
        <v>4</v>
      </c>
      <c r="C163">
        <v>2016</v>
      </c>
      <c r="D163" s="1">
        <v>42735</v>
      </c>
      <c r="E163" s="2">
        <v>2960000000</v>
      </c>
      <c r="F163" s="2">
        <v>40000000</v>
      </c>
      <c r="G163" s="2">
        <v>1836000000</v>
      </c>
      <c r="H163">
        <v>0</v>
      </c>
      <c r="I163" s="2">
        <v>248000000</v>
      </c>
      <c r="J163" t="s">
        <v>43</v>
      </c>
      <c r="K163" t="s">
        <v>136</v>
      </c>
      <c r="L163" s="37">
        <f t="shared" si="8"/>
        <v>0.98648648648648651</v>
      </c>
      <c r="M163" s="2">
        <f t="shared" si="9"/>
        <v>2920000000</v>
      </c>
      <c r="N163" s="37">
        <f t="shared" si="10"/>
        <v>0.28243243243243243</v>
      </c>
      <c r="O163" s="2">
        <f t="shared" si="11"/>
        <v>836000000</v>
      </c>
    </row>
    <row r="164" spans="1:15" x14ac:dyDescent="0.3">
      <c r="A164" t="s">
        <v>97</v>
      </c>
      <c r="B164">
        <v>1</v>
      </c>
      <c r="C164">
        <v>2013</v>
      </c>
      <c r="D164" s="1">
        <v>41517</v>
      </c>
      <c r="E164" s="2">
        <v>2089100000</v>
      </c>
      <c r="F164" s="2">
        <v>1251500000</v>
      </c>
      <c r="G164" s="2">
        <v>607600000</v>
      </c>
      <c r="H164">
        <v>0</v>
      </c>
      <c r="I164">
        <v>0</v>
      </c>
      <c r="J164" t="s">
        <v>12</v>
      </c>
      <c r="K164" t="s">
        <v>66</v>
      </c>
      <c r="L164" s="37">
        <f t="shared" si="8"/>
        <v>0.40093820305394667</v>
      </c>
      <c r="M164" s="2">
        <f t="shared" si="9"/>
        <v>837600000</v>
      </c>
      <c r="N164" s="37">
        <f t="shared" si="10"/>
        <v>0.11009525633047725</v>
      </c>
      <c r="O164" s="2">
        <f t="shared" si="11"/>
        <v>230000000</v>
      </c>
    </row>
    <row r="165" spans="1:15" x14ac:dyDescent="0.3">
      <c r="A165" t="s">
        <v>97</v>
      </c>
      <c r="B165">
        <v>2</v>
      </c>
      <c r="C165">
        <v>2014</v>
      </c>
      <c r="D165" s="1">
        <v>41882</v>
      </c>
      <c r="E165" s="2">
        <v>2393500000</v>
      </c>
      <c r="F165" s="2">
        <v>1414300000</v>
      </c>
      <c r="G165" s="2">
        <v>680300000</v>
      </c>
      <c r="H165">
        <v>0</v>
      </c>
      <c r="I165">
        <v>0</v>
      </c>
      <c r="J165" t="s">
        <v>12</v>
      </c>
      <c r="K165" t="s">
        <v>66</v>
      </c>
      <c r="L165" s="37">
        <f t="shared" si="8"/>
        <v>0.4091080008355964</v>
      </c>
      <c r="M165" s="2">
        <f t="shared" si="9"/>
        <v>979200000</v>
      </c>
      <c r="N165" s="37">
        <f t="shared" si="10"/>
        <v>0.12487988301650303</v>
      </c>
      <c r="O165" s="2">
        <f t="shared" si="11"/>
        <v>298900000</v>
      </c>
    </row>
    <row r="166" spans="1:15" x14ac:dyDescent="0.3">
      <c r="A166" t="s">
        <v>97</v>
      </c>
      <c r="B166">
        <v>3</v>
      </c>
      <c r="C166">
        <v>2015</v>
      </c>
      <c r="D166" s="1">
        <v>42247</v>
      </c>
      <c r="E166" s="2">
        <v>2706700000</v>
      </c>
      <c r="F166" s="2">
        <v>1561100000</v>
      </c>
      <c r="G166" s="2">
        <v>756900000</v>
      </c>
      <c r="H166">
        <v>0</v>
      </c>
      <c r="I166">
        <v>0</v>
      </c>
      <c r="J166" t="s">
        <v>12</v>
      </c>
      <c r="K166" t="s">
        <v>66</v>
      </c>
      <c r="L166" s="37">
        <f t="shared" si="8"/>
        <v>0.42324601913769533</v>
      </c>
      <c r="M166" s="2">
        <f t="shared" si="9"/>
        <v>1145600000</v>
      </c>
      <c r="N166" s="37">
        <f t="shared" si="10"/>
        <v>0.14360660582997747</v>
      </c>
      <c r="O166" s="2">
        <f t="shared" si="11"/>
        <v>388700000</v>
      </c>
    </row>
    <row r="167" spans="1:15" x14ac:dyDescent="0.3">
      <c r="A167" t="s">
        <v>97</v>
      </c>
      <c r="B167">
        <v>4</v>
      </c>
      <c r="C167">
        <v>2016</v>
      </c>
      <c r="D167" s="1">
        <v>42613</v>
      </c>
      <c r="E167" s="2">
        <v>3291300000</v>
      </c>
      <c r="F167" s="2">
        <v>1855100000</v>
      </c>
      <c r="G167" s="2">
        <v>946000000</v>
      </c>
      <c r="H167">
        <v>0</v>
      </c>
      <c r="I167">
        <v>0</v>
      </c>
      <c r="J167" t="s">
        <v>12</v>
      </c>
      <c r="K167" t="s">
        <v>66</v>
      </c>
      <c r="L167" s="37">
        <f t="shared" si="8"/>
        <v>0.43636253152249871</v>
      </c>
      <c r="M167" s="2">
        <f t="shared" si="9"/>
        <v>1436200000</v>
      </c>
      <c r="N167" s="37">
        <f t="shared" si="10"/>
        <v>0.14893810956157141</v>
      </c>
      <c r="O167" s="2">
        <f t="shared" si="11"/>
        <v>490200000</v>
      </c>
    </row>
    <row r="168" spans="1:15" x14ac:dyDescent="0.3">
      <c r="A168" t="s">
        <v>98</v>
      </c>
      <c r="B168">
        <v>1</v>
      </c>
      <c r="C168">
        <v>2013</v>
      </c>
      <c r="D168" s="1">
        <v>41517</v>
      </c>
      <c r="E168" s="2">
        <v>9147530000</v>
      </c>
      <c r="F168" s="2">
        <v>4406595000</v>
      </c>
      <c r="G168" s="2">
        <v>2967837000</v>
      </c>
      <c r="H168">
        <v>0</v>
      </c>
      <c r="I168">
        <v>0</v>
      </c>
      <c r="J168" t="s">
        <v>15</v>
      </c>
      <c r="K168" t="s">
        <v>75</v>
      </c>
      <c r="L168" s="37">
        <f t="shared" si="8"/>
        <v>0.51827487857377896</v>
      </c>
      <c r="M168" s="2">
        <f t="shared" si="9"/>
        <v>4740935000</v>
      </c>
      <c r="N168" s="37">
        <f t="shared" si="10"/>
        <v>0.19383352664599077</v>
      </c>
      <c r="O168" s="2">
        <f t="shared" si="11"/>
        <v>1773098000</v>
      </c>
    </row>
    <row r="169" spans="1:15" x14ac:dyDescent="0.3">
      <c r="A169" t="s">
        <v>98</v>
      </c>
      <c r="B169">
        <v>2</v>
      </c>
      <c r="C169">
        <v>2014</v>
      </c>
      <c r="D169" s="1">
        <v>41881</v>
      </c>
      <c r="E169" s="2">
        <v>9475313000</v>
      </c>
      <c r="F169" s="2">
        <v>4540406000</v>
      </c>
      <c r="G169" s="2">
        <v>3104684000</v>
      </c>
      <c r="H169">
        <v>0</v>
      </c>
      <c r="I169">
        <v>0</v>
      </c>
      <c r="J169" t="s">
        <v>15</v>
      </c>
      <c r="K169" t="s">
        <v>75</v>
      </c>
      <c r="L169" s="37">
        <f t="shared" si="8"/>
        <v>0.52081730703777285</v>
      </c>
      <c r="M169" s="2">
        <f t="shared" si="9"/>
        <v>4934907000</v>
      </c>
      <c r="N169" s="37">
        <f t="shared" si="10"/>
        <v>0.19315699650238466</v>
      </c>
      <c r="O169" s="2">
        <f t="shared" si="11"/>
        <v>1830223000</v>
      </c>
    </row>
    <row r="170" spans="1:15" x14ac:dyDescent="0.3">
      <c r="A170" t="s">
        <v>98</v>
      </c>
      <c r="B170">
        <v>3</v>
      </c>
      <c r="C170">
        <v>2015</v>
      </c>
      <c r="D170" s="1">
        <v>42245</v>
      </c>
      <c r="E170" s="2">
        <v>10187340000</v>
      </c>
      <c r="F170" s="2">
        <v>4860309000</v>
      </c>
      <c r="G170" s="2">
        <v>3373980000</v>
      </c>
      <c r="H170">
        <v>0</v>
      </c>
      <c r="I170">
        <v>0</v>
      </c>
      <c r="J170" t="s">
        <v>15</v>
      </c>
      <c r="K170" t="s">
        <v>75</v>
      </c>
      <c r="L170" s="37">
        <f t="shared" si="8"/>
        <v>0.52290696099276168</v>
      </c>
      <c r="M170" s="2">
        <f t="shared" si="9"/>
        <v>5327031000</v>
      </c>
      <c r="N170" s="37">
        <f t="shared" si="10"/>
        <v>0.19171353856845849</v>
      </c>
      <c r="O170" s="2">
        <f t="shared" si="11"/>
        <v>1953051000</v>
      </c>
    </row>
    <row r="171" spans="1:15" x14ac:dyDescent="0.3">
      <c r="A171" t="s">
        <v>98</v>
      </c>
      <c r="B171">
        <v>4</v>
      </c>
      <c r="C171">
        <v>2016</v>
      </c>
      <c r="D171" s="1">
        <v>42609</v>
      </c>
      <c r="E171" s="2">
        <v>10635676000</v>
      </c>
      <c r="F171" s="2">
        <v>5026940000</v>
      </c>
      <c r="G171" s="2">
        <v>3548341000</v>
      </c>
      <c r="H171">
        <v>0</v>
      </c>
      <c r="I171">
        <v>0</v>
      </c>
      <c r="J171" t="s">
        <v>15</v>
      </c>
      <c r="K171" t="s">
        <v>75</v>
      </c>
      <c r="L171" s="37">
        <f t="shared" si="8"/>
        <v>0.5273511528557282</v>
      </c>
      <c r="M171" s="2">
        <f t="shared" si="9"/>
        <v>5608736000</v>
      </c>
      <c r="N171" s="37">
        <f t="shared" si="10"/>
        <v>0.19372487465770863</v>
      </c>
      <c r="O171" s="2">
        <f t="shared" si="11"/>
        <v>2060395000</v>
      </c>
    </row>
    <row r="172" spans="1:15" x14ac:dyDescent="0.3">
      <c r="A172" t="s">
        <v>99</v>
      </c>
      <c r="B172">
        <v>1</v>
      </c>
      <c r="C172">
        <v>2013</v>
      </c>
      <c r="D172" s="1">
        <v>41639</v>
      </c>
      <c r="E172" s="2">
        <v>86623000000</v>
      </c>
      <c r="F172" s="2">
        <v>73268000000</v>
      </c>
      <c r="G172" s="2">
        <v>3742000000</v>
      </c>
      <c r="H172" s="2">
        <v>3071000000</v>
      </c>
      <c r="I172">
        <v>0</v>
      </c>
      <c r="J172" t="s">
        <v>12</v>
      </c>
      <c r="K172" t="s">
        <v>87</v>
      </c>
      <c r="L172" s="37">
        <f t="shared" si="8"/>
        <v>0.15417383373930715</v>
      </c>
      <c r="M172" s="2">
        <f t="shared" si="9"/>
        <v>13355000000</v>
      </c>
      <c r="N172" s="37">
        <f t="shared" si="10"/>
        <v>7.5522667190007275E-2</v>
      </c>
      <c r="O172" s="2">
        <f t="shared" si="11"/>
        <v>6542000000</v>
      </c>
    </row>
    <row r="173" spans="1:15" x14ac:dyDescent="0.3">
      <c r="A173" t="s">
        <v>99</v>
      </c>
      <c r="B173">
        <v>2</v>
      </c>
      <c r="C173">
        <v>2014</v>
      </c>
      <c r="D173" s="1">
        <v>42004</v>
      </c>
      <c r="E173" s="2">
        <v>90762000000</v>
      </c>
      <c r="F173" s="2">
        <v>76752000000</v>
      </c>
      <c r="G173" s="2">
        <v>3480000000</v>
      </c>
      <c r="H173" s="2">
        <v>3047000000</v>
      </c>
      <c r="I173">
        <v>0</v>
      </c>
      <c r="J173" t="s">
        <v>12</v>
      </c>
      <c r="K173" t="s">
        <v>87</v>
      </c>
      <c r="L173" s="37">
        <f t="shared" si="8"/>
        <v>0.15435975408210489</v>
      </c>
      <c r="M173" s="2">
        <f t="shared" si="9"/>
        <v>14010000000</v>
      </c>
      <c r="N173" s="37">
        <f t="shared" si="10"/>
        <v>8.2446398272404756E-2</v>
      </c>
      <c r="O173" s="2">
        <f t="shared" si="11"/>
        <v>7483000000</v>
      </c>
    </row>
    <row r="174" spans="1:15" x14ac:dyDescent="0.3">
      <c r="A174" t="s">
        <v>99</v>
      </c>
      <c r="B174">
        <v>3</v>
      </c>
      <c r="C174">
        <v>2015</v>
      </c>
      <c r="D174" s="1">
        <v>42369</v>
      </c>
      <c r="E174" s="2">
        <v>96114000000</v>
      </c>
      <c r="F174" s="2">
        <v>82088000000</v>
      </c>
      <c r="G174" s="2">
        <v>3251000000</v>
      </c>
      <c r="H174" s="2">
        <v>3331000000</v>
      </c>
      <c r="I174">
        <v>0</v>
      </c>
      <c r="J174" t="s">
        <v>12</v>
      </c>
      <c r="K174" t="s">
        <v>87</v>
      </c>
      <c r="L174" s="37">
        <f t="shared" si="8"/>
        <v>0.14593087375408365</v>
      </c>
      <c r="M174" s="2">
        <f t="shared" si="9"/>
        <v>14026000000</v>
      </c>
      <c r="N174" s="37">
        <f t="shared" si="10"/>
        <v>7.7449695153671685E-2</v>
      </c>
      <c r="O174" s="2">
        <f t="shared" si="11"/>
        <v>7444000000</v>
      </c>
    </row>
    <row r="175" spans="1:15" x14ac:dyDescent="0.3">
      <c r="A175" t="s">
        <v>99</v>
      </c>
      <c r="B175">
        <v>4</v>
      </c>
      <c r="C175">
        <v>2016</v>
      </c>
      <c r="D175" s="1">
        <v>42735</v>
      </c>
      <c r="E175" s="2">
        <v>94571000000</v>
      </c>
      <c r="F175" s="2">
        <v>80790000000</v>
      </c>
      <c r="G175" s="2">
        <v>3313000000</v>
      </c>
      <c r="H175" s="2">
        <v>4627000000</v>
      </c>
      <c r="I175">
        <v>0</v>
      </c>
      <c r="J175" t="s">
        <v>12</v>
      </c>
      <c r="K175" t="s">
        <v>87</v>
      </c>
      <c r="L175" s="37">
        <f t="shared" si="8"/>
        <v>0.14572120417464129</v>
      </c>
      <c r="M175" s="2">
        <f t="shared" si="9"/>
        <v>13781000000</v>
      </c>
      <c r="N175" s="37">
        <f t="shared" si="10"/>
        <v>6.1763119772446098E-2</v>
      </c>
      <c r="O175" s="2">
        <f t="shared" si="11"/>
        <v>5841000000</v>
      </c>
    </row>
    <row r="176" spans="1:15" x14ac:dyDescent="0.3">
      <c r="A176" t="s">
        <v>157</v>
      </c>
      <c r="B176">
        <v>1</v>
      </c>
      <c r="C176">
        <v>2012</v>
      </c>
      <c r="D176" s="1">
        <v>41274</v>
      </c>
      <c r="E176" s="2">
        <v>23771000000</v>
      </c>
      <c r="F176" s="2">
        <v>1403000000</v>
      </c>
      <c r="G176" s="2">
        <v>11188000000</v>
      </c>
      <c r="H176">
        <v>0</v>
      </c>
      <c r="I176" s="2">
        <v>5024000000</v>
      </c>
      <c r="J176" t="s">
        <v>43</v>
      </c>
      <c r="K176" t="s">
        <v>96</v>
      </c>
      <c r="L176" s="37">
        <f t="shared" si="8"/>
        <v>0.94097850321820709</v>
      </c>
      <c r="M176" s="2">
        <f t="shared" si="9"/>
        <v>22368000000</v>
      </c>
      <c r="N176" s="37">
        <f t="shared" si="10"/>
        <v>0.25897101510243575</v>
      </c>
      <c r="O176" s="2">
        <f t="shared" si="11"/>
        <v>6156000000</v>
      </c>
    </row>
    <row r="177" spans="1:15" x14ac:dyDescent="0.3">
      <c r="A177" t="s">
        <v>157</v>
      </c>
      <c r="B177">
        <v>2</v>
      </c>
      <c r="C177">
        <v>2013</v>
      </c>
      <c r="D177" s="1">
        <v>41639</v>
      </c>
      <c r="E177" s="2">
        <v>24176000000</v>
      </c>
      <c r="F177" s="2">
        <v>1241000000</v>
      </c>
      <c r="G177" s="2">
        <v>11682000000</v>
      </c>
      <c r="H177">
        <v>0</v>
      </c>
      <c r="I177" s="2">
        <v>4124000000</v>
      </c>
      <c r="J177" t="s">
        <v>43</v>
      </c>
      <c r="K177" t="s">
        <v>96</v>
      </c>
      <c r="L177" s="37">
        <f t="shared" si="8"/>
        <v>0.948668100595632</v>
      </c>
      <c r="M177" s="2">
        <f t="shared" si="9"/>
        <v>22935000000</v>
      </c>
      <c r="N177" s="37">
        <f t="shared" si="10"/>
        <v>0.29487921906022502</v>
      </c>
      <c r="O177" s="2">
        <f t="shared" si="11"/>
        <v>7129000000</v>
      </c>
    </row>
    <row r="178" spans="1:15" x14ac:dyDescent="0.3">
      <c r="A178" t="s">
        <v>157</v>
      </c>
      <c r="B178">
        <v>3</v>
      </c>
      <c r="C178">
        <v>2014</v>
      </c>
      <c r="D178" s="1">
        <v>42004</v>
      </c>
      <c r="E178" s="2">
        <v>23869000000</v>
      </c>
      <c r="F178" s="2">
        <v>1088000000</v>
      </c>
      <c r="G178" s="2">
        <v>11648000000</v>
      </c>
      <c r="H178">
        <v>0</v>
      </c>
      <c r="I178" s="2">
        <v>4073000000</v>
      </c>
      <c r="J178" t="s">
        <v>43</v>
      </c>
      <c r="K178" t="s">
        <v>96</v>
      </c>
      <c r="L178" s="37">
        <f t="shared" si="8"/>
        <v>0.95441786417529018</v>
      </c>
      <c r="M178" s="2">
        <f t="shared" si="9"/>
        <v>22781000000</v>
      </c>
      <c r="N178" s="37">
        <f t="shared" si="10"/>
        <v>0.29578113871548872</v>
      </c>
      <c r="O178" s="2">
        <f t="shared" si="11"/>
        <v>7060000000</v>
      </c>
    </row>
    <row r="179" spans="1:15" x14ac:dyDescent="0.3">
      <c r="A179" t="s">
        <v>157</v>
      </c>
      <c r="B179">
        <v>4</v>
      </c>
      <c r="C179">
        <v>2015</v>
      </c>
      <c r="D179" s="1">
        <v>42369</v>
      </c>
      <c r="E179" s="2">
        <v>25038000000</v>
      </c>
      <c r="F179" s="2">
        <v>1091000000</v>
      </c>
      <c r="G179" s="2">
        <v>12566000000</v>
      </c>
      <c r="H179">
        <v>0</v>
      </c>
      <c r="I179" s="2">
        <v>4966000000</v>
      </c>
      <c r="J179" t="s">
        <v>43</v>
      </c>
      <c r="K179" t="s">
        <v>96</v>
      </c>
      <c r="L179" s="37">
        <f t="shared" si="8"/>
        <v>0.95642623212716671</v>
      </c>
      <c r="M179" s="2">
        <f t="shared" si="9"/>
        <v>23947000000</v>
      </c>
      <c r="N179" s="37">
        <f t="shared" si="10"/>
        <v>0.2562105599488777</v>
      </c>
      <c r="O179" s="2">
        <f t="shared" si="11"/>
        <v>6415000000</v>
      </c>
    </row>
    <row r="180" spans="1:15" x14ac:dyDescent="0.3">
      <c r="A180" t="s">
        <v>191</v>
      </c>
      <c r="B180">
        <v>1</v>
      </c>
      <c r="C180">
        <v>2012</v>
      </c>
      <c r="D180" s="1">
        <v>41243</v>
      </c>
      <c r="E180" s="2">
        <v>8984000000</v>
      </c>
      <c r="F180" s="2">
        <v>845000000</v>
      </c>
      <c r="G180" s="2">
        <v>3052000000</v>
      </c>
      <c r="H180">
        <v>0</v>
      </c>
      <c r="I180" s="2">
        <v>848000000</v>
      </c>
      <c r="J180" t="s">
        <v>43</v>
      </c>
      <c r="K180" t="s">
        <v>96</v>
      </c>
      <c r="L180" s="37">
        <f t="shared" si="8"/>
        <v>0.90594390026714156</v>
      </c>
      <c r="M180" s="2">
        <f t="shared" si="9"/>
        <v>8139000000</v>
      </c>
      <c r="N180" s="37">
        <f t="shared" si="10"/>
        <v>0.47183882457702581</v>
      </c>
      <c r="O180" s="2">
        <f t="shared" si="11"/>
        <v>4239000000</v>
      </c>
    </row>
    <row r="181" spans="1:15" x14ac:dyDescent="0.3">
      <c r="A181" t="s">
        <v>191</v>
      </c>
      <c r="B181">
        <v>2</v>
      </c>
      <c r="C181">
        <v>2013</v>
      </c>
      <c r="D181" s="1">
        <v>41639</v>
      </c>
      <c r="E181" s="2">
        <v>9370000000</v>
      </c>
      <c r="F181" s="2">
        <v>698000000</v>
      </c>
      <c r="G181" s="2">
        <v>3194000000</v>
      </c>
      <c r="H181">
        <v>0</v>
      </c>
      <c r="I181" s="2">
        <v>1086000000</v>
      </c>
      <c r="J181" t="s">
        <v>43</v>
      </c>
      <c r="K181" t="s">
        <v>96</v>
      </c>
      <c r="L181" s="37">
        <f t="shared" si="8"/>
        <v>0.92550693703308429</v>
      </c>
      <c r="M181" s="2">
        <f t="shared" si="9"/>
        <v>8672000000</v>
      </c>
      <c r="N181" s="37">
        <f t="shared" si="10"/>
        <v>0.46872998932764143</v>
      </c>
      <c r="O181" s="2">
        <f t="shared" si="11"/>
        <v>4392000000</v>
      </c>
    </row>
    <row r="182" spans="1:15" x14ac:dyDescent="0.3">
      <c r="A182" t="s">
        <v>191</v>
      </c>
      <c r="B182">
        <v>3</v>
      </c>
      <c r="C182">
        <v>2014</v>
      </c>
      <c r="D182" s="1">
        <v>42004</v>
      </c>
      <c r="E182" s="2">
        <v>9611000000</v>
      </c>
      <c r="F182" s="2">
        <v>614000000</v>
      </c>
      <c r="G182" s="2">
        <v>3340000000</v>
      </c>
      <c r="H182">
        <v>0</v>
      </c>
      <c r="I182" s="2">
        <v>1443000000</v>
      </c>
      <c r="J182" t="s">
        <v>43</v>
      </c>
      <c r="K182" t="s">
        <v>96</v>
      </c>
      <c r="L182" s="37">
        <f t="shared" si="8"/>
        <v>0.93611486837998126</v>
      </c>
      <c r="M182" s="2">
        <f t="shared" si="9"/>
        <v>8997000000</v>
      </c>
      <c r="N182" s="37">
        <f t="shared" si="10"/>
        <v>0.43845593590677351</v>
      </c>
      <c r="O182" s="2">
        <f t="shared" si="11"/>
        <v>4214000000</v>
      </c>
    </row>
    <row r="183" spans="1:15" x14ac:dyDescent="0.3">
      <c r="A183" t="s">
        <v>191</v>
      </c>
      <c r="B183">
        <v>4</v>
      </c>
      <c r="C183">
        <v>2015</v>
      </c>
      <c r="D183" s="1">
        <v>42369</v>
      </c>
      <c r="E183" s="2">
        <v>10002000000</v>
      </c>
      <c r="F183" s="2">
        <v>623000000</v>
      </c>
      <c r="G183" s="2">
        <v>3615000000</v>
      </c>
      <c r="H183">
        <v>0</v>
      </c>
      <c r="I183" s="2">
        <v>1512000000</v>
      </c>
      <c r="J183" t="s">
        <v>43</v>
      </c>
      <c r="K183" t="s">
        <v>96</v>
      </c>
      <c r="L183" s="37">
        <f t="shared" si="8"/>
        <v>0.9377124575084983</v>
      </c>
      <c r="M183" s="2">
        <f t="shared" si="9"/>
        <v>9379000000</v>
      </c>
      <c r="N183" s="37">
        <f t="shared" si="10"/>
        <v>0.4251149770045991</v>
      </c>
      <c r="O183" s="2">
        <f t="shared" si="11"/>
        <v>4252000000</v>
      </c>
    </row>
    <row r="184" spans="1:15" x14ac:dyDescent="0.3">
      <c r="A184" t="s">
        <v>103</v>
      </c>
      <c r="B184">
        <v>1</v>
      </c>
      <c r="C184">
        <v>2013</v>
      </c>
      <c r="D184" s="1">
        <v>41335</v>
      </c>
      <c r="E184" s="2">
        <v>10914585000</v>
      </c>
      <c r="F184" s="2">
        <v>6525830000</v>
      </c>
      <c r="G184" s="2">
        <v>2750537000</v>
      </c>
      <c r="H184">
        <v>0</v>
      </c>
      <c r="I184">
        <v>0</v>
      </c>
      <c r="J184" t="s">
        <v>15</v>
      </c>
      <c r="K184" t="s">
        <v>75</v>
      </c>
      <c r="L184" s="37">
        <f t="shared" si="8"/>
        <v>0.40210003403702477</v>
      </c>
      <c r="M184" s="2">
        <f t="shared" si="9"/>
        <v>4388755000</v>
      </c>
      <c r="N184" s="37">
        <f t="shared" si="10"/>
        <v>0.15009439204513961</v>
      </c>
      <c r="O184" s="2">
        <f t="shared" si="11"/>
        <v>1638218000</v>
      </c>
    </row>
    <row r="185" spans="1:15" x14ac:dyDescent="0.3">
      <c r="A185" t="s">
        <v>103</v>
      </c>
      <c r="B185">
        <v>2</v>
      </c>
      <c r="C185">
        <v>2014</v>
      </c>
      <c r="D185" s="1">
        <v>41699</v>
      </c>
      <c r="E185" s="2">
        <v>11503963000</v>
      </c>
      <c r="F185" s="2">
        <v>6938381000</v>
      </c>
      <c r="G185" s="2">
        <v>2950995000</v>
      </c>
      <c r="H185">
        <v>0</v>
      </c>
      <c r="I185">
        <v>0</v>
      </c>
      <c r="J185" t="s">
        <v>15</v>
      </c>
      <c r="K185" t="s">
        <v>75</v>
      </c>
      <c r="L185" s="37">
        <f t="shared" si="8"/>
        <v>0.3968703654557999</v>
      </c>
      <c r="M185" s="2">
        <f t="shared" si="9"/>
        <v>4565582000</v>
      </c>
      <c r="N185" s="37">
        <f t="shared" si="10"/>
        <v>0.14035050356125103</v>
      </c>
      <c r="O185" s="2">
        <f t="shared" si="11"/>
        <v>1614587000</v>
      </c>
    </row>
    <row r="186" spans="1:15" x14ac:dyDescent="0.3">
      <c r="A186" t="s">
        <v>103</v>
      </c>
      <c r="B186">
        <v>3</v>
      </c>
      <c r="C186">
        <v>2015</v>
      </c>
      <c r="D186" s="1">
        <v>42063</v>
      </c>
      <c r="E186" s="2">
        <v>11881176000</v>
      </c>
      <c r="F186" s="2">
        <v>7261397000</v>
      </c>
      <c r="G186" s="2">
        <v>3065486000</v>
      </c>
      <c r="H186">
        <v>0</v>
      </c>
      <c r="I186">
        <v>0</v>
      </c>
      <c r="J186" t="s">
        <v>15</v>
      </c>
      <c r="K186" t="s">
        <v>75</v>
      </c>
      <c r="L186" s="37">
        <f t="shared" si="8"/>
        <v>0.38883179577509841</v>
      </c>
      <c r="M186" s="2">
        <f t="shared" si="9"/>
        <v>4619779000</v>
      </c>
      <c r="N186" s="37">
        <f t="shared" si="10"/>
        <v>0.13081979426952348</v>
      </c>
      <c r="O186" s="2">
        <f t="shared" si="11"/>
        <v>1554293000</v>
      </c>
    </row>
    <row r="187" spans="1:15" x14ac:dyDescent="0.3">
      <c r="A187" t="s">
        <v>103</v>
      </c>
      <c r="B187">
        <v>4</v>
      </c>
      <c r="C187">
        <v>2016</v>
      </c>
      <c r="D187" s="1">
        <v>42427</v>
      </c>
      <c r="E187" s="2">
        <v>12103887000</v>
      </c>
      <c r="F187" s="2">
        <v>7483577000</v>
      </c>
      <c r="G187" s="2">
        <v>3205407000</v>
      </c>
      <c r="H187">
        <v>0</v>
      </c>
      <c r="I187">
        <v>0</v>
      </c>
      <c r="J187" t="s">
        <v>15</v>
      </c>
      <c r="K187" t="s">
        <v>75</v>
      </c>
      <c r="L187" s="37">
        <f t="shared" si="8"/>
        <v>0.38172117766796732</v>
      </c>
      <c r="M187" s="2">
        <f t="shared" si="9"/>
        <v>4620310000</v>
      </c>
      <c r="N187" s="37">
        <f t="shared" si="10"/>
        <v>0.11689658041255672</v>
      </c>
      <c r="O187" s="2">
        <f t="shared" si="11"/>
        <v>1414903000</v>
      </c>
    </row>
    <row r="188" spans="1:15" x14ac:dyDescent="0.3">
      <c r="A188" t="s">
        <v>231</v>
      </c>
      <c r="B188">
        <v>1</v>
      </c>
      <c r="C188">
        <v>2012</v>
      </c>
      <c r="D188" s="1">
        <v>41274</v>
      </c>
      <c r="E188" s="2">
        <v>1365000000</v>
      </c>
      <c r="F188">
        <v>0</v>
      </c>
      <c r="G188" s="2">
        <v>921000000</v>
      </c>
      <c r="H188">
        <v>0</v>
      </c>
      <c r="I188" s="2">
        <v>471000000</v>
      </c>
      <c r="J188" t="s">
        <v>43</v>
      </c>
      <c r="K188" t="s">
        <v>232</v>
      </c>
      <c r="L188" s="37">
        <f t="shared" si="8"/>
        <v>1</v>
      </c>
      <c r="M188" s="2">
        <f t="shared" si="9"/>
        <v>1365000000</v>
      </c>
      <c r="N188" s="37">
        <f t="shared" si="10"/>
        <v>-1.9780219780219779E-2</v>
      </c>
      <c r="O188" s="2">
        <f t="shared" si="11"/>
        <v>-27000000</v>
      </c>
    </row>
    <row r="189" spans="1:15" x14ac:dyDescent="0.3">
      <c r="A189" t="s">
        <v>231</v>
      </c>
      <c r="B189">
        <v>2</v>
      </c>
      <c r="C189">
        <v>2013</v>
      </c>
      <c r="D189" s="1">
        <v>41639</v>
      </c>
      <c r="E189" s="2">
        <v>1466000000</v>
      </c>
      <c r="F189">
        <v>0</v>
      </c>
      <c r="G189" s="2">
        <v>888000000</v>
      </c>
      <c r="H189">
        <v>0</v>
      </c>
      <c r="I189" s="2">
        <v>256000000</v>
      </c>
      <c r="J189" t="s">
        <v>43</v>
      </c>
      <c r="K189" t="s">
        <v>232</v>
      </c>
      <c r="L189" s="37">
        <f t="shared" si="8"/>
        <v>1</v>
      </c>
      <c r="M189" s="2">
        <f t="shared" si="9"/>
        <v>1466000000</v>
      </c>
      <c r="N189" s="37">
        <f t="shared" si="10"/>
        <v>0.21964529331514324</v>
      </c>
      <c r="O189" s="2">
        <f t="shared" si="11"/>
        <v>322000000</v>
      </c>
    </row>
    <row r="190" spans="1:15" x14ac:dyDescent="0.3">
      <c r="A190" t="s">
        <v>231</v>
      </c>
      <c r="B190">
        <v>3</v>
      </c>
      <c r="C190">
        <v>2014</v>
      </c>
      <c r="D190" s="1">
        <v>42004</v>
      </c>
      <c r="E190" s="2">
        <v>1665000000</v>
      </c>
      <c r="F190">
        <v>0</v>
      </c>
      <c r="G190" s="2">
        <v>958000000</v>
      </c>
      <c r="H190">
        <v>0</v>
      </c>
      <c r="I190" s="2">
        <v>136000000</v>
      </c>
      <c r="J190" t="s">
        <v>43</v>
      </c>
      <c r="K190" t="s">
        <v>232</v>
      </c>
      <c r="L190" s="37">
        <f t="shared" si="8"/>
        <v>1</v>
      </c>
      <c r="M190" s="2">
        <f t="shared" si="9"/>
        <v>1665000000</v>
      </c>
      <c r="N190" s="37">
        <f t="shared" si="10"/>
        <v>0.34294294294294292</v>
      </c>
      <c r="O190" s="2">
        <f t="shared" si="11"/>
        <v>571000000</v>
      </c>
    </row>
    <row r="191" spans="1:15" x14ac:dyDescent="0.3">
      <c r="A191" t="s">
        <v>231</v>
      </c>
      <c r="B191">
        <v>4</v>
      </c>
      <c r="C191">
        <v>2015</v>
      </c>
      <c r="D191" s="1">
        <v>42369</v>
      </c>
      <c r="E191" s="2">
        <v>1403000000</v>
      </c>
      <c r="F191">
        <v>0</v>
      </c>
      <c r="G191" s="2">
        <v>1048000000</v>
      </c>
      <c r="H191">
        <v>0</v>
      </c>
      <c r="I191" s="2">
        <v>61000000</v>
      </c>
      <c r="J191" t="s">
        <v>43</v>
      </c>
      <c r="K191" t="s">
        <v>232</v>
      </c>
      <c r="L191" s="37">
        <f t="shared" si="8"/>
        <v>1</v>
      </c>
      <c r="M191" s="2">
        <f t="shared" si="9"/>
        <v>1403000000</v>
      </c>
      <c r="N191" s="37">
        <f t="shared" si="10"/>
        <v>0.20955096222380612</v>
      </c>
      <c r="O191" s="2">
        <f t="shared" si="11"/>
        <v>294000000</v>
      </c>
    </row>
    <row r="192" spans="1:15" x14ac:dyDescent="0.3">
      <c r="A192" t="s">
        <v>105</v>
      </c>
      <c r="B192">
        <v>1</v>
      </c>
      <c r="C192">
        <v>2012</v>
      </c>
      <c r="D192" s="1">
        <v>40971</v>
      </c>
      <c r="E192" s="2">
        <v>45457000000</v>
      </c>
      <c r="F192" s="2">
        <v>34473000000</v>
      </c>
      <c r="G192" s="2">
        <v>8755000000</v>
      </c>
      <c r="H192">
        <v>0</v>
      </c>
      <c r="I192">
        <v>0</v>
      </c>
      <c r="J192" t="s">
        <v>15</v>
      </c>
      <c r="K192" t="s">
        <v>106</v>
      </c>
      <c r="L192" s="37">
        <f t="shared" si="8"/>
        <v>0.24163495171260752</v>
      </c>
      <c r="M192" s="2">
        <f t="shared" si="9"/>
        <v>10984000000</v>
      </c>
      <c r="N192" s="37">
        <f t="shared" si="10"/>
        <v>4.9035352090987083E-2</v>
      </c>
      <c r="O192" s="2">
        <f t="shared" si="11"/>
        <v>2229000000</v>
      </c>
    </row>
    <row r="193" spans="1:15" x14ac:dyDescent="0.3">
      <c r="A193" t="s">
        <v>105</v>
      </c>
      <c r="B193">
        <v>2</v>
      </c>
      <c r="C193">
        <v>2014</v>
      </c>
      <c r="D193" s="1">
        <v>41671</v>
      </c>
      <c r="E193" s="2">
        <v>40611000000</v>
      </c>
      <c r="F193" s="2">
        <v>31212000000</v>
      </c>
      <c r="G193" s="2">
        <v>8106000000</v>
      </c>
      <c r="H193">
        <v>0</v>
      </c>
      <c r="I193">
        <v>0</v>
      </c>
      <c r="J193" t="s">
        <v>15</v>
      </c>
      <c r="K193" t="s">
        <v>106</v>
      </c>
      <c r="L193" s="37">
        <f t="shared" si="8"/>
        <v>0.23143975770111547</v>
      </c>
      <c r="M193" s="2">
        <f t="shared" si="9"/>
        <v>9399000000</v>
      </c>
      <c r="N193" s="37">
        <f t="shared" si="10"/>
        <v>3.1838664401270589E-2</v>
      </c>
      <c r="O193" s="2">
        <f t="shared" si="11"/>
        <v>1293000000</v>
      </c>
    </row>
    <row r="194" spans="1:15" x14ac:dyDescent="0.3">
      <c r="A194" t="s">
        <v>105</v>
      </c>
      <c r="B194">
        <v>3</v>
      </c>
      <c r="C194">
        <v>2015</v>
      </c>
      <c r="D194" s="1">
        <v>42035</v>
      </c>
      <c r="E194" s="2">
        <v>40339000000</v>
      </c>
      <c r="F194" s="2">
        <v>31292000000</v>
      </c>
      <c r="G194" s="2">
        <v>7592000000</v>
      </c>
      <c r="H194">
        <v>0</v>
      </c>
      <c r="I194">
        <v>0</v>
      </c>
      <c r="J194" t="s">
        <v>15</v>
      </c>
      <c r="K194" t="s">
        <v>106</v>
      </c>
      <c r="L194" s="37">
        <f t="shared" ref="L194:L257" si="12">1-(F194/E194)</f>
        <v>0.22427427551501034</v>
      </c>
      <c r="M194" s="2">
        <f t="shared" ref="M194:M257" si="13">E194-F194</f>
        <v>9047000000</v>
      </c>
      <c r="N194" s="37">
        <f t="shared" ref="N194:N257" si="14">O194/E194</f>
        <v>3.6069312575919082E-2</v>
      </c>
      <c r="O194" s="2">
        <f t="shared" ref="O194:O257" si="15">M194-SUM(G194:I194)</f>
        <v>1455000000</v>
      </c>
    </row>
    <row r="195" spans="1:15" x14ac:dyDescent="0.3">
      <c r="A195" t="s">
        <v>105</v>
      </c>
      <c r="B195">
        <v>4</v>
      </c>
      <c r="C195">
        <v>2016</v>
      </c>
      <c r="D195" s="1">
        <v>42399</v>
      </c>
      <c r="E195" s="2">
        <v>39528000000</v>
      </c>
      <c r="F195" s="2">
        <v>30337000000</v>
      </c>
      <c r="G195" s="2">
        <v>7618000000</v>
      </c>
      <c r="H195">
        <v>0</v>
      </c>
      <c r="I195">
        <v>0</v>
      </c>
      <c r="J195" t="s">
        <v>15</v>
      </c>
      <c r="K195" t="s">
        <v>106</v>
      </c>
      <c r="L195" s="37">
        <f t="shared" si="12"/>
        <v>0.23251872090669901</v>
      </c>
      <c r="M195" s="2">
        <f t="shared" si="13"/>
        <v>9191000000</v>
      </c>
      <c r="N195" s="37">
        <f t="shared" si="14"/>
        <v>3.979457599676179E-2</v>
      </c>
      <c r="O195" s="2">
        <f t="shared" si="15"/>
        <v>1573000000</v>
      </c>
    </row>
    <row r="196" spans="1:15" x14ac:dyDescent="0.3">
      <c r="A196" t="s">
        <v>283</v>
      </c>
      <c r="B196">
        <v>1</v>
      </c>
      <c r="C196">
        <v>2012</v>
      </c>
      <c r="D196" s="1">
        <v>41274</v>
      </c>
      <c r="E196" s="2">
        <v>3036584000</v>
      </c>
      <c r="F196" s="2">
        <v>162167000</v>
      </c>
      <c r="G196" s="2">
        <v>1789327000</v>
      </c>
      <c r="H196">
        <v>0</v>
      </c>
      <c r="I196" s="2">
        <v>193937000</v>
      </c>
      <c r="J196" t="s">
        <v>43</v>
      </c>
      <c r="K196" t="s">
        <v>101</v>
      </c>
      <c r="L196" s="37">
        <f t="shared" si="12"/>
        <v>0.94659558240443864</v>
      </c>
      <c r="M196" s="2">
        <f t="shared" si="13"/>
        <v>2874417000</v>
      </c>
      <c r="N196" s="37">
        <f t="shared" si="14"/>
        <v>0.29347220429271842</v>
      </c>
      <c r="O196" s="2">
        <f t="shared" si="15"/>
        <v>891153000</v>
      </c>
    </row>
    <row r="197" spans="1:15" x14ac:dyDescent="0.3">
      <c r="A197" t="s">
        <v>283</v>
      </c>
      <c r="B197">
        <v>2</v>
      </c>
      <c r="C197">
        <v>2013</v>
      </c>
      <c r="D197" s="1">
        <v>41639</v>
      </c>
      <c r="E197" s="2">
        <v>2872833000</v>
      </c>
      <c r="F197" s="2">
        <v>116241000</v>
      </c>
      <c r="G197" s="2">
        <v>1716639000</v>
      </c>
      <c r="H197">
        <v>0</v>
      </c>
      <c r="I197" s="2">
        <v>131409000</v>
      </c>
      <c r="J197" t="s">
        <v>43</v>
      </c>
      <c r="K197" t="s">
        <v>101</v>
      </c>
      <c r="L197" s="37">
        <f t="shared" si="12"/>
        <v>0.95953784992027036</v>
      </c>
      <c r="M197" s="2">
        <f t="shared" si="13"/>
        <v>2756592000</v>
      </c>
      <c r="N197" s="37">
        <f t="shared" si="14"/>
        <v>0.31625367711941488</v>
      </c>
      <c r="O197" s="2">
        <f t="shared" si="15"/>
        <v>908544000</v>
      </c>
    </row>
    <row r="198" spans="1:15" x14ac:dyDescent="0.3">
      <c r="A198" t="s">
        <v>283</v>
      </c>
      <c r="B198">
        <v>3</v>
      </c>
      <c r="C198">
        <v>2014</v>
      </c>
      <c r="D198" s="1">
        <v>42004</v>
      </c>
      <c r="E198" s="2">
        <v>2955641000</v>
      </c>
      <c r="F198" s="2">
        <v>86453000</v>
      </c>
      <c r="G198" s="2">
        <v>1843069000</v>
      </c>
      <c r="H198">
        <v>0</v>
      </c>
      <c r="I198" s="2">
        <v>120266000</v>
      </c>
      <c r="J198" t="s">
        <v>43</v>
      </c>
      <c r="K198" t="s">
        <v>101</v>
      </c>
      <c r="L198" s="37">
        <f t="shared" si="12"/>
        <v>0.97074983057820619</v>
      </c>
      <c r="M198" s="2">
        <f t="shared" si="13"/>
        <v>2869188000</v>
      </c>
      <c r="N198" s="37">
        <f t="shared" si="14"/>
        <v>0.30648275619400328</v>
      </c>
      <c r="O198" s="2">
        <f t="shared" si="15"/>
        <v>905853000</v>
      </c>
    </row>
    <row r="199" spans="1:15" x14ac:dyDescent="0.3">
      <c r="A199" t="s">
        <v>283</v>
      </c>
      <c r="B199">
        <v>4</v>
      </c>
      <c r="C199">
        <v>2015</v>
      </c>
      <c r="D199" s="1">
        <v>42369</v>
      </c>
      <c r="E199" s="2">
        <v>3153251000</v>
      </c>
      <c r="F199" s="2">
        <v>82175000</v>
      </c>
      <c r="G199" s="2">
        <v>1948041000</v>
      </c>
      <c r="H199">
        <v>0</v>
      </c>
      <c r="I199" s="2">
        <v>127821000</v>
      </c>
      <c r="J199" t="s">
        <v>43</v>
      </c>
      <c r="K199" t="s">
        <v>101</v>
      </c>
      <c r="L199" s="37">
        <f t="shared" si="12"/>
        <v>0.9739395944059005</v>
      </c>
      <c r="M199" s="2">
        <f t="shared" si="13"/>
        <v>3071076000</v>
      </c>
      <c r="N199" s="37">
        <f t="shared" si="14"/>
        <v>0.31561521743749549</v>
      </c>
      <c r="O199" s="2">
        <f t="shared" si="15"/>
        <v>995214000</v>
      </c>
    </row>
    <row r="200" spans="1:15" x14ac:dyDescent="0.3">
      <c r="A200" t="s">
        <v>292</v>
      </c>
      <c r="B200">
        <v>1</v>
      </c>
      <c r="C200">
        <v>2012</v>
      </c>
      <c r="D200" s="1">
        <v>41274</v>
      </c>
      <c r="E200" s="2">
        <v>22086000000</v>
      </c>
      <c r="F200" s="2">
        <v>13195000000</v>
      </c>
      <c r="G200">
        <v>0</v>
      </c>
      <c r="H200">
        <v>0</v>
      </c>
      <c r="I200" s="2">
        <v>7080000000</v>
      </c>
      <c r="J200" t="s">
        <v>43</v>
      </c>
      <c r="K200" t="s">
        <v>46</v>
      </c>
      <c r="L200" s="37">
        <f t="shared" si="12"/>
        <v>0.40256270940867522</v>
      </c>
      <c r="M200" s="2">
        <f t="shared" si="13"/>
        <v>8891000000</v>
      </c>
      <c r="N200" s="37">
        <f t="shared" si="14"/>
        <v>8.199764556732772E-2</v>
      </c>
      <c r="O200" s="2">
        <f t="shared" si="15"/>
        <v>1811000000</v>
      </c>
    </row>
    <row r="201" spans="1:15" x14ac:dyDescent="0.3">
      <c r="A201" t="s">
        <v>292</v>
      </c>
      <c r="B201">
        <v>2</v>
      </c>
      <c r="C201">
        <v>2013</v>
      </c>
      <c r="D201" s="1">
        <v>41639</v>
      </c>
      <c r="E201" s="2">
        <v>20673000000</v>
      </c>
      <c r="F201" s="2">
        <v>11048000000</v>
      </c>
      <c r="G201">
        <v>0</v>
      </c>
      <c r="H201">
        <v>0</v>
      </c>
      <c r="I201" s="2">
        <v>5970000000</v>
      </c>
      <c r="J201" t="s">
        <v>43</v>
      </c>
      <c r="K201" t="s">
        <v>46</v>
      </c>
      <c r="L201" s="37">
        <f t="shared" si="12"/>
        <v>0.46558312775117305</v>
      </c>
      <c r="M201" s="2">
        <f t="shared" si="13"/>
        <v>9625000000</v>
      </c>
      <c r="N201" s="37">
        <f t="shared" si="14"/>
        <v>0.17680065786291299</v>
      </c>
      <c r="O201" s="2">
        <f t="shared" si="15"/>
        <v>3655000000</v>
      </c>
    </row>
    <row r="202" spans="1:15" x14ac:dyDescent="0.3">
      <c r="A202" t="s">
        <v>292</v>
      </c>
      <c r="B202">
        <v>3</v>
      </c>
      <c r="C202">
        <v>2014</v>
      </c>
      <c r="D202" s="1">
        <v>42004</v>
      </c>
      <c r="E202" s="2">
        <v>18614000000</v>
      </c>
      <c r="F202" s="2">
        <v>10805000000</v>
      </c>
      <c r="G202">
        <v>0</v>
      </c>
      <c r="H202">
        <v>0</v>
      </c>
      <c r="I202" s="2">
        <v>5757000000</v>
      </c>
      <c r="J202" t="s">
        <v>43</v>
      </c>
      <c r="K202" t="s">
        <v>46</v>
      </c>
      <c r="L202" s="37">
        <f t="shared" si="12"/>
        <v>0.41952293972278931</v>
      </c>
      <c r="M202" s="2">
        <f t="shared" si="13"/>
        <v>7809000000</v>
      </c>
      <c r="N202" s="37">
        <f t="shared" si="14"/>
        <v>0.11023960459868916</v>
      </c>
      <c r="O202" s="2">
        <f t="shared" si="15"/>
        <v>2052000000</v>
      </c>
    </row>
    <row r="203" spans="1:15" x14ac:dyDescent="0.3">
      <c r="A203" t="s">
        <v>292</v>
      </c>
      <c r="B203">
        <v>4</v>
      </c>
      <c r="C203">
        <v>2015</v>
      </c>
      <c r="D203" s="1">
        <v>42369</v>
      </c>
      <c r="E203" s="2">
        <v>18377000000</v>
      </c>
      <c r="F203" s="2">
        <v>10775000000</v>
      </c>
      <c r="G203">
        <v>0</v>
      </c>
      <c r="H203">
        <v>0</v>
      </c>
      <c r="I203" s="2">
        <v>5274000000</v>
      </c>
      <c r="J203" t="s">
        <v>43</v>
      </c>
      <c r="K203" t="s">
        <v>46</v>
      </c>
      <c r="L203" s="37">
        <f t="shared" si="12"/>
        <v>0.41366926048865427</v>
      </c>
      <c r="M203" s="2">
        <f t="shared" si="13"/>
        <v>7602000000</v>
      </c>
      <c r="N203" s="37">
        <f t="shared" si="14"/>
        <v>0.12668008924198726</v>
      </c>
      <c r="O203" s="2">
        <f t="shared" si="15"/>
        <v>2328000000</v>
      </c>
    </row>
    <row r="204" spans="1:15" x14ac:dyDescent="0.3">
      <c r="A204" t="s">
        <v>109</v>
      </c>
      <c r="B204">
        <v>1</v>
      </c>
      <c r="C204">
        <v>2013</v>
      </c>
      <c r="D204" s="1">
        <v>41639</v>
      </c>
      <c r="E204" s="2">
        <v>22364000000</v>
      </c>
      <c r="F204" s="2">
        <v>18553000000</v>
      </c>
      <c r="G204" s="2">
        <v>1306000000</v>
      </c>
      <c r="H204" s="2">
        <v>556000000</v>
      </c>
      <c r="I204">
        <v>0</v>
      </c>
      <c r="J204" t="s">
        <v>79</v>
      </c>
      <c r="K204" t="s">
        <v>110</v>
      </c>
      <c r="L204" s="37">
        <f t="shared" si="12"/>
        <v>0.170407798247183</v>
      </c>
      <c r="M204" s="2">
        <f t="shared" si="13"/>
        <v>3811000000</v>
      </c>
      <c r="N204" s="37">
        <f t="shared" si="14"/>
        <v>8.7148989447326061E-2</v>
      </c>
      <c r="O204" s="2">
        <f t="shared" si="15"/>
        <v>1949000000</v>
      </c>
    </row>
    <row r="205" spans="1:15" x14ac:dyDescent="0.3">
      <c r="A205" t="s">
        <v>109</v>
      </c>
      <c r="B205">
        <v>2</v>
      </c>
      <c r="C205">
        <v>2014</v>
      </c>
      <c r="D205" s="1">
        <v>42004</v>
      </c>
      <c r="E205" s="2">
        <v>24551000000</v>
      </c>
      <c r="F205" s="2">
        <v>19746000000</v>
      </c>
      <c r="G205" s="2">
        <v>1333000000</v>
      </c>
      <c r="H205" s="2">
        <v>613000000</v>
      </c>
      <c r="I205">
        <v>0</v>
      </c>
      <c r="J205" t="s">
        <v>79</v>
      </c>
      <c r="K205" t="s">
        <v>110</v>
      </c>
      <c r="L205" s="37">
        <f t="shared" si="12"/>
        <v>0.1957150421571423</v>
      </c>
      <c r="M205" s="2">
        <f t="shared" si="13"/>
        <v>4805000000</v>
      </c>
      <c r="N205" s="37">
        <f t="shared" si="14"/>
        <v>0.11645146837196041</v>
      </c>
      <c r="O205" s="2">
        <f t="shared" si="15"/>
        <v>2859000000</v>
      </c>
    </row>
    <row r="206" spans="1:15" x14ac:dyDescent="0.3">
      <c r="A206" t="s">
        <v>109</v>
      </c>
      <c r="B206">
        <v>3</v>
      </c>
      <c r="C206">
        <v>2015</v>
      </c>
      <c r="D206" s="1">
        <v>42369</v>
      </c>
      <c r="E206" s="2">
        <v>15742000000</v>
      </c>
      <c r="F206" s="2">
        <v>14415000000</v>
      </c>
      <c r="G206" s="2">
        <v>969000000</v>
      </c>
      <c r="H206" s="2">
        <v>466000000</v>
      </c>
      <c r="I206">
        <v>0</v>
      </c>
      <c r="J206" t="s">
        <v>79</v>
      </c>
      <c r="K206" t="s">
        <v>110</v>
      </c>
      <c r="L206" s="37">
        <f t="shared" si="12"/>
        <v>8.4296785668911189E-2</v>
      </c>
      <c r="M206" s="2">
        <f t="shared" si="13"/>
        <v>1327000000</v>
      </c>
      <c r="N206" s="37">
        <f t="shared" si="14"/>
        <v>-6.8606276203786046E-3</v>
      </c>
      <c r="O206" s="2">
        <f t="shared" si="15"/>
        <v>-108000000</v>
      </c>
    </row>
    <row r="207" spans="1:15" x14ac:dyDescent="0.3">
      <c r="A207" t="s">
        <v>109</v>
      </c>
      <c r="B207">
        <v>4</v>
      </c>
      <c r="C207">
        <v>2016</v>
      </c>
      <c r="D207" s="1">
        <v>42735</v>
      </c>
      <c r="E207" s="2">
        <v>9841000000</v>
      </c>
      <c r="F207" s="2">
        <v>9973000000</v>
      </c>
      <c r="G207" s="2">
        <v>815000000</v>
      </c>
      <c r="H207" s="2">
        <v>384000000</v>
      </c>
      <c r="I207">
        <v>0</v>
      </c>
      <c r="J207" t="s">
        <v>79</v>
      </c>
      <c r="K207" t="s">
        <v>110</v>
      </c>
      <c r="L207" s="37">
        <f t="shared" si="12"/>
        <v>-1.341327100904377E-2</v>
      </c>
      <c r="M207" s="2">
        <f t="shared" si="13"/>
        <v>-132000000</v>
      </c>
      <c r="N207" s="37">
        <f t="shared" si="14"/>
        <v>-0.13525048267452494</v>
      </c>
      <c r="O207" s="2">
        <f t="shared" si="15"/>
        <v>-1331000000</v>
      </c>
    </row>
    <row r="208" spans="1:15" x14ac:dyDescent="0.3">
      <c r="A208" t="s">
        <v>302</v>
      </c>
      <c r="B208">
        <v>1</v>
      </c>
      <c r="C208">
        <v>2013</v>
      </c>
      <c r="D208" s="1">
        <v>41394</v>
      </c>
      <c r="E208" s="2">
        <v>2807114000</v>
      </c>
      <c r="F208" s="2">
        <v>1123773000</v>
      </c>
      <c r="G208" s="2">
        <v>828095000</v>
      </c>
      <c r="H208">
        <v>0</v>
      </c>
      <c r="I208" s="2">
        <v>92407000</v>
      </c>
      <c r="J208" t="s">
        <v>43</v>
      </c>
      <c r="K208" t="s">
        <v>96</v>
      </c>
      <c r="L208" s="37">
        <f t="shared" si="12"/>
        <v>0.59966962510250743</v>
      </c>
      <c r="M208" s="2">
        <f t="shared" si="13"/>
        <v>1683341000</v>
      </c>
      <c r="N208" s="37">
        <f t="shared" si="14"/>
        <v>0.27175205566998706</v>
      </c>
      <c r="O208" s="2">
        <f t="shared" si="15"/>
        <v>762839000</v>
      </c>
    </row>
    <row r="209" spans="1:15" x14ac:dyDescent="0.3">
      <c r="A209" t="s">
        <v>302</v>
      </c>
      <c r="B209">
        <v>2</v>
      </c>
      <c r="C209">
        <v>2014</v>
      </c>
      <c r="D209" s="1">
        <v>41759</v>
      </c>
      <c r="E209" s="2">
        <v>3024295000</v>
      </c>
      <c r="F209" s="2">
        <v>1179405000</v>
      </c>
      <c r="G209" s="2">
        <v>830789000</v>
      </c>
      <c r="H209">
        <v>0</v>
      </c>
      <c r="I209" s="2">
        <v>115604000</v>
      </c>
      <c r="J209" t="s">
        <v>43</v>
      </c>
      <c r="K209" t="s">
        <v>96</v>
      </c>
      <c r="L209" s="37">
        <f t="shared" si="12"/>
        <v>0.61002316242297794</v>
      </c>
      <c r="M209" s="2">
        <f t="shared" si="13"/>
        <v>1844890000</v>
      </c>
      <c r="N209" s="37">
        <f t="shared" si="14"/>
        <v>0.2970930415187672</v>
      </c>
      <c r="O209" s="2">
        <f t="shared" si="15"/>
        <v>898497000</v>
      </c>
    </row>
    <row r="210" spans="1:15" x14ac:dyDescent="0.3">
      <c r="A210" t="s">
        <v>302</v>
      </c>
      <c r="B210">
        <v>3</v>
      </c>
      <c r="C210">
        <v>2015</v>
      </c>
      <c r="D210" s="1">
        <v>42124</v>
      </c>
      <c r="E210" s="2">
        <v>3078658000</v>
      </c>
      <c r="F210" s="2">
        <v>1231104000</v>
      </c>
      <c r="G210" s="2">
        <v>818091000</v>
      </c>
      <c r="H210">
        <v>0</v>
      </c>
      <c r="I210" s="2">
        <v>159804000</v>
      </c>
      <c r="J210" t="s">
        <v>43</v>
      </c>
      <c r="K210" t="s">
        <v>96</v>
      </c>
      <c r="L210" s="37">
        <f t="shared" si="12"/>
        <v>0.60011667421324488</v>
      </c>
      <c r="M210" s="2">
        <f t="shared" si="13"/>
        <v>1847554000</v>
      </c>
      <c r="N210" s="37">
        <f t="shared" si="14"/>
        <v>0.28247989870911289</v>
      </c>
      <c r="O210" s="2">
        <f t="shared" si="15"/>
        <v>869659000</v>
      </c>
    </row>
    <row r="211" spans="1:15" x14ac:dyDescent="0.3">
      <c r="A211" t="s">
        <v>302</v>
      </c>
      <c r="B211">
        <v>4</v>
      </c>
      <c r="C211">
        <v>2016</v>
      </c>
      <c r="D211" s="1">
        <v>42490</v>
      </c>
      <c r="E211" s="2">
        <v>3038153000</v>
      </c>
      <c r="F211" s="2">
        <v>1250320000</v>
      </c>
      <c r="G211" s="2">
        <v>905648000</v>
      </c>
      <c r="H211">
        <v>0</v>
      </c>
      <c r="I211" s="2">
        <v>173598000</v>
      </c>
      <c r="J211" t="s">
        <v>43</v>
      </c>
      <c r="K211" t="s">
        <v>96</v>
      </c>
      <c r="L211" s="37">
        <f t="shared" si="12"/>
        <v>0.58846048898788172</v>
      </c>
      <c r="M211" s="2">
        <f t="shared" si="13"/>
        <v>1787833000</v>
      </c>
      <c r="N211" s="37">
        <f t="shared" si="14"/>
        <v>0.23322953123163975</v>
      </c>
      <c r="O211" s="2">
        <f t="shared" si="15"/>
        <v>708587000</v>
      </c>
    </row>
    <row r="212" spans="1:15" x14ac:dyDescent="0.3">
      <c r="A212" t="s">
        <v>112</v>
      </c>
      <c r="B212">
        <v>1</v>
      </c>
      <c r="C212">
        <v>2012</v>
      </c>
      <c r="D212" s="1">
        <v>41274</v>
      </c>
      <c r="E212" s="2">
        <v>8735700000</v>
      </c>
      <c r="F212" s="2">
        <v>7174000000</v>
      </c>
      <c r="G212" s="2">
        <v>488300000</v>
      </c>
      <c r="H212">
        <v>0</v>
      </c>
      <c r="I212" s="2">
        <v>282900000</v>
      </c>
      <c r="J212" t="s">
        <v>55</v>
      </c>
      <c r="K212" t="s">
        <v>113</v>
      </c>
      <c r="L212" s="37">
        <f t="shared" si="12"/>
        <v>0.17877216479503644</v>
      </c>
      <c r="M212" s="2">
        <f t="shared" si="13"/>
        <v>1561700000</v>
      </c>
      <c r="N212" s="37">
        <f t="shared" si="14"/>
        <v>9.0490744874480583E-2</v>
      </c>
      <c r="O212" s="2">
        <f t="shared" si="15"/>
        <v>790500000</v>
      </c>
    </row>
    <row r="213" spans="1:15" x14ac:dyDescent="0.3">
      <c r="A213" t="s">
        <v>112</v>
      </c>
      <c r="B213">
        <v>2</v>
      </c>
      <c r="C213">
        <v>2013</v>
      </c>
      <c r="D213" s="1">
        <v>41639</v>
      </c>
      <c r="E213" s="2">
        <v>8468100000</v>
      </c>
      <c r="F213" s="2">
        <v>6875400000</v>
      </c>
      <c r="G213" s="2">
        <v>497400000</v>
      </c>
      <c r="H213">
        <v>0</v>
      </c>
      <c r="I213" s="2">
        <v>299900000</v>
      </c>
      <c r="J213" t="s">
        <v>55</v>
      </c>
      <c r="K213" t="s">
        <v>113</v>
      </c>
      <c r="L213" s="37">
        <f t="shared" si="12"/>
        <v>0.1880823325185107</v>
      </c>
      <c r="M213" s="2">
        <f t="shared" si="13"/>
        <v>1592700000</v>
      </c>
      <c r="N213" s="37">
        <f t="shared" si="14"/>
        <v>9.3928980526918671E-2</v>
      </c>
      <c r="O213" s="2">
        <f t="shared" si="15"/>
        <v>795400000</v>
      </c>
    </row>
    <row r="214" spans="1:15" x14ac:dyDescent="0.3">
      <c r="A214" t="s">
        <v>112</v>
      </c>
      <c r="B214">
        <v>3</v>
      </c>
      <c r="C214">
        <v>2014</v>
      </c>
      <c r="D214" s="1">
        <v>42004</v>
      </c>
      <c r="E214" s="2">
        <v>8570000000</v>
      </c>
      <c r="F214" s="2">
        <v>6903500000</v>
      </c>
      <c r="G214" s="2">
        <v>547000000</v>
      </c>
      <c r="H214">
        <v>0</v>
      </c>
      <c r="I214" s="2">
        <v>280900000</v>
      </c>
      <c r="J214" t="s">
        <v>55</v>
      </c>
      <c r="K214" t="s">
        <v>113</v>
      </c>
      <c r="L214" s="37">
        <f t="shared" si="12"/>
        <v>0.19445740956826141</v>
      </c>
      <c r="M214" s="2">
        <f t="shared" si="13"/>
        <v>1666500000</v>
      </c>
      <c r="N214" s="37">
        <f t="shared" si="14"/>
        <v>9.7852975495915984E-2</v>
      </c>
      <c r="O214" s="2">
        <f t="shared" si="15"/>
        <v>838600000</v>
      </c>
    </row>
    <row r="215" spans="1:15" x14ac:dyDescent="0.3">
      <c r="A215" t="s">
        <v>112</v>
      </c>
      <c r="B215">
        <v>4</v>
      </c>
      <c r="C215">
        <v>2015</v>
      </c>
      <c r="D215" s="1">
        <v>42369</v>
      </c>
      <c r="E215" s="2">
        <v>7997000000</v>
      </c>
      <c r="F215" s="2">
        <v>6460300000</v>
      </c>
      <c r="G215" s="2">
        <v>646000000</v>
      </c>
      <c r="H215">
        <v>0</v>
      </c>
      <c r="I215" s="2">
        <v>285500000</v>
      </c>
      <c r="J215" t="s">
        <v>55</v>
      </c>
      <c r="K215" t="s">
        <v>113</v>
      </c>
      <c r="L215" s="37">
        <f t="shared" si="12"/>
        <v>0.19215955983493815</v>
      </c>
      <c r="M215" s="2">
        <f t="shared" si="13"/>
        <v>1536700000</v>
      </c>
      <c r="N215" s="37">
        <f t="shared" si="14"/>
        <v>7.5678379392272108E-2</v>
      </c>
      <c r="O215" s="2">
        <f t="shared" si="15"/>
        <v>605200000</v>
      </c>
    </row>
    <row r="216" spans="1:15" x14ac:dyDescent="0.3">
      <c r="A216" t="s">
        <v>323</v>
      </c>
      <c r="B216">
        <v>1</v>
      </c>
      <c r="C216">
        <v>2012</v>
      </c>
      <c r="D216" s="1">
        <v>41274</v>
      </c>
      <c r="E216" s="2">
        <v>4050400000</v>
      </c>
      <c r="F216">
        <v>0</v>
      </c>
      <c r="G216" s="2">
        <v>3207800000</v>
      </c>
      <c r="H216">
        <v>0</v>
      </c>
      <c r="I216">
        <v>0</v>
      </c>
      <c r="J216" t="s">
        <v>43</v>
      </c>
      <c r="K216" t="s">
        <v>69</v>
      </c>
      <c r="L216" s="37">
        <f t="shared" si="12"/>
        <v>1</v>
      </c>
      <c r="M216" s="2">
        <f t="shared" si="13"/>
        <v>4050400000</v>
      </c>
      <c r="N216" s="37">
        <f t="shared" si="14"/>
        <v>0.20802883665810784</v>
      </c>
      <c r="O216" s="2">
        <f t="shared" si="15"/>
        <v>842600000</v>
      </c>
    </row>
    <row r="217" spans="1:15" x14ac:dyDescent="0.3">
      <c r="A217" t="s">
        <v>323</v>
      </c>
      <c r="B217">
        <v>2</v>
      </c>
      <c r="C217">
        <v>2013</v>
      </c>
      <c r="D217" s="1">
        <v>41639</v>
      </c>
      <c r="E217" s="2">
        <v>4644600000</v>
      </c>
      <c r="F217">
        <v>0</v>
      </c>
      <c r="G217" s="2">
        <v>3524400000</v>
      </c>
      <c r="H217">
        <v>0</v>
      </c>
      <c r="I217">
        <v>0</v>
      </c>
      <c r="J217" t="s">
        <v>43</v>
      </c>
      <c r="K217" t="s">
        <v>69</v>
      </c>
      <c r="L217" s="37">
        <f t="shared" si="12"/>
        <v>1</v>
      </c>
      <c r="M217" s="2">
        <f t="shared" si="13"/>
        <v>4644600000</v>
      </c>
      <c r="N217" s="37">
        <f t="shared" si="14"/>
        <v>0.24118330964991602</v>
      </c>
      <c r="O217" s="2">
        <f t="shared" si="15"/>
        <v>1120200000</v>
      </c>
    </row>
    <row r="218" spans="1:15" x14ac:dyDescent="0.3">
      <c r="A218" t="s">
        <v>323</v>
      </c>
      <c r="B218">
        <v>3</v>
      </c>
      <c r="C218">
        <v>2014</v>
      </c>
      <c r="D218" s="1">
        <v>42004</v>
      </c>
      <c r="E218" s="2">
        <v>5147100000</v>
      </c>
      <c r="F218">
        <v>0</v>
      </c>
      <c r="G218" s="2">
        <v>3870200000</v>
      </c>
      <c r="H218">
        <v>0</v>
      </c>
      <c r="I218">
        <v>0</v>
      </c>
      <c r="J218" t="s">
        <v>43</v>
      </c>
      <c r="K218" t="s">
        <v>69</v>
      </c>
      <c r="L218" s="37">
        <f t="shared" si="12"/>
        <v>1</v>
      </c>
      <c r="M218" s="2">
        <f t="shared" si="13"/>
        <v>5147100000</v>
      </c>
      <c r="N218" s="37">
        <f t="shared" si="14"/>
        <v>0.24808144391987721</v>
      </c>
      <c r="O218" s="2">
        <f t="shared" si="15"/>
        <v>1276900000</v>
      </c>
    </row>
    <row r="219" spans="1:15" x14ac:dyDescent="0.3">
      <c r="A219" t="s">
        <v>323</v>
      </c>
      <c r="B219">
        <v>4</v>
      </c>
      <c r="C219">
        <v>2015</v>
      </c>
      <c r="D219" s="1">
        <v>42369</v>
      </c>
      <c r="E219" s="2">
        <v>5122900000</v>
      </c>
      <c r="F219">
        <v>0</v>
      </c>
      <c r="G219" s="2">
        <v>3764500000</v>
      </c>
      <c r="H219">
        <v>0</v>
      </c>
      <c r="I219">
        <v>0</v>
      </c>
      <c r="J219" t="s">
        <v>43</v>
      </c>
      <c r="K219" t="s">
        <v>69</v>
      </c>
      <c r="L219" s="37">
        <f t="shared" si="12"/>
        <v>1</v>
      </c>
      <c r="M219" s="2">
        <f t="shared" si="13"/>
        <v>5122900000</v>
      </c>
      <c r="N219" s="37">
        <f t="shared" si="14"/>
        <v>0.26516231041011928</v>
      </c>
      <c r="O219" s="2">
        <f t="shared" si="15"/>
        <v>1358400000</v>
      </c>
    </row>
    <row r="220" spans="1:15" x14ac:dyDescent="0.3">
      <c r="A220" t="s">
        <v>328</v>
      </c>
      <c r="B220">
        <v>1</v>
      </c>
      <c r="C220">
        <v>2012</v>
      </c>
      <c r="D220" s="1">
        <v>41274</v>
      </c>
      <c r="E220" s="2">
        <v>93646000000</v>
      </c>
      <c r="F220">
        <v>0</v>
      </c>
      <c r="G220" s="2">
        <v>64729000000</v>
      </c>
      <c r="H220">
        <v>0</v>
      </c>
      <c r="I220" s="2">
        <v>3385000000</v>
      </c>
      <c r="J220" t="s">
        <v>43</v>
      </c>
      <c r="K220" t="s">
        <v>101</v>
      </c>
      <c r="L220" s="37">
        <f t="shared" si="12"/>
        <v>1</v>
      </c>
      <c r="M220" s="2">
        <f t="shared" si="13"/>
        <v>93646000000</v>
      </c>
      <c r="N220" s="37">
        <f t="shared" si="14"/>
        <v>0.27264378617346174</v>
      </c>
      <c r="O220" s="2">
        <f t="shared" si="15"/>
        <v>25532000000</v>
      </c>
    </row>
    <row r="221" spans="1:15" x14ac:dyDescent="0.3">
      <c r="A221" t="s">
        <v>328</v>
      </c>
      <c r="B221">
        <v>2</v>
      </c>
      <c r="C221">
        <v>2013</v>
      </c>
      <c r="D221" s="1">
        <v>41639</v>
      </c>
      <c r="E221" s="2">
        <v>97142000000</v>
      </c>
      <c r="F221">
        <v>0</v>
      </c>
      <c r="G221" s="2">
        <v>70467000000</v>
      </c>
      <c r="H221">
        <v>0</v>
      </c>
      <c r="I221" s="2">
        <v>225000000</v>
      </c>
      <c r="J221" t="s">
        <v>43</v>
      </c>
      <c r="K221" t="s">
        <v>101</v>
      </c>
      <c r="L221" s="37">
        <f t="shared" si="12"/>
        <v>1</v>
      </c>
      <c r="M221" s="2">
        <f t="shared" si="13"/>
        <v>97142000000</v>
      </c>
      <c r="N221" s="37">
        <f t="shared" si="14"/>
        <v>0.27228181425130221</v>
      </c>
      <c r="O221" s="2">
        <f t="shared" si="15"/>
        <v>26450000000</v>
      </c>
    </row>
    <row r="222" spans="1:15" x14ac:dyDescent="0.3">
      <c r="A222" t="s">
        <v>328</v>
      </c>
      <c r="B222">
        <v>3</v>
      </c>
      <c r="C222">
        <v>2014</v>
      </c>
      <c r="D222" s="1">
        <v>42004</v>
      </c>
      <c r="E222" s="2">
        <v>91973000000</v>
      </c>
      <c r="F222">
        <v>0</v>
      </c>
      <c r="G222" s="2">
        <v>61274000000</v>
      </c>
      <c r="H222">
        <v>0</v>
      </c>
      <c r="I222" s="2">
        <v>3139000000</v>
      </c>
      <c r="J222" t="s">
        <v>43</v>
      </c>
      <c r="K222" t="s">
        <v>101</v>
      </c>
      <c r="L222" s="37">
        <f t="shared" si="12"/>
        <v>1</v>
      </c>
      <c r="M222" s="2">
        <f t="shared" si="13"/>
        <v>91973000000</v>
      </c>
      <c r="N222" s="37">
        <f t="shared" si="14"/>
        <v>0.29965315907929502</v>
      </c>
      <c r="O222" s="2">
        <f t="shared" si="15"/>
        <v>27560000000</v>
      </c>
    </row>
    <row r="223" spans="1:15" x14ac:dyDescent="0.3">
      <c r="A223" t="s">
        <v>328</v>
      </c>
      <c r="B223">
        <v>4</v>
      </c>
      <c r="C223">
        <v>2015</v>
      </c>
      <c r="D223" s="1">
        <v>42369</v>
      </c>
      <c r="E223" s="2">
        <v>89716000000</v>
      </c>
      <c r="F223">
        <v>0</v>
      </c>
      <c r="G223" s="2">
        <v>59014000000</v>
      </c>
      <c r="H223">
        <v>0</v>
      </c>
      <c r="I223" s="2">
        <v>3827000000</v>
      </c>
      <c r="J223" t="s">
        <v>43</v>
      </c>
      <c r="K223" t="s">
        <v>101</v>
      </c>
      <c r="L223" s="37">
        <f t="shared" si="12"/>
        <v>1</v>
      </c>
      <c r="M223" s="2">
        <f t="shared" si="13"/>
        <v>89716000000</v>
      </c>
      <c r="N223" s="37">
        <f t="shared" si="14"/>
        <v>0.29955637790360695</v>
      </c>
      <c r="O223" s="2">
        <f t="shared" si="15"/>
        <v>26875000000</v>
      </c>
    </row>
    <row r="224" spans="1:15" x14ac:dyDescent="0.3">
      <c r="A224" t="s">
        <v>116</v>
      </c>
      <c r="B224">
        <v>1</v>
      </c>
      <c r="C224">
        <v>2013</v>
      </c>
      <c r="D224" s="1">
        <v>41639</v>
      </c>
      <c r="E224" s="2">
        <v>7436600000</v>
      </c>
      <c r="F224" s="2">
        <v>5879100000</v>
      </c>
      <c r="G224" s="2">
        <v>702300000</v>
      </c>
      <c r="H224">
        <v>0</v>
      </c>
      <c r="I224">
        <v>0</v>
      </c>
      <c r="J224" t="s">
        <v>15</v>
      </c>
      <c r="K224" t="s">
        <v>117</v>
      </c>
      <c r="L224" s="37">
        <f t="shared" si="12"/>
        <v>0.20943710835596907</v>
      </c>
      <c r="M224" s="2">
        <f t="shared" si="13"/>
        <v>1557500000</v>
      </c>
      <c r="N224" s="37">
        <f t="shared" si="14"/>
        <v>0.11499878976951833</v>
      </c>
      <c r="O224" s="2">
        <f t="shared" si="15"/>
        <v>855200000</v>
      </c>
    </row>
    <row r="225" spans="1:15" x14ac:dyDescent="0.3">
      <c r="A225" t="s">
        <v>116</v>
      </c>
      <c r="B225">
        <v>2</v>
      </c>
      <c r="C225">
        <v>2014</v>
      </c>
      <c r="D225" s="1">
        <v>42004</v>
      </c>
      <c r="E225" s="2">
        <v>8305100000</v>
      </c>
      <c r="F225" s="2">
        <v>6548700000</v>
      </c>
      <c r="G225" s="2">
        <v>792700000</v>
      </c>
      <c r="H225">
        <v>0</v>
      </c>
      <c r="I225">
        <v>0</v>
      </c>
      <c r="J225" t="s">
        <v>15</v>
      </c>
      <c r="K225" t="s">
        <v>117</v>
      </c>
      <c r="L225" s="37">
        <f t="shared" si="12"/>
        <v>0.21148450951824782</v>
      </c>
      <c r="M225" s="2">
        <f t="shared" si="13"/>
        <v>1756400000</v>
      </c>
      <c r="N225" s="37">
        <f t="shared" si="14"/>
        <v>0.11603713380934606</v>
      </c>
      <c r="O225" s="2">
        <f t="shared" si="15"/>
        <v>963700000</v>
      </c>
    </row>
    <row r="226" spans="1:15" x14ac:dyDescent="0.3">
      <c r="A226" t="s">
        <v>116</v>
      </c>
      <c r="B226">
        <v>3</v>
      </c>
      <c r="C226">
        <v>2015</v>
      </c>
      <c r="D226" s="1">
        <v>42369</v>
      </c>
      <c r="E226" s="2">
        <v>8023200000</v>
      </c>
      <c r="F226" s="2">
        <v>6320100000</v>
      </c>
      <c r="G226" s="2">
        <v>763400000</v>
      </c>
      <c r="H226">
        <v>0</v>
      </c>
      <c r="I226">
        <v>0</v>
      </c>
      <c r="J226" t="s">
        <v>15</v>
      </c>
      <c r="K226" t="s">
        <v>117</v>
      </c>
      <c r="L226" s="37">
        <f t="shared" si="12"/>
        <v>0.21227191145677538</v>
      </c>
      <c r="M226" s="2">
        <f t="shared" si="13"/>
        <v>1703100000</v>
      </c>
      <c r="N226" s="37">
        <f t="shared" si="14"/>
        <v>0.11712284375311596</v>
      </c>
      <c r="O226" s="2">
        <f t="shared" si="15"/>
        <v>939700000</v>
      </c>
    </row>
    <row r="227" spans="1:15" x14ac:dyDescent="0.3">
      <c r="A227" t="s">
        <v>116</v>
      </c>
      <c r="B227">
        <v>4</v>
      </c>
      <c r="C227">
        <v>2016</v>
      </c>
      <c r="D227" s="1">
        <v>42735</v>
      </c>
      <c r="E227" s="2">
        <v>9071000000</v>
      </c>
      <c r="F227" s="2">
        <v>7137900000</v>
      </c>
      <c r="G227" s="2">
        <v>1707200000</v>
      </c>
      <c r="H227">
        <v>0</v>
      </c>
      <c r="I227">
        <v>0</v>
      </c>
      <c r="J227" t="s">
        <v>15</v>
      </c>
      <c r="K227" t="s">
        <v>117</v>
      </c>
      <c r="L227" s="37">
        <f t="shared" si="12"/>
        <v>0.21310770587586814</v>
      </c>
      <c r="M227" s="2">
        <f t="shared" si="13"/>
        <v>1933100000</v>
      </c>
      <c r="N227" s="37">
        <f t="shared" si="14"/>
        <v>2.4903538749862199E-2</v>
      </c>
      <c r="O227" s="2">
        <f t="shared" si="15"/>
        <v>225900000</v>
      </c>
    </row>
    <row r="228" spans="1:15" x14ac:dyDescent="0.3">
      <c r="A228" t="s">
        <v>118</v>
      </c>
      <c r="B228">
        <v>1</v>
      </c>
      <c r="C228">
        <v>2012</v>
      </c>
      <c r="D228" s="1">
        <v>41274</v>
      </c>
      <c r="E228" s="2">
        <v>1847186000</v>
      </c>
      <c r="F228" s="2">
        <v>667208000</v>
      </c>
      <c r="G228" s="2">
        <v>93782000</v>
      </c>
      <c r="H228">
        <v>0</v>
      </c>
      <c r="I228" s="2">
        <v>445875000</v>
      </c>
      <c r="J228" t="s">
        <v>48</v>
      </c>
      <c r="K228" t="s">
        <v>49</v>
      </c>
      <c r="L228" s="37">
        <f t="shared" si="12"/>
        <v>0.6387976089034888</v>
      </c>
      <c r="M228" s="2">
        <f t="shared" si="13"/>
        <v>1179978000</v>
      </c>
      <c r="N228" s="37">
        <f t="shared" si="14"/>
        <v>0.34664673725331396</v>
      </c>
      <c r="O228" s="2">
        <f t="shared" si="15"/>
        <v>640321000</v>
      </c>
    </row>
    <row r="229" spans="1:15" x14ac:dyDescent="0.3">
      <c r="A229" t="s">
        <v>118</v>
      </c>
      <c r="B229">
        <v>2</v>
      </c>
      <c r="C229">
        <v>2013</v>
      </c>
      <c r="D229" s="1">
        <v>41639</v>
      </c>
      <c r="E229" s="2">
        <v>2135539000</v>
      </c>
      <c r="F229" s="2">
        <v>771403000</v>
      </c>
      <c r="G229" s="2">
        <v>117073000</v>
      </c>
      <c r="H229">
        <v>0</v>
      </c>
      <c r="I229" s="2">
        <v>560637000</v>
      </c>
      <c r="J229" t="s">
        <v>48</v>
      </c>
      <c r="K229" t="s">
        <v>49</v>
      </c>
      <c r="L229" s="37">
        <f t="shared" si="12"/>
        <v>0.63877831310971134</v>
      </c>
      <c r="M229" s="2">
        <f t="shared" si="13"/>
        <v>1364136000</v>
      </c>
      <c r="N229" s="37">
        <f t="shared" si="14"/>
        <v>0.3214298591596782</v>
      </c>
      <c r="O229" s="2">
        <f t="shared" si="15"/>
        <v>686426000</v>
      </c>
    </row>
    <row r="230" spans="1:15" x14ac:dyDescent="0.3">
      <c r="A230" t="s">
        <v>118</v>
      </c>
      <c r="B230">
        <v>3</v>
      </c>
      <c r="C230">
        <v>2014</v>
      </c>
      <c r="D230" s="1">
        <v>42004</v>
      </c>
      <c r="E230" s="2">
        <v>2396998000</v>
      </c>
      <c r="F230" s="2">
        <v>864526000</v>
      </c>
      <c r="G230" s="2">
        <v>102077000</v>
      </c>
      <c r="H230">
        <v>0</v>
      </c>
      <c r="I230" s="2">
        <v>628573000</v>
      </c>
      <c r="J230" t="s">
        <v>48</v>
      </c>
      <c r="K230" t="s">
        <v>49</v>
      </c>
      <c r="L230" s="37">
        <f t="shared" si="12"/>
        <v>0.63932969489336244</v>
      </c>
      <c r="M230" s="2">
        <f t="shared" si="13"/>
        <v>1532472000</v>
      </c>
      <c r="N230" s="37">
        <f t="shared" si="14"/>
        <v>0.33451091740585515</v>
      </c>
      <c r="O230" s="2">
        <f t="shared" si="15"/>
        <v>801822000</v>
      </c>
    </row>
    <row r="231" spans="1:15" x14ac:dyDescent="0.3">
      <c r="A231" t="s">
        <v>118</v>
      </c>
      <c r="B231">
        <v>4</v>
      </c>
      <c r="C231">
        <v>2015</v>
      </c>
      <c r="D231" s="1">
        <v>42369</v>
      </c>
      <c r="E231" s="2">
        <v>2490821000</v>
      </c>
      <c r="F231" s="2">
        <v>904336000</v>
      </c>
      <c r="G231" s="2">
        <v>97578000</v>
      </c>
      <c r="H231">
        <v>0</v>
      </c>
      <c r="I231" s="2">
        <v>639542000</v>
      </c>
      <c r="J231" t="s">
        <v>48</v>
      </c>
      <c r="K231" t="s">
        <v>49</v>
      </c>
      <c r="L231" s="37">
        <f t="shared" si="12"/>
        <v>0.63693256159314537</v>
      </c>
      <c r="M231" s="2">
        <f t="shared" si="13"/>
        <v>1586485000</v>
      </c>
      <c r="N231" s="37">
        <f t="shared" si="14"/>
        <v>0.34099800828722737</v>
      </c>
      <c r="O231" s="2">
        <f t="shared" si="15"/>
        <v>849365000</v>
      </c>
    </row>
    <row r="232" spans="1:15" x14ac:dyDescent="0.3">
      <c r="A232" t="s">
        <v>119</v>
      </c>
      <c r="B232">
        <v>1</v>
      </c>
      <c r="C232">
        <v>2013</v>
      </c>
      <c r="D232" s="1">
        <v>41420</v>
      </c>
      <c r="E232" s="2">
        <v>13469300000</v>
      </c>
      <c r="F232" s="2">
        <v>10104400000</v>
      </c>
      <c r="G232" s="2">
        <v>2065900000</v>
      </c>
      <c r="H232">
        <v>0</v>
      </c>
      <c r="I232">
        <v>0</v>
      </c>
      <c r="J232" t="s">
        <v>32</v>
      </c>
      <c r="K232" t="s">
        <v>120</v>
      </c>
      <c r="L232" s="37">
        <f t="shared" si="12"/>
        <v>0.24981996094823045</v>
      </c>
      <c r="M232" s="2">
        <f t="shared" si="13"/>
        <v>3364900000</v>
      </c>
      <c r="N232" s="37">
        <f t="shared" si="14"/>
        <v>9.6441537422137749E-2</v>
      </c>
      <c r="O232" s="2">
        <f t="shared" si="15"/>
        <v>1299000000</v>
      </c>
    </row>
    <row r="233" spans="1:15" x14ac:dyDescent="0.3">
      <c r="A233" t="s">
        <v>119</v>
      </c>
      <c r="B233">
        <v>2</v>
      </c>
      <c r="C233">
        <v>2014</v>
      </c>
      <c r="D233" s="1">
        <v>41784</v>
      </c>
      <c r="E233" s="2">
        <v>11838200000</v>
      </c>
      <c r="F233" s="2">
        <v>8910800000</v>
      </c>
      <c r="G233" s="2">
        <v>1778900000</v>
      </c>
      <c r="H233">
        <v>0</v>
      </c>
      <c r="I233">
        <v>0</v>
      </c>
      <c r="J233" t="s">
        <v>32</v>
      </c>
      <c r="K233" t="s">
        <v>120</v>
      </c>
      <c r="L233" s="37">
        <f t="shared" si="12"/>
        <v>0.24728421550573565</v>
      </c>
      <c r="M233" s="2">
        <f t="shared" si="13"/>
        <v>2927400000</v>
      </c>
      <c r="N233" s="37">
        <f t="shared" si="14"/>
        <v>9.7016438309878189E-2</v>
      </c>
      <c r="O233" s="2">
        <f t="shared" si="15"/>
        <v>1148500000</v>
      </c>
    </row>
    <row r="234" spans="1:15" x14ac:dyDescent="0.3">
      <c r="A234" t="s">
        <v>119</v>
      </c>
      <c r="B234">
        <v>3</v>
      </c>
      <c r="C234">
        <v>2015</v>
      </c>
      <c r="D234" s="1">
        <v>42155</v>
      </c>
      <c r="E234" s="2">
        <v>11937000000</v>
      </c>
      <c r="F234" s="2">
        <v>9061400000</v>
      </c>
      <c r="G234" s="2">
        <v>1545300000</v>
      </c>
      <c r="H234">
        <v>0</v>
      </c>
      <c r="I234">
        <v>0</v>
      </c>
      <c r="J234" t="s">
        <v>32</v>
      </c>
      <c r="K234" t="s">
        <v>120</v>
      </c>
      <c r="L234" s="37">
        <f t="shared" si="12"/>
        <v>0.24089804808578374</v>
      </c>
      <c r="M234" s="2">
        <f t="shared" si="13"/>
        <v>2875600000</v>
      </c>
      <c r="N234" s="37">
        <f t="shared" si="14"/>
        <v>0.1114434112423557</v>
      </c>
      <c r="O234" s="2">
        <f t="shared" si="15"/>
        <v>1330300000</v>
      </c>
    </row>
    <row r="235" spans="1:15" x14ac:dyDescent="0.3">
      <c r="A235" t="s">
        <v>119</v>
      </c>
      <c r="B235">
        <v>4</v>
      </c>
      <c r="C235">
        <v>2016</v>
      </c>
      <c r="D235" s="1">
        <v>42519</v>
      </c>
      <c r="E235" s="2">
        <v>11642900000</v>
      </c>
      <c r="F235" s="2">
        <v>8552100000</v>
      </c>
      <c r="G235" s="2">
        <v>2209400000</v>
      </c>
      <c r="H235">
        <v>0</v>
      </c>
      <c r="I235">
        <v>0</v>
      </c>
      <c r="J235" t="s">
        <v>32</v>
      </c>
      <c r="K235" t="s">
        <v>120</v>
      </c>
      <c r="L235" s="37">
        <f t="shared" si="12"/>
        <v>0.26546650748524847</v>
      </c>
      <c r="M235" s="2">
        <f t="shared" si="13"/>
        <v>3090800000</v>
      </c>
      <c r="N235" s="37">
        <f t="shared" si="14"/>
        <v>7.570278882409022E-2</v>
      </c>
      <c r="O235" s="2">
        <f t="shared" si="15"/>
        <v>881400000</v>
      </c>
    </row>
    <row r="236" spans="1:15" x14ac:dyDescent="0.3">
      <c r="A236" t="s">
        <v>332</v>
      </c>
      <c r="B236">
        <v>1</v>
      </c>
      <c r="C236">
        <v>2013</v>
      </c>
      <c r="D236" s="1">
        <v>41547</v>
      </c>
      <c r="E236" s="2">
        <v>1287577000</v>
      </c>
      <c r="F236" s="2">
        <v>1073447000</v>
      </c>
      <c r="G236" s="2">
        <v>174085000</v>
      </c>
      <c r="H236">
        <v>0</v>
      </c>
      <c r="I236" s="2">
        <v>12784000</v>
      </c>
      <c r="J236" t="s">
        <v>43</v>
      </c>
      <c r="K236" t="s">
        <v>101</v>
      </c>
      <c r="L236" s="37">
        <f t="shared" si="12"/>
        <v>0.16630461712192746</v>
      </c>
      <c r="M236" s="2">
        <f t="shared" si="13"/>
        <v>214130000</v>
      </c>
      <c r="N236" s="37">
        <f t="shared" si="14"/>
        <v>2.1172326004580695E-2</v>
      </c>
      <c r="O236" s="2">
        <f t="shared" si="15"/>
        <v>27261000</v>
      </c>
    </row>
    <row r="237" spans="1:15" x14ac:dyDescent="0.3">
      <c r="A237" t="s">
        <v>332</v>
      </c>
      <c r="B237">
        <v>2</v>
      </c>
      <c r="C237">
        <v>2014</v>
      </c>
      <c r="D237" s="1">
        <v>41912</v>
      </c>
      <c r="E237" s="2">
        <v>1463767000</v>
      </c>
      <c r="F237" s="2">
        <v>1200308000</v>
      </c>
      <c r="G237" s="2">
        <v>194491000</v>
      </c>
      <c r="H237">
        <v>0</v>
      </c>
      <c r="I237" s="2">
        <v>13279000</v>
      </c>
      <c r="J237" t="s">
        <v>43</v>
      </c>
      <c r="K237" t="s">
        <v>101</v>
      </c>
      <c r="L237" s="37">
        <f t="shared" si="12"/>
        <v>0.17998697880195413</v>
      </c>
      <c r="M237" s="2">
        <f t="shared" si="13"/>
        <v>263459000</v>
      </c>
      <c r="N237" s="37">
        <f t="shared" si="14"/>
        <v>3.8044989400635484E-2</v>
      </c>
      <c r="O237" s="2">
        <f t="shared" si="15"/>
        <v>55689000</v>
      </c>
    </row>
    <row r="238" spans="1:15" x14ac:dyDescent="0.3">
      <c r="A238" t="s">
        <v>332</v>
      </c>
      <c r="B238">
        <v>3</v>
      </c>
      <c r="C238">
        <v>2015</v>
      </c>
      <c r="D238" s="1">
        <v>42277</v>
      </c>
      <c r="E238" s="2">
        <v>1627413000</v>
      </c>
      <c r="F238" s="2">
        <v>1354969000</v>
      </c>
      <c r="G238" s="2">
        <v>207519000</v>
      </c>
      <c r="H238">
        <v>0</v>
      </c>
      <c r="I238" s="2">
        <v>13338000</v>
      </c>
      <c r="J238" t="s">
        <v>43</v>
      </c>
      <c r="K238" t="s">
        <v>101</v>
      </c>
      <c r="L238" s="37">
        <f t="shared" si="12"/>
        <v>0.16740925628589665</v>
      </c>
      <c r="M238" s="2">
        <f t="shared" si="13"/>
        <v>272444000</v>
      </c>
      <c r="N238" s="37">
        <f t="shared" si="14"/>
        <v>3.1698775909987202E-2</v>
      </c>
      <c r="O238" s="2">
        <f t="shared" si="15"/>
        <v>51587000</v>
      </c>
    </row>
    <row r="239" spans="1:15" x14ac:dyDescent="0.3">
      <c r="A239" t="s">
        <v>332</v>
      </c>
      <c r="B239">
        <v>4</v>
      </c>
      <c r="C239">
        <v>2016</v>
      </c>
      <c r="D239" s="1">
        <v>42643</v>
      </c>
      <c r="E239" s="2">
        <v>1822114000</v>
      </c>
      <c r="F239" s="2">
        <v>1524907000</v>
      </c>
      <c r="G239" s="2">
        <v>224088000</v>
      </c>
      <c r="H239">
        <v>0</v>
      </c>
      <c r="I239" s="2">
        <v>13794000</v>
      </c>
      <c r="J239" t="s">
        <v>43</v>
      </c>
      <c r="K239" t="s">
        <v>101</v>
      </c>
      <c r="L239" s="37">
        <f t="shared" si="12"/>
        <v>0.16311108964642174</v>
      </c>
      <c r="M239" s="2">
        <f t="shared" si="13"/>
        <v>297207000</v>
      </c>
      <c r="N239" s="37">
        <f t="shared" si="14"/>
        <v>3.2558336086545625E-2</v>
      </c>
      <c r="O239" s="2">
        <f t="shared" si="15"/>
        <v>59325000</v>
      </c>
    </row>
    <row r="240" spans="1:15" x14ac:dyDescent="0.3">
      <c r="A240" t="s">
        <v>122</v>
      </c>
      <c r="B240">
        <v>1</v>
      </c>
      <c r="C240">
        <v>2013</v>
      </c>
      <c r="D240" s="1">
        <v>41639</v>
      </c>
      <c r="E240" s="2">
        <v>55656000000</v>
      </c>
      <c r="F240" s="2">
        <v>41454000000</v>
      </c>
      <c r="G240" s="2">
        <v>6528000000</v>
      </c>
      <c r="H240" s="2">
        <v>2046000000</v>
      </c>
      <c r="I240">
        <v>0</v>
      </c>
      <c r="J240" t="s">
        <v>12</v>
      </c>
      <c r="K240" t="s">
        <v>123</v>
      </c>
      <c r="L240" s="37">
        <f t="shared" si="12"/>
        <v>0.25517464424320824</v>
      </c>
      <c r="M240" s="2">
        <f t="shared" si="13"/>
        <v>14202000000</v>
      </c>
      <c r="N240" s="37">
        <f t="shared" si="14"/>
        <v>0.10112117291936179</v>
      </c>
      <c r="O240" s="2">
        <f t="shared" si="15"/>
        <v>5628000000</v>
      </c>
    </row>
    <row r="241" spans="1:15" x14ac:dyDescent="0.3">
      <c r="A241" t="s">
        <v>122</v>
      </c>
      <c r="B241">
        <v>2</v>
      </c>
      <c r="C241">
        <v>2014</v>
      </c>
      <c r="D241" s="1">
        <v>42004</v>
      </c>
      <c r="E241" s="2">
        <v>55184000000</v>
      </c>
      <c r="F241" s="2">
        <v>41342000000</v>
      </c>
      <c r="G241" s="2">
        <v>8148000000</v>
      </c>
      <c r="H241" s="2">
        <v>2380000000</v>
      </c>
      <c r="I241">
        <v>0</v>
      </c>
      <c r="J241" t="s">
        <v>12</v>
      </c>
      <c r="K241" t="s">
        <v>123</v>
      </c>
      <c r="L241" s="37">
        <f t="shared" si="12"/>
        <v>0.25083357494926062</v>
      </c>
      <c r="M241" s="2">
        <f t="shared" si="13"/>
        <v>13842000000</v>
      </c>
      <c r="N241" s="37">
        <f t="shared" si="14"/>
        <v>6.0053638735865465E-2</v>
      </c>
      <c r="O241" s="2">
        <f t="shared" si="15"/>
        <v>3314000000</v>
      </c>
    </row>
    <row r="242" spans="1:15" x14ac:dyDescent="0.3">
      <c r="A242" t="s">
        <v>122</v>
      </c>
      <c r="B242">
        <v>3</v>
      </c>
      <c r="C242">
        <v>2015</v>
      </c>
      <c r="D242" s="1">
        <v>42369</v>
      </c>
      <c r="E242" s="2">
        <v>47011000000</v>
      </c>
      <c r="F242" s="2">
        <v>34133000000</v>
      </c>
      <c r="G242" s="2">
        <v>6974000000</v>
      </c>
      <c r="H242" s="2">
        <v>2119000000</v>
      </c>
      <c r="I242">
        <v>0</v>
      </c>
      <c r="J242" t="s">
        <v>12</v>
      </c>
      <c r="K242" t="s">
        <v>123</v>
      </c>
      <c r="L242" s="37">
        <f t="shared" si="12"/>
        <v>0.27393588734551488</v>
      </c>
      <c r="M242" s="2">
        <f t="shared" si="13"/>
        <v>12878000000</v>
      </c>
      <c r="N242" s="37">
        <f t="shared" si="14"/>
        <v>8.0513071408819206E-2</v>
      </c>
      <c r="O242" s="2">
        <f t="shared" si="15"/>
        <v>3785000000</v>
      </c>
    </row>
    <row r="243" spans="1:15" x14ac:dyDescent="0.3">
      <c r="A243" t="s">
        <v>122</v>
      </c>
      <c r="B243">
        <v>4</v>
      </c>
      <c r="C243">
        <v>2016</v>
      </c>
      <c r="D243" s="1">
        <v>42735</v>
      </c>
      <c r="E243" s="2">
        <v>38537000000</v>
      </c>
      <c r="F243" s="2">
        <v>28905000000</v>
      </c>
      <c r="G243" s="2">
        <v>6588000000</v>
      </c>
      <c r="H243" s="2">
        <v>1951000000</v>
      </c>
      <c r="I243">
        <v>0</v>
      </c>
      <c r="J243" t="s">
        <v>12</v>
      </c>
      <c r="K243" t="s">
        <v>123</v>
      </c>
      <c r="L243" s="37">
        <f t="shared" si="12"/>
        <v>0.2499416145522485</v>
      </c>
      <c r="M243" s="2">
        <f t="shared" si="13"/>
        <v>9632000000</v>
      </c>
      <c r="N243" s="37">
        <f t="shared" si="14"/>
        <v>2.8362353063289825E-2</v>
      </c>
      <c r="O243" s="2">
        <f t="shared" si="15"/>
        <v>1093000000</v>
      </c>
    </row>
    <row r="244" spans="1:15" x14ac:dyDescent="0.3">
      <c r="A244" t="s">
        <v>358</v>
      </c>
      <c r="B244">
        <v>1</v>
      </c>
      <c r="C244">
        <v>2012</v>
      </c>
      <c r="D244" s="1">
        <v>41274</v>
      </c>
      <c r="E244" s="2">
        <v>7810610000</v>
      </c>
      <c r="F244" s="2">
        <v>7479746000</v>
      </c>
      <c r="G244" s="2">
        <v>360586000</v>
      </c>
      <c r="H244">
        <v>0</v>
      </c>
      <c r="I244" s="2">
        <v>116388000</v>
      </c>
      <c r="J244" t="s">
        <v>43</v>
      </c>
      <c r="K244" t="s">
        <v>359</v>
      </c>
      <c r="L244" s="37">
        <f t="shared" si="12"/>
        <v>4.2360839934396877E-2</v>
      </c>
      <c r="M244" s="2">
        <f t="shared" si="13"/>
        <v>330864000</v>
      </c>
      <c r="N244" s="37">
        <f t="shared" si="14"/>
        <v>-1.8706605502003044E-2</v>
      </c>
      <c r="O244" s="2">
        <f t="shared" si="15"/>
        <v>-146110000</v>
      </c>
    </row>
    <row r="245" spans="1:15" x14ac:dyDescent="0.3">
      <c r="A245" t="s">
        <v>358</v>
      </c>
      <c r="B245">
        <v>2</v>
      </c>
      <c r="C245">
        <v>2013</v>
      </c>
      <c r="D245" s="1">
        <v>41639</v>
      </c>
      <c r="E245" s="2">
        <v>9531778000</v>
      </c>
      <c r="F245" s="2">
        <v>7567707000</v>
      </c>
      <c r="G245" s="2">
        <v>2177616000</v>
      </c>
      <c r="H245">
        <v>0</v>
      </c>
      <c r="I245" s="2">
        <v>167425000</v>
      </c>
      <c r="J245" t="s">
        <v>43</v>
      </c>
      <c r="K245" t="s">
        <v>359</v>
      </c>
      <c r="L245" s="37">
        <f t="shared" si="12"/>
        <v>0.20605505079954656</v>
      </c>
      <c r="M245" s="2">
        <f t="shared" si="13"/>
        <v>1964071000</v>
      </c>
      <c r="N245" s="37">
        <f t="shared" si="14"/>
        <v>-3.9968408832014343E-2</v>
      </c>
      <c r="O245" s="2">
        <f t="shared" si="15"/>
        <v>-380970000</v>
      </c>
    </row>
    <row r="246" spans="1:15" x14ac:dyDescent="0.3">
      <c r="A246" t="s">
        <v>358</v>
      </c>
      <c r="B246">
        <v>3</v>
      </c>
      <c r="C246">
        <v>2014</v>
      </c>
      <c r="D246" s="1">
        <v>42004</v>
      </c>
      <c r="E246" s="2">
        <v>10681897000</v>
      </c>
      <c r="F246" s="2">
        <v>8024286000</v>
      </c>
      <c r="G246" s="2">
        <v>2856642000</v>
      </c>
      <c r="H246">
        <v>0</v>
      </c>
      <c r="I246" s="2">
        <v>185993000</v>
      </c>
      <c r="J246" t="s">
        <v>43</v>
      </c>
      <c r="K246" t="s">
        <v>359</v>
      </c>
      <c r="L246" s="37">
        <f t="shared" si="12"/>
        <v>0.24879578973659833</v>
      </c>
      <c r="M246" s="2">
        <f t="shared" si="13"/>
        <v>2657611000</v>
      </c>
      <c r="N246" s="37">
        <f t="shared" si="14"/>
        <v>-3.6044534037353103E-2</v>
      </c>
      <c r="O246" s="2">
        <f t="shared" si="15"/>
        <v>-385024000</v>
      </c>
    </row>
    <row r="247" spans="1:15" x14ac:dyDescent="0.3">
      <c r="A247" t="s">
        <v>358</v>
      </c>
      <c r="B247">
        <v>4</v>
      </c>
      <c r="C247">
        <v>2015</v>
      </c>
      <c r="D247" s="1">
        <v>42369</v>
      </c>
      <c r="E247" s="2">
        <v>10116502000</v>
      </c>
      <c r="F247" s="2">
        <v>7677233000</v>
      </c>
      <c r="G247" s="2">
        <v>2620072000</v>
      </c>
      <c r="H247">
        <v>0</v>
      </c>
      <c r="I247" s="2">
        <v>224133000</v>
      </c>
      <c r="J247" t="s">
        <v>43</v>
      </c>
      <c r="K247" t="s">
        <v>359</v>
      </c>
      <c r="L247" s="37">
        <f t="shared" si="12"/>
        <v>0.24111782906779433</v>
      </c>
      <c r="M247" s="2">
        <f t="shared" si="13"/>
        <v>2439269000</v>
      </c>
      <c r="N247" s="37">
        <f t="shared" si="14"/>
        <v>-4.0027274249538031E-2</v>
      </c>
      <c r="O247" s="2">
        <f t="shared" si="15"/>
        <v>-404936000</v>
      </c>
    </row>
    <row r="248" spans="1:15" x14ac:dyDescent="0.3">
      <c r="A248" t="s">
        <v>125</v>
      </c>
      <c r="B248">
        <v>1</v>
      </c>
      <c r="C248">
        <v>2012</v>
      </c>
      <c r="D248" s="1">
        <v>41274</v>
      </c>
      <c r="E248" s="2">
        <v>6514099000</v>
      </c>
      <c r="F248" s="2">
        <v>5745428000</v>
      </c>
      <c r="G248">
        <v>0</v>
      </c>
      <c r="H248">
        <v>0</v>
      </c>
      <c r="I248" s="2">
        <v>169645000</v>
      </c>
      <c r="J248" t="s">
        <v>48</v>
      </c>
      <c r="K248" t="s">
        <v>126</v>
      </c>
      <c r="L248" s="37">
        <f t="shared" si="12"/>
        <v>0.11800112340939251</v>
      </c>
      <c r="M248" s="2">
        <f t="shared" si="13"/>
        <v>768671000</v>
      </c>
      <c r="N248" s="37">
        <f t="shared" si="14"/>
        <v>9.1958381350974241E-2</v>
      </c>
      <c r="O248" s="2">
        <f t="shared" si="15"/>
        <v>599026000</v>
      </c>
    </row>
    <row r="249" spans="1:15" x14ac:dyDescent="0.3">
      <c r="A249" t="s">
        <v>125</v>
      </c>
      <c r="B249">
        <v>2</v>
      </c>
      <c r="C249">
        <v>2013</v>
      </c>
      <c r="D249" s="1">
        <v>41639</v>
      </c>
      <c r="E249" s="2">
        <v>7184794000</v>
      </c>
      <c r="F249" s="2">
        <v>6293699000</v>
      </c>
      <c r="G249">
        <v>0</v>
      </c>
      <c r="H249">
        <v>0</v>
      </c>
      <c r="I249" s="2">
        <v>190390000</v>
      </c>
      <c r="J249" t="s">
        <v>48</v>
      </c>
      <c r="K249" t="s">
        <v>126</v>
      </c>
      <c r="L249" s="37">
        <f t="shared" si="12"/>
        <v>0.12402512862581727</v>
      </c>
      <c r="M249" s="2">
        <f t="shared" si="13"/>
        <v>891095000</v>
      </c>
      <c r="N249" s="37">
        <f t="shared" si="14"/>
        <v>9.7526108612160628E-2</v>
      </c>
      <c r="O249" s="2">
        <f t="shared" si="15"/>
        <v>700705000</v>
      </c>
    </row>
    <row r="250" spans="1:15" x14ac:dyDescent="0.3">
      <c r="A250" t="s">
        <v>125</v>
      </c>
      <c r="B250">
        <v>3</v>
      </c>
      <c r="C250">
        <v>2014</v>
      </c>
      <c r="D250" s="1">
        <v>42004</v>
      </c>
      <c r="E250" s="2">
        <v>9049918000</v>
      </c>
      <c r="F250" s="2">
        <v>8050222000</v>
      </c>
      <c r="G250">
        <v>0</v>
      </c>
      <c r="H250">
        <v>0</v>
      </c>
      <c r="I250" s="2">
        <v>265101000</v>
      </c>
      <c r="J250" t="s">
        <v>48</v>
      </c>
      <c r="K250" t="s">
        <v>126</v>
      </c>
      <c r="L250" s="37">
        <f t="shared" si="12"/>
        <v>0.11046464730398664</v>
      </c>
      <c r="M250" s="2">
        <f t="shared" si="13"/>
        <v>999696000</v>
      </c>
      <c r="N250" s="37">
        <f t="shared" si="14"/>
        <v>8.1171453708199351E-2</v>
      </c>
      <c r="O250" s="2">
        <f t="shared" si="15"/>
        <v>734595000</v>
      </c>
    </row>
    <row r="251" spans="1:15" x14ac:dyDescent="0.3">
      <c r="A251" t="s">
        <v>125</v>
      </c>
      <c r="B251">
        <v>4</v>
      </c>
      <c r="C251">
        <v>2015</v>
      </c>
      <c r="D251" s="1">
        <v>42369</v>
      </c>
      <c r="E251" s="2">
        <v>10855810000</v>
      </c>
      <c r="F251" s="2">
        <v>9716541000</v>
      </c>
      <c r="G251">
        <v>0</v>
      </c>
      <c r="H251">
        <v>0</v>
      </c>
      <c r="I251" s="2">
        <v>314096000</v>
      </c>
      <c r="J251" t="s">
        <v>48</v>
      </c>
      <c r="K251" t="s">
        <v>126</v>
      </c>
      <c r="L251" s="37">
        <f t="shared" si="12"/>
        <v>0.10494555450030907</v>
      </c>
      <c r="M251" s="2">
        <f t="shared" si="13"/>
        <v>1139269000</v>
      </c>
      <c r="N251" s="37">
        <f t="shared" si="14"/>
        <v>7.6012107802181511E-2</v>
      </c>
      <c r="O251" s="2">
        <f t="shared" si="15"/>
        <v>825173000</v>
      </c>
    </row>
    <row r="252" spans="1:15" x14ac:dyDescent="0.3">
      <c r="A252" t="s">
        <v>127</v>
      </c>
      <c r="B252">
        <v>1</v>
      </c>
      <c r="C252">
        <v>2012</v>
      </c>
      <c r="D252" s="1">
        <v>41274</v>
      </c>
      <c r="E252" s="2">
        <v>2432680000</v>
      </c>
      <c r="F252" s="2">
        <v>728989000</v>
      </c>
      <c r="G252" s="2">
        <v>212572000</v>
      </c>
      <c r="H252">
        <v>0</v>
      </c>
      <c r="I252" s="2">
        <v>622592000</v>
      </c>
      <c r="J252" t="s">
        <v>48</v>
      </c>
      <c r="K252" t="s">
        <v>49</v>
      </c>
      <c r="L252" s="37">
        <f t="shared" si="12"/>
        <v>0.70033502145781612</v>
      </c>
      <c r="M252" s="2">
        <f t="shared" si="13"/>
        <v>1703691000</v>
      </c>
      <c r="N252" s="37">
        <f t="shared" si="14"/>
        <v>0.35702476281302925</v>
      </c>
      <c r="O252" s="2">
        <f t="shared" si="15"/>
        <v>868527000</v>
      </c>
    </row>
    <row r="253" spans="1:15" x14ac:dyDescent="0.3">
      <c r="A253" t="s">
        <v>127</v>
      </c>
      <c r="B253">
        <v>2</v>
      </c>
      <c r="C253">
        <v>2013</v>
      </c>
      <c r="D253" s="1">
        <v>41639</v>
      </c>
      <c r="E253" s="2">
        <v>2865751000</v>
      </c>
      <c r="F253" s="2">
        <v>991017000</v>
      </c>
      <c r="G253" s="2">
        <v>213519000</v>
      </c>
      <c r="H253">
        <v>0</v>
      </c>
      <c r="I253" s="2">
        <v>741342000</v>
      </c>
      <c r="J253" t="s">
        <v>48</v>
      </c>
      <c r="K253" t="s">
        <v>49</v>
      </c>
      <c r="L253" s="37">
        <f t="shared" si="12"/>
        <v>0.65418593590301466</v>
      </c>
      <c r="M253" s="2">
        <f t="shared" si="13"/>
        <v>1874734000</v>
      </c>
      <c r="N253" s="37">
        <f t="shared" si="14"/>
        <v>0.32098845991853442</v>
      </c>
      <c r="O253" s="2">
        <f t="shared" si="15"/>
        <v>919873000</v>
      </c>
    </row>
    <row r="254" spans="1:15" x14ac:dyDescent="0.3">
      <c r="A254" t="s">
        <v>127</v>
      </c>
      <c r="B254">
        <v>3</v>
      </c>
      <c r="C254">
        <v>2014</v>
      </c>
      <c r="D254" s="1">
        <v>42004</v>
      </c>
      <c r="E254" s="2">
        <v>3538756000</v>
      </c>
      <c r="F254" s="2">
        <v>1306606000</v>
      </c>
      <c r="G254" s="2">
        <v>257296000</v>
      </c>
      <c r="H254">
        <v>0</v>
      </c>
      <c r="I254" s="2">
        <v>985781000</v>
      </c>
      <c r="J254" t="s">
        <v>48</v>
      </c>
      <c r="K254" t="s">
        <v>49</v>
      </c>
      <c r="L254" s="37">
        <f t="shared" si="12"/>
        <v>0.63077250875731472</v>
      </c>
      <c r="M254" s="2">
        <f t="shared" si="13"/>
        <v>2232150000</v>
      </c>
      <c r="N254" s="37">
        <f t="shared" si="14"/>
        <v>0.2794973713926589</v>
      </c>
      <c r="O254" s="2">
        <f t="shared" si="15"/>
        <v>989073000</v>
      </c>
    </row>
    <row r="255" spans="1:15" x14ac:dyDescent="0.3">
      <c r="A255" t="s">
        <v>127</v>
      </c>
      <c r="B255">
        <v>4</v>
      </c>
      <c r="C255">
        <v>2015</v>
      </c>
      <c r="D255" s="1">
        <v>42369</v>
      </c>
      <c r="E255" s="2">
        <v>3663851000</v>
      </c>
      <c r="F255" s="2">
        <v>1321426000</v>
      </c>
      <c r="G255" s="2">
        <v>310921000</v>
      </c>
      <c r="H255">
        <v>0</v>
      </c>
      <c r="I255" s="2">
        <v>1036178000</v>
      </c>
      <c r="J255" t="s">
        <v>48</v>
      </c>
      <c r="K255" t="s">
        <v>49</v>
      </c>
      <c r="L255" s="37">
        <f t="shared" si="12"/>
        <v>0.6393341323105115</v>
      </c>
      <c r="M255" s="2">
        <f t="shared" si="13"/>
        <v>2342425000</v>
      </c>
      <c r="N255" s="37">
        <f t="shared" si="14"/>
        <v>0.27166115652628886</v>
      </c>
      <c r="O255" s="2">
        <f t="shared" si="15"/>
        <v>995326000</v>
      </c>
    </row>
    <row r="256" spans="1:15" x14ac:dyDescent="0.3">
      <c r="A256" t="s">
        <v>128</v>
      </c>
      <c r="B256">
        <v>1</v>
      </c>
      <c r="C256">
        <v>2013</v>
      </c>
      <c r="D256" s="1">
        <v>41608</v>
      </c>
      <c r="E256" s="2">
        <v>15456000000</v>
      </c>
      <c r="F256" s="2">
        <v>10645000000</v>
      </c>
      <c r="G256" s="2">
        <v>1879000000</v>
      </c>
      <c r="H256">
        <v>0</v>
      </c>
      <c r="I256" s="2">
        <v>1590000000</v>
      </c>
      <c r="J256" t="s">
        <v>15</v>
      </c>
      <c r="K256" t="s">
        <v>129</v>
      </c>
      <c r="L256" s="37">
        <f t="shared" si="12"/>
        <v>0.31127070393374745</v>
      </c>
      <c r="M256" s="2">
        <f t="shared" si="13"/>
        <v>4811000000</v>
      </c>
      <c r="N256" s="37">
        <f t="shared" si="14"/>
        <v>8.6827122153209105E-2</v>
      </c>
      <c r="O256" s="2">
        <f t="shared" si="15"/>
        <v>1342000000</v>
      </c>
    </row>
    <row r="257" spans="1:15" x14ac:dyDescent="0.3">
      <c r="A257" t="s">
        <v>128</v>
      </c>
      <c r="B257">
        <v>2</v>
      </c>
      <c r="C257">
        <v>2014</v>
      </c>
      <c r="D257" s="1">
        <v>41973</v>
      </c>
      <c r="E257" s="2">
        <v>15884000000</v>
      </c>
      <c r="F257" s="2">
        <v>10421000000</v>
      </c>
      <c r="G257" s="2">
        <v>2054000000</v>
      </c>
      <c r="H257">
        <v>0</v>
      </c>
      <c r="I257" s="2">
        <v>1637000000</v>
      </c>
      <c r="J257" t="s">
        <v>15</v>
      </c>
      <c r="K257" t="s">
        <v>129</v>
      </c>
      <c r="L257" s="37">
        <f t="shared" si="12"/>
        <v>0.34393099974817432</v>
      </c>
      <c r="M257" s="2">
        <f t="shared" si="13"/>
        <v>5463000000</v>
      </c>
      <c r="N257" s="37">
        <f t="shared" si="14"/>
        <v>0.11155880130949383</v>
      </c>
      <c r="O257" s="2">
        <f t="shared" si="15"/>
        <v>1772000000</v>
      </c>
    </row>
    <row r="258" spans="1:15" x14ac:dyDescent="0.3">
      <c r="A258" t="s">
        <v>128</v>
      </c>
      <c r="B258">
        <v>3</v>
      </c>
      <c r="C258">
        <v>2015</v>
      </c>
      <c r="D258" s="1">
        <v>42338</v>
      </c>
      <c r="E258" s="2">
        <v>15714000000</v>
      </c>
      <c r="F258" s="2">
        <v>9447000000</v>
      </c>
      <c r="G258" s="2">
        <v>2067000000</v>
      </c>
      <c r="H258">
        <v>0</v>
      </c>
      <c r="I258" s="2">
        <v>1626000000</v>
      </c>
      <c r="J258" t="s">
        <v>15</v>
      </c>
      <c r="K258" t="s">
        <v>129</v>
      </c>
      <c r="L258" s="37">
        <f t="shared" ref="L258:L321" si="16">1-(F258/E258)</f>
        <v>0.39881634211531114</v>
      </c>
      <c r="M258" s="2">
        <f t="shared" ref="M258:M321" si="17">E258-F258</f>
        <v>6267000000</v>
      </c>
      <c r="N258" s="37">
        <f t="shared" ref="N258:N321" si="18">O258/E258</f>
        <v>0.16380297823596793</v>
      </c>
      <c r="O258" s="2">
        <f t="shared" ref="O258:O321" si="19">M258-SUM(G258:I258)</f>
        <v>2574000000</v>
      </c>
    </row>
    <row r="259" spans="1:15" x14ac:dyDescent="0.3">
      <c r="A259" t="s">
        <v>128</v>
      </c>
      <c r="B259">
        <v>4</v>
      </c>
      <c r="C259">
        <v>2016</v>
      </c>
      <c r="D259" s="1">
        <v>42704</v>
      </c>
      <c r="E259" s="2">
        <v>16389000000</v>
      </c>
      <c r="F259" s="2">
        <v>9383000000</v>
      </c>
      <c r="G259" s="2">
        <v>2197000000</v>
      </c>
      <c r="H259">
        <v>0</v>
      </c>
      <c r="I259" s="2">
        <v>1738000000</v>
      </c>
      <c r="J259" t="s">
        <v>15</v>
      </c>
      <c r="K259" t="s">
        <v>129</v>
      </c>
      <c r="L259" s="37">
        <f t="shared" si="16"/>
        <v>0.42748184758069441</v>
      </c>
      <c r="M259" s="2">
        <f t="shared" si="17"/>
        <v>7006000000</v>
      </c>
      <c r="N259" s="37">
        <f t="shared" si="18"/>
        <v>0.18738178046250534</v>
      </c>
      <c r="O259" s="2">
        <f t="shared" si="19"/>
        <v>3071000000</v>
      </c>
    </row>
    <row r="260" spans="1:15" x14ac:dyDescent="0.3">
      <c r="A260" t="s">
        <v>374</v>
      </c>
      <c r="B260">
        <v>1</v>
      </c>
      <c r="C260">
        <v>2012</v>
      </c>
      <c r="D260" s="1">
        <v>41274</v>
      </c>
      <c r="E260" s="2">
        <v>2730300000</v>
      </c>
      <c r="F260" s="2">
        <v>795000000</v>
      </c>
      <c r="G260" s="2">
        <v>752200000</v>
      </c>
      <c r="H260">
        <v>0</v>
      </c>
      <c r="I260" s="2">
        <v>93500000</v>
      </c>
      <c r="J260" t="s">
        <v>43</v>
      </c>
      <c r="K260" t="s">
        <v>375</v>
      </c>
      <c r="L260" s="37">
        <f t="shared" si="16"/>
        <v>0.70882320624107242</v>
      </c>
      <c r="M260" s="2">
        <f t="shared" si="17"/>
        <v>1935300000</v>
      </c>
      <c r="N260" s="37">
        <f t="shared" si="18"/>
        <v>0.39907702450280191</v>
      </c>
      <c r="O260" s="2">
        <f t="shared" si="19"/>
        <v>1089600000</v>
      </c>
    </row>
    <row r="261" spans="1:15" x14ac:dyDescent="0.3">
      <c r="A261" t="s">
        <v>374</v>
      </c>
      <c r="B261">
        <v>2</v>
      </c>
      <c r="C261">
        <v>2013</v>
      </c>
      <c r="D261" s="1">
        <v>41639</v>
      </c>
      <c r="E261" s="2">
        <v>2972500000</v>
      </c>
      <c r="F261" s="2">
        <v>822400000</v>
      </c>
      <c r="G261" s="2">
        <v>822100000</v>
      </c>
      <c r="H261">
        <v>0</v>
      </c>
      <c r="I261" s="2">
        <v>93400000</v>
      </c>
      <c r="J261" t="s">
        <v>43</v>
      </c>
      <c r="K261" t="s">
        <v>375</v>
      </c>
      <c r="L261" s="37">
        <f t="shared" si="16"/>
        <v>0.72333052985702273</v>
      </c>
      <c r="M261" s="2">
        <f t="shared" si="17"/>
        <v>2150100000</v>
      </c>
      <c r="N261" s="37">
        <f t="shared" si="18"/>
        <v>0.41534062237174096</v>
      </c>
      <c r="O261" s="2">
        <f t="shared" si="19"/>
        <v>1234600000</v>
      </c>
    </row>
    <row r="262" spans="1:15" x14ac:dyDescent="0.3">
      <c r="A262" t="s">
        <v>374</v>
      </c>
      <c r="B262">
        <v>3</v>
      </c>
      <c r="C262">
        <v>2014</v>
      </c>
      <c r="D262" s="1">
        <v>42004</v>
      </c>
      <c r="E262" s="2">
        <v>3334300000</v>
      </c>
      <c r="F262" s="2">
        <v>930300000</v>
      </c>
      <c r="G262" s="2">
        <v>869300000</v>
      </c>
      <c r="H262">
        <v>0</v>
      </c>
      <c r="I262" s="2">
        <v>95600000</v>
      </c>
      <c r="J262" t="s">
        <v>43</v>
      </c>
      <c r="K262" t="s">
        <v>375</v>
      </c>
      <c r="L262" s="37">
        <f t="shared" si="16"/>
        <v>0.72099091263533577</v>
      </c>
      <c r="M262" s="2">
        <f t="shared" si="17"/>
        <v>2404000000</v>
      </c>
      <c r="N262" s="37">
        <f t="shared" si="18"/>
        <v>0.43160483459796661</v>
      </c>
      <c r="O262" s="2">
        <f t="shared" si="19"/>
        <v>1439100000</v>
      </c>
    </row>
    <row r="263" spans="1:15" x14ac:dyDescent="0.3">
      <c r="A263" t="s">
        <v>374</v>
      </c>
      <c r="B263">
        <v>4</v>
      </c>
      <c r="C263">
        <v>2015</v>
      </c>
      <c r="D263" s="1">
        <v>42369</v>
      </c>
      <c r="E263" s="2">
        <v>3484500000</v>
      </c>
      <c r="F263" s="2">
        <v>976300000</v>
      </c>
      <c r="G263" s="2">
        <v>921300000</v>
      </c>
      <c r="H263">
        <v>0</v>
      </c>
      <c r="I263" s="2">
        <v>113500000</v>
      </c>
      <c r="J263" t="s">
        <v>43</v>
      </c>
      <c r="K263" t="s">
        <v>375</v>
      </c>
      <c r="L263" s="37">
        <f t="shared" si="16"/>
        <v>0.71981632945903284</v>
      </c>
      <c r="M263" s="2">
        <f t="shared" si="17"/>
        <v>2508200000</v>
      </c>
      <c r="N263" s="37">
        <f t="shared" si="18"/>
        <v>0.42284402353278805</v>
      </c>
      <c r="O263" s="2">
        <f t="shared" si="19"/>
        <v>1473400000</v>
      </c>
    </row>
    <row r="264" spans="1:15" x14ac:dyDescent="0.3">
      <c r="A264" t="s">
        <v>377</v>
      </c>
      <c r="B264">
        <v>1</v>
      </c>
      <c r="C264">
        <v>2012</v>
      </c>
      <c r="D264" s="1">
        <v>41274</v>
      </c>
      <c r="E264" s="2">
        <v>68150000000</v>
      </c>
      <c r="F264" s="2">
        <v>37987000000</v>
      </c>
      <c r="G264" s="2">
        <v>9098000000</v>
      </c>
      <c r="H264">
        <v>0</v>
      </c>
      <c r="I264" s="2">
        <v>17755000000</v>
      </c>
      <c r="J264" t="s">
        <v>43</v>
      </c>
      <c r="K264" t="s">
        <v>44</v>
      </c>
      <c r="L264" s="37">
        <f t="shared" si="16"/>
        <v>0.44259721203228175</v>
      </c>
      <c r="M264" s="2">
        <f t="shared" si="17"/>
        <v>30163000000</v>
      </c>
      <c r="N264" s="37">
        <f t="shared" si="18"/>
        <v>4.8569332355099047E-2</v>
      </c>
      <c r="O264" s="2">
        <f t="shared" si="19"/>
        <v>3310000000</v>
      </c>
    </row>
    <row r="265" spans="1:15" x14ac:dyDescent="0.3">
      <c r="A265" t="s">
        <v>377</v>
      </c>
      <c r="B265">
        <v>2</v>
      </c>
      <c r="C265">
        <v>2013</v>
      </c>
      <c r="D265" s="1">
        <v>41639</v>
      </c>
      <c r="E265" s="2">
        <v>68199000000</v>
      </c>
      <c r="F265" s="2">
        <v>38107000000</v>
      </c>
      <c r="G265" s="2">
        <v>9438000000</v>
      </c>
      <c r="H265">
        <v>0</v>
      </c>
      <c r="I265" s="2">
        <v>16602000000</v>
      </c>
      <c r="J265" t="s">
        <v>43</v>
      </c>
      <c r="K265" t="s">
        <v>44</v>
      </c>
      <c r="L265" s="37">
        <f t="shared" si="16"/>
        <v>0.44123814132172023</v>
      </c>
      <c r="M265" s="2">
        <f t="shared" si="17"/>
        <v>30092000000</v>
      </c>
      <c r="N265" s="37">
        <f t="shared" si="18"/>
        <v>5.9414360914382909E-2</v>
      </c>
      <c r="O265" s="2">
        <f t="shared" si="19"/>
        <v>4052000000</v>
      </c>
    </row>
    <row r="266" spans="1:15" x14ac:dyDescent="0.3">
      <c r="A266" t="s">
        <v>377</v>
      </c>
      <c r="B266">
        <v>3</v>
      </c>
      <c r="C266">
        <v>2014</v>
      </c>
      <c r="D266" s="1">
        <v>42004</v>
      </c>
      <c r="E266" s="2">
        <v>73316000000</v>
      </c>
      <c r="F266" s="2">
        <v>39102000000</v>
      </c>
      <c r="G266" s="2">
        <v>8319000000</v>
      </c>
      <c r="H266">
        <v>0</v>
      </c>
      <c r="I266" s="2">
        <v>17091000000</v>
      </c>
      <c r="J266" t="s">
        <v>43</v>
      </c>
      <c r="K266" t="s">
        <v>44</v>
      </c>
      <c r="L266" s="37">
        <f t="shared" si="16"/>
        <v>0.46666484805499486</v>
      </c>
      <c r="M266" s="2">
        <f t="shared" si="17"/>
        <v>34214000000</v>
      </c>
      <c r="N266" s="37">
        <f t="shared" si="18"/>
        <v>0.12008292869223634</v>
      </c>
      <c r="O266" s="2">
        <f t="shared" si="19"/>
        <v>8804000000</v>
      </c>
    </row>
    <row r="267" spans="1:15" x14ac:dyDescent="0.3">
      <c r="A267" t="s">
        <v>377</v>
      </c>
      <c r="B267">
        <v>4</v>
      </c>
      <c r="C267">
        <v>2015</v>
      </c>
      <c r="D267" s="1">
        <v>42369</v>
      </c>
      <c r="E267" s="2">
        <v>69951000000</v>
      </c>
      <c r="F267" s="2">
        <v>38714000000</v>
      </c>
      <c r="G267" s="2">
        <v>6998000000</v>
      </c>
      <c r="H267">
        <v>0</v>
      </c>
      <c r="I267" s="2">
        <v>16769000000</v>
      </c>
      <c r="J267" t="s">
        <v>43</v>
      </c>
      <c r="K267" t="s">
        <v>44</v>
      </c>
      <c r="L267" s="37">
        <f t="shared" si="16"/>
        <v>0.44655544595502561</v>
      </c>
      <c r="M267" s="2">
        <f t="shared" si="17"/>
        <v>31237000000</v>
      </c>
      <c r="N267" s="37">
        <f t="shared" si="18"/>
        <v>0.10678903804091436</v>
      </c>
      <c r="O267" s="2">
        <f t="shared" si="19"/>
        <v>7470000000</v>
      </c>
    </row>
    <row r="268" spans="1:15" x14ac:dyDescent="0.3">
      <c r="A268" t="s">
        <v>133</v>
      </c>
      <c r="B268">
        <v>1</v>
      </c>
      <c r="C268">
        <v>2012</v>
      </c>
      <c r="D268" s="1">
        <v>41274</v>
      </c>
      <c r="E268" s="2">
        <v>6104000000</v>
      </c>
      <c r="F268" s="2">
        <v>2990700000</v>
      </c>
      <c r="G268" s="2">
        <v>200900000</v>
      </c>
      <c r="H268">
        <v>0</v>
      </c>
      <c r="I268">
        <v>0</v>
      </c>
      <c r="J268" t="s">
        <v>55</v>
      </c>
      <c r="K268" t="s">
        <v>134</v>
      </c>
      <c r="L268" s="37">
        <f t="shared" si="16"/>
        <v>0.51004259501965921</v>
      </c>
      <c r="M268" s="2">
        <f t="shared" si="17"/>
        <v>3113300000</v>
      </c>
      <c r="N268" s="37">
        <f t="shared" si="18"/>
        <v>0.47712975098296201</v>
      </c>
      <c r="O268" s="2">
        <f t="shared" si="19"/>
        <v>2912400000</v>
      </c>
    </row>
    <row r="269" spans="1:15" x14ac:dyDescent="0.3">
      <c r="A269" t="s">
        <v>133</v>
      </c>
      <c r="B269">
        <v>2</v>
      </c>
      <c r="C269">
        <v>2013</v>
      </c>
      <c r="D269" s="1">
        <v>41639</v>
      </c>
      <c r="E269" s="2">
        <v>5474700000</v>
      </c>
      <c r="F269" s="2">
        <v>2954500000</v>
      </c>
      <c r="G269" s="2">
        <v>150200000</v>
      </c>
      <c r="H269">
        <v>0</v>
      </c>
      <c r="I269">
        <v>0</v>
      </c>
      <c r="J269" t="s">
        <v>55</v>
      </c>
      <c r="K269" t="s">
        <v>134</v>
      </c>
      <c r="L269" s="37">
        <f t="shared" si="16"/>
        <v>0.46033572615851093</v>
      </c>
      <c r="M269" s="2">
        <f t="shared" si="17"/>
        <v>2520200000</v>
      </c>
      <c r="N269" s="37">
        <f t="shared" si="18"/>
        <v>0.4329004329004329</v>
      </c>
      <c r="O269" s="2">
        <f t="shared" si="19"/>
        <v>2370000000</v>
      </c>
    </row>
    <row r="270" spans="1:15" x14ac:dyDescent="0.3">
      <c r="A270" t="s">
        <v>133</v>
      </c>
      <c r="B270">
        <v>3</v>
      </c>
      <c r="C270">
        <v>2014</v>
      </c>
      <c r="D270" s="1">
        <v>42004</v>
      </c>
      <c r="E270" s="2">
        <v>4743200000</v>
      </c>
      <c r="F270" s="2">
        <v>2964700000</v>
      </c>
      <c r="G270" s="2">
        <v>205200000</v>
      </c>
      <c r="H270">
        <v>0</v>
      </c>
      <c r="I270">
        <v>0</v>
      </c>
      <c r="J270" t="s">
        <v>55</v>
      </c>
      <c r="K270" t="s">
        <v>134</v>
      </c>
      <c r="L270" s="37">
        <f t="shared" si="16"/>
        <v>0.37495783437341879</v>
      </c>
      <c r="M270" s="2">
        <f t="shared" si="17"/>
        <v>1778500000</v>
      </c>
      <c r="N270" s="37">
        <f t="shared" si="18"/>
        <v>0.33169590150109629</v>
      </c>
      <c r="O270" s="2">
        <f t="shared" si="19"/>
        <v>1573300000</v>
      </c>
    </row>
    <row r="271" spans="1:15" x14ac:dyDescent="0.3">
      <c r="A271" t="s">
        <v>133</v>
      </c>
      <c r="B271">
        <v>4</v>
      </c>
      <c r="C271">
        <v>2015</v>
      </c>
      <c r="D271" s="1">
        <v>42369</v>
      </c>
      <c r="E271" s="2">
        <v>4308300000</v>
      </c>
      <c r="F271" s="2">
        <v>2761200000</v>
      </c>
      <c r="G271" s="2">
        <v>319000000</v>
      </c>
      <c r="H271">
        <v>0</v>
      </c>
      <c r="I271">
        <v>0</v>
      </c>
      <c r="J271" t="s">
        <v>55</v>
      </c>
      <c r="K271" t="s">
        <v>134</v>
      </c>
      <c r="L271" s="37">
        <f t="shared" si="16"/>
        <v>0.35909755588050973</v>
      </c>
      <c r="M271" s="2">
        <f t="shared" si="17"/>
        <v>1547100000</v>
      </c>
      <c r="N271" s="37">
        <f t="shared" si="18"/>
        <v>0.2850544298215073</v>
      </c>
      <c r="O271" s="2">
        <f t="shared" si="19"/>
        <v>1228100000</v>
      </c>
    </row>
    <row r="272" spans="1:15" x14ac:dyDescent="0.3">
      <c r="A272" t="s">
        <v>384</v>
      </c>
      <c r="B272">
        <v>1</v>
      </c>
      <c r="C272">
        <v>2012</v>
      </c>
      <c r="D272" s="1">
        <v>41274</v>
      </c>
      <c r="E272" s="2">
        <v>11924000000</v>
      </c>
      <c r="F272">
        <v>0</v>
      </c>
      <c r="G272" s="2">
        <v>7134000000</v>
      </c>
      <c r="H272">
        <v>0</v>
      </c>
      <c r="I272" s="2">
        <v>2961000000</v>
      </c>
      <c r="J272" t="s">
        <v>43</v>
      </c>
      <c r="K272" t="s">
        <v>385</v>
      </c>
      <c r="L272" s="37">
        <f t="shared" si="16"/>
        <v>1</v>
      </c>
      <c r="M272" s="2">
        <f t="shared" si="17"/>
        <v>11924000000</v>
      </c>
      <c r="N272" s="37">
        <f t="shared" si="18"/>
        <v>0.15338812479033881</v>
      </c>
      <c r="O272" s="2">
        <f t="shared" si="19"/>
        <v>1829000000</v>
      </c>
    </row>
    <row r="273" spans="1:15" x14ac:dyDescent="0.3">
      <c r="A273" t="s">
        <v>384</v>
      </c>
      <c r="B273">
        <v>2</v>
      </c>
      <c r="C273">
        <v>2013</v>
      </c>
      <c r="D273" s="1">
        <v>41639</v>
      </c>
      <c r="E273" s="2">
        <v>12261000000</v>
      </c>
      <c r="F273">
        <v>0</v>
      </c>
      <c r="G273" s="2">
        <v>7226000000</v>
      </c>
      <c r="H273">
        <v>0</v>
      </c>
      <c r="I273" s="2">
        <v>2958000000</v>
      </c>
      <c r="J273" t="s">
        <v>43</v>
      </c>
      <c r="K273" t="s">
        <v>385</v>
      </c>
      <c r="L273" s="37">
        <f t="shared" si="16"/>
        <v>1</v>
      </c>
      <c r="M273" s="2">
        <f t="shared" si="17"/>
        <v>12261000000</v>
      </c>
      <c r="N273" s="37">
        <f t="shared" si="18"/>
        <v>0.16939890710382513</v>
      </c>
      <c r="O273" s="2">
        <f t="shared" si="19"/>
        <v>2077000000</v>
      </c>
    </row>
    <row r="274" spans="1:15" x14ac:dyDescent="0.3">
      <c r="A274" t="s">
        <v>384</v>
      </c>
      <c r="B274">
        <v>3</v>
      </c>
      <c r="C274">
        <v>2014</v>
      </c>
      <c r="D274" s="1">
        <v>42004</v>
      </c>
      <c r="E274" s="2">
        <v>12951000000</v>
      </c>
      <c r="F274">
        <v>0</v>
      </c>
      <c r="G274" s="2">
        <v>7515000000</v>
      </c>
      <c r="H274">
        <v>0</v>
      </c>
      <c r="I274" s="2">
        <v>3135000000</v>
      </c>
      <c r="J274" t="s">
        <v>43</v>
      </c>
      <c r="K274" t="s">
        <v>385</v>
      </c>
      <c r="L274" s="37">
        <f t="shared" si="16"/>
        <v>1</v>
      </c>
      <c r="M274" s="2">
        <f t="shared" si="17"/>
        <v>12951000000</v>
      </c>
      <c r="N274" s="37">
        <f t="shared" si="18"/>
        <v>0.17766967801714154</v>
      </c>
      <c r="O274" s="2">
        <f t="shared" si="19"/>
        <v>2301000000</v>
      </c>
    </row>
    <row r="275" spans="1:15" x14ac:dyDescent="0.3">
      <c r="A275" t="s">
        <v>384</v>
      </c>
      <c r="B275">
        <v>4</v>
      </c>
      <c r="C275">
        <v>2015</v>
      </c>
      <c r="D275" s="1">
        <v>42369</v>
      </c>
      <c r="E275" s="2">
        <v>12893000000</v>
      </c>
      <c r="F275">
        <v>0</v>
      </c>
      <c r="G275" s="2">
        <v>7334000000</v>
      </c>
      <c r="H275">
        <v>0</v>
      </c>
      <c r="I275" s="2">
        <v>3140000000</v>
      </c>
      <c r="J275" t="s">
        <v>43</v>
      </c>
      <c r="K275" t="s">
        <v>385</v>
      </c>
      <c r="L275" s="37">
        <f t="shared" si="16"/>
        <v>1</v>
      </c>
      <c r="M275" s="2">
        <f t="shared" si="17"/>
        <v>12893000000</v>
      </c>
      <c r="N275" s="37">
        <f t="shared" si="18"/>
        <v>0.18762118979291087</v>
      </c>
      <c r="O275" s="2">
        <f t="shared" si="19"/>
        <v>2419000000</v>
      </c>
    </row>
    <row r="276" spans="1:15" x14ac:dyDescent="0.3">
      <c r="A276" t="s">
        <v>137</v>
      </c>
      <c r="B276">
        <v>1</v>
      </c>
      <c r="C276">
        <v>2012</v>
      </c>
      <c r="D276" s="1">
        <v>41274</v>
      </c>
      <c r="E276" s="2">
        <v>2921900000</v>
      </c>
      <c r="F276" s="2">
        <v>1630500000</v>
      </c>
      <c r="G276" s="2">
        <v>746300000</v>
      </c>
      <c r="H276">
        <v>0</v>
      </c>
      <c r="I276">
        <v>0</v>
      </c>
      <c r="J276" t="s">
        <v>32</v>
      </c>
      <c r="K276" t="s">
        <v>138</v>
      </c>
      <c r="L276" s="37">
        <f t="shared" si="16"/>
        <v>0.44197268900373043</v>
      </c>
      <c r="M276" s="2">
        <f t="shared" si="17"/>
        <v>1291400000</v>
      </c>
      <c r="N276" s="37">
        <f t="shared" si="18"/>
        <v>0.18655669256305829</v>
      </c>
      <c r="O276" s="2">
        <f t="shared" si="19"/>
        <v>545100000</v>
      </c>
    </row>
    <row r="277" spans="1:15" x14ac:dyDescent="0.3">
      <c r="A277" t="s">
        <v>137</v>
      </c>
      <c r="B277">
        <v>2</v>
      </c>
      <c r="C277">
        <v>2013</v>
      </c>
      <c r="D277" s="1">
        <v>41639</v>
      </c>
      <c r="E277" s="2">
        <v>3194300000</v>
      </c>
      <c r="F277" s="2">
        <v>1756300000</v>
      </c>
      <c r="G277" s="2">
        <v>815800000</v>
      </c>
      <c r="H277">
        <v>0</v>
      </c>
      <c r="I277">
        <v>0</v>
      </c>
      <c r="J277" t="s">
        <v>32</v>
      </c>
      <c r="K277" t="s">
        <v>138</v>
      </c>
      <c r="L277" s="37">
        <f t="shared" si="16"/>
        <v>0.45017687756315938</v>
      </c>
      <c r="M277" s="2">
        <f t="shared" si="17"/>
        <v>1438000000</v>
      </c>
      <c r="N277" s="37">
        <f t="shared" si="18"/>
        <v>0.19478445981905268</v>
      </c>
      <c r="O277" s="2">
        <f t="shared" si="19"/>
        <v>622200000</v>
      </c>
    </row>
    <row r="278" spans="1:15" x14ac:dyDescent="0.3">
      <c r="A278" t="s">
        <v>137</v>
      </c>
      <c r="B278">
        <v>3</v>
      </c>
      <c r="C278">
        <v>2014</v>
      </c>
      <c r="D278" s="1">
        <v>42004</v>
      </c>
      <c r="E278" s="2">
        <v>3297600000</v>
      </c>
      <c r="F278" s="2">
        <v>1844700000</v>
      </c>
      <c r="G278" s="2">
        <v>811700000</v>
      </c>
      <c r="H278">
        <v>0</v>
      </c>
      <c r="I278">
        <v>0</v>
      </c>
      <c r="J278" t="s">
        <v>32</v>
      </c>
      <c r="K278" t="s">
        <v>138</v>
      </c>
      <c r="L278" s="37">
        <f t="shared" si="16"/>
        <v>0.44059315866084425</v>
      </c>
      <c r="M278" s="2">
        <f t="shared" si="17"/>
        <v>1452900000</v>
      </c>
      <c r="N278" s="37">
        <f t="shared" si="18"/>
        <v>0.19444444444444445</v>
      </c>
      <c r="O278" s="2">
        <f t="shared" si="19"/>
        <v>641200000</v>
      </c>
    </row>
    <row r="279" spans="1:15" x14ac:dyDescent="0.3">
      <c r="A279" t="s">
        <v>137</v>
      </c>
      <c r="B279">
        <v>4</v>
      </c>
      <c r="C279">
        <v>2015</v>
      </c>
      <c r="D279" s="1">
        <v>42369</v>
      </c>
      <c r="E279" s="2">
        <v>3394800000</v>
      </c>
      <c r="F279" s="2">
        <v>1883000000</v>
      </c>
      <c r="G279" s="2">
        <v>837600000</v>
      </c>
      <c r="H279">
        <v>0</v>
      </c>
      <c r="I279">
        <v>0</v>
      </c>
      <c r="J279" t="s">
        <v>32</v>
      </c>
      <c r="K279" t="s">
        <v>138</v>
      </c>
      <c r="L279" s="37">
        <f t="shared" si="16"/>
        <v>0.44532814893366324</v>
      </c>
      <c r="M279" s="2">
        <f t="shared" si="17"/>
        <v>1511800000</v>
      </c>
      <c r="N279" s="37">
        <f t="shared" si="18"/>
        <v>0.19859785554377282</v>
      </c>
      <c r="O279" s="2">
        <f t="shared" si="19"/>
        <v>674200000</v>
      </c>
    </row>
    <row r="280" spans="1:15" x14ac:dyDescent="0.3">
      <c r="A280" t="s">
        <v>139</v>
      </c>
      <c r="B280">
        <v>1</v>
      </c>
      <c r="C280">
        <v>2012</v>
      </c>
      <c r="D280" s="1">
        <v>41274</v>
      </c>
      <c r="E280" s="2">
        <v>12316000000</v>
      </c>
      <c r="F280" s="2">
        <v>7081000000</v>
      </c>
      <c r="G280" s="2">
        <v>723000000</v>
      </c>
      <c r="H280">
        <v>0</v>
      </c>
      <c r="I280" s="2">
        <v>2811000000</v>
      </c>
      <c r="J280" t="s">
        <v>79</v>
      </c>
      <c r="K280" t="s">
        <v>140</v>
      </c>
      <c r="L280" s="37">
        <f t="shared" si="16"/>
        <v>0.42505683663527116</v>
      </c>
      <c r="M280" s="2">
        <f t="shared" si="17"/>
        <v>5235000000</v>
      </c>
      <c r="N280" s="37">
        <f t="shared" si="18"/>
        <v>0.13811302370899642</v>
      </c>
      <c r="O280" s="2">
        <f t="shared" si="19"/>
        <v>1701000000</v>
      </c>
    </row>
    <row r="281" spans="1:15" x14ac:dyDescent="0.3">
      <c r="A281" t="s">
        <v>139</v>
      </c>
      <c r="B281">
        <v>2</v>
      </c>
      <c r="C281">
        <v>2013</v>
      </c>
      <c r="D281" s="1">
        <v>41639</v>
      </c>
      <c r="E281" s="2">
        <v>19080000000</v>
      </c>
      <c r="F281" s="2">
        <v>12930000000</v>
      </c>
      <c r="G281" s="2">
        <v>686000000</v>
      </c>
      <c r="H281">
        <v>0</v>
      </c>
      <c r="I281" s="2">
        <v>2903000000</v>
      </c>
      <c r="J281" t="s">
        <v>79</v>
      </c>
      <c r="K281" t="s">
        <v>140</v>
      </c>
      <c r="L281" s="37">
        <f t="shared" si="16"/>
        <v>0.32232704402515722</v>
      </c>
      <c r="M281" s="2">
        <f t="shared" si="17"/>
        <v>6150000000</v>
      </c>
      <c r="N281" s="37">
        <f t="shared" si="18"/>
        <v>0.13422431865828091</v>
      </c>
      <c r="O281" s="2">
        <f t="shared" si="19"/>
        <v>2561000000</v>
      </c>
    </row>
    <row r="282" spans="1:15" x14ac:dyDescent="0.3">
      <c r="A282" t="s">
        <v>139</v>
      </c>
      <c r="B282">
        <v>3</v>
      </c>
      <c r="C282">
        <v>2014</v>
      </c>
      <c r="D282" s="1">
        <v>42004</v>
      </c>
      <c r="E282" s="2">
        <v>23125000000</v>
      </c>
      <c r="F282" s="2">
        <v>16049000000</v>
      </c>
      <c r="G282" s="2">
        <v>554000000</v>
      </c>
      <c r="H282">
        <v>0</v>
      </c>
      <c r="I282" s="2">
        <v>2915000000</v>
      </c>
      <c r="J282" t="s">
        <v>79</v>
      </c>
      <c r="K282" t="s">
        <v>140</v>
      </c>
      <c r="L282" s="37">
        <f t="shared" si="16"/>
        <v>0.30598918918918916</v>
      </c>
      <c r="M282" s="2">
        <f t="shared" si="17"/>
        <v>7076000000</v>
      </c>
      <c r="N282" s="37">
        <f t="shared" si="18"/>
        <v>0.15597837837837839</v>
      </c>
      <c r="O282" s="2">
        <f t="shared" si="19"/>
        <v>3607000000</v>
      </c>
    </row>
    <row r="283" spans="1:15" x14ac:dyDescent="0.3">
      <c r="A283" t="s">
        <v>139</v>
      </c>
      <c r="B283">
        <v>4</v>
      </c>
      <c r="C283">
        <v>2015</v>
      </c>
      <c r="D283" s="1">
        <v>42369</v>
      </c>
      <c r="E283" s="2">
        <v>12764000000</v>
      </c>
      <c r="F283" s="2">
        <v>10295000000</v>
      </c>
      <c r="G283" s="2">
        <v>334000000</v>
      </c>
      <c r="H283">
        <v>0</v>
      </c>
      <c r="I283" s="2">
        <v>2229000000</v>
      </c>
      <c r="J283" t="s">
        <v>79</v>
      </c>
      <c r="K283" t="s">
        <v>140</v>
      </c>
      <c r="L283" s="37">
        <f t="shared" si="16"/>
        <v>0.19343465998119713</v>
      </c>
      <c r="M283" s="2">
        <f t="shared" si="17"/>
        <v>2469000000</v>
      </c>
      <c r="N283" s="37">
        <f t="shared" si="18"/>
        <v>-7.3644625509244749E-3</v>
      </c>
      <c r="O283" s="2">
        <f t="shared" si="19"/>
        <v>-94000000</v>
      </c>
    </row>
    <row r="284" spans="1:15" x14ac:dyDescent="0.3">
      <c r="A284" t="s">
        <v>141</v>
      </c>
      <c r="B284">
        <v>1</v>
      </c>
      <c r="C284">
        <v>2012</v>
      </c>
      <c r="D284" s="1">
        <v>41274</v>
      </c>
      <c r="E284" s="2">
        <v>11359113000</v>
      </c>
      <c r="F284" s="2">
        <v>9641542000</v>
      </c>
      <c r="G284" s="2">
        <v>1042251000</v>
      </c>
      <c r="H284">
        <v>0</v>
      </c>
      <c r="I284">
        <v>0</v>
      </c>
      <c r="J284" t="s">
        <v>12</v>
      </c>
      <c r="K284" t="s">
        <v>142</v>
      </c>
      <c r="L284" s="37">
        <f t="shared" si="16"/>
        <v>0.15120643662933897</v>
      </c>
      <c r="M284" s="2">
        <f t="shared" si="17"/>
        <v>1717571000</v>
      </c>
      <c r="N284" s="37">
        <f t="shared" si="18"/>
        <v>5.9451825155714184E-2</v>
      </c>
      <c r="O284" s="2">
        <f t="shared" si="19"/>
        <v>675320000</v>
      </c>
    </row>
    <row r="285" spans="1:15" x14ac:dyDescent="0.3">
      <c r="A285" t="s">
        <v>141</v>
      </c>
      <c r="B285">
        <v>2</v>
      </c>
      <c r="C285">
        <v>2013</v>
      </c>
      <c r="D285" s="1">
        <v>41639</v>
      </c>
      <c r="E285" s="2">
        <v>12752076000</v>
      </c>
      <c r="F285" s="2">
        <v>10915981000</v>
      </c>
      <c r="G285" s="2">
        <v>1153445000</v>
      </c>
      <c r="H285">
        <v>0</v>
      </c>
      <c r="I285">
        <v>0</v>
      </c>
      <c r="J285" t="s">
        <v>12</v>
      </c>
      <c r="K285" t="s">
        <v>142</v>
      </c>
      <c r="L285" s="37">
        <f t="shared" si="16"/>
        <v>0.14398400699619418</v>
      </c>
      <c r="M285" s="2">
        <f t="shared" si="17"/>
        <v>1836095000</v>
      </c>
      <c r="N285" s="37">
        <f t="shared" si="18"/>
        <v>5.3532460126492348E-2</v>
      </c>
      <c r="O285" s="2">
        <f t="shared" si="19"/>
        <v>682650000</v>
      </c>
    </row>
    <row r="286" spans="1:15" x14ac:dyDescent="0.3">
      <c r="A286" t="s">
        <v>141</v>
      </c>
      <c r="B286">
        <v>3</v>
      </c>
      <c r="C286">
        <v>2014</v>
      </c>
      <c r="D286" s="1">
        <v>42004</v>
      </c>
      <c r="E286" s="2">
        <v>13470067000</v>
      </c>
      <c r="F286" s="2">
        <v>11462415000</v>
      </c>
      <c r="G286" s="2">
        <v>1259234000</v>
      </c>
      <c r="H286">
        <v>0</v>
      </c>
      <c r="I286">
        <v>0</v>
      </c>
      <c r="J286" t="s">
        <v>12</v>
      </c>
      <c r="K286" t="s">
        <v>142</v>
      </c>
      <c r="L286" s="37">
        <f t="shared" si="16"/>
        <v>0.14904543533450876</v>
      </c>
      <c r="M286" s="2">
        <f t="shared" si="17"/>
        <v>2007652000</v>
      </c>
      <c r="N286" s="37">
        <f t="shared" si="18"/>
        <v>5.5561564764302955E-2</v>
      </c>
      <c r="O286" s="2">
        <f t="shared" si="19"/>
        <v>748418000</v>
      </c>
    </row>
    <row r="287" spans="1:15" x14ac:dyDescent="0.3">
      <c r="A287" t="s">
        <v>141</v>
      </c>
      <c r="B287">
        <v>4</v>
      </c>
      <c r="C287">
        <v>2015</v>
      </c>
      <c r="D287" s="1">
        <v>42369</v>
      </c>
      <c r="E287" s="2">
        <v>13476084000</v>
      </c>
      <c r="F287" s="2">
        <v>11207604000</v>
      </c>
      <c r="G287" s="2">
        <v>1410170000</v>
      </c>
      <c r="H287">
        <v>0</v>
      </c>
      <c r="I287">
        <v>0</v>
      </c>
      <c r="J287" t="s">
        <v>12</v>
      </c>
      <c r="K287" t="s">
        <v>142</v>
      </c>
      <c r="L287" s="37">
        <f t="shared" si="16"/>
        <v>0.16833376817775847</v>
      </c>
      <c r="M287" s="2">
        <f t="shared" si="17"/>
        <v>2268480000</v>
      </c>
      <c r="N287" s="37">
        <f t="shared" si="18"/>
        <v>6.36913512857296E-2</v>
      </c>
      <c r="O287" s="2">
        <f t="shared" si="19"/>
        <v>858310000</v>
      </c>
    </row>
    <row r="288" spans="1:15" x14ac:dyDescent="0.3">
      <c r="A288" t="s">
        <v>143</v>
      </c>
      <c r="B288">
        <v>1</v>
      </c>
      <c r="C288">
        <v>2013</v>
      </c>
      <c r="D288" s="1">
        <v>41639</v>
      </c>
      <c r="E288" s="2">
        <v>8155000000</v>
      </c>
      <c r="F288" s="2">
        <v>5345000000</v>
      </c>
      <c r="G288" s="2">
        <v>47000000</v>
      </c>
      <c r="H288">
        <v>0</v>
      </c>
      <c r="I288" s="2">
        <v>1854000000</v>
      </c>
      <c r="J288" t="s">
        <v>15</v>
      </c>
      <c r="K288" t="s">
        <v>144</v>
      </c>
      <c r="L288" s="37">
        <f t="shared" si="16"/>
        <v>0.34457388105456777</v>
      </c>
      <c r="M288" s="2">
        <f t="shared" si="17"/>
        <v>2810000000</v>
      </c>
      <c r="N288" s="37">
        <f t="shared" si="18"/>
        <v>0.1114653586756591</v>
      </c>
      <c r="O288" s="2">
        <f t="shared" si="19"/>
        <v>909000000</v>
      </c>
    </row>
    <row r="289" spans="1:15" x14ac:dyDescent="0.3">
      <c r="A289" t="s">
        <v>143</v>
      </c>
      <c r="B289">
        <v>2</v>
      </c>
      <c r="C289">
        <v>2014</v>
      </c>
      <c r="D289" s="1">
        <v>42004</v>
      </c>
      <c r="E289" s="2">
        <v>9108000000</v>
      </c>
      <c r="F289" s="2">
        <v>5973000000</v>
      </c>
      <c r="G289" s="2">
        <v>62000000</v>
      </c>
      <c r="H289">
        <v>0</v>
      </c>
      <c r="I289" s="2">
        <v>2102000000</v>
      </c>
      <c r="J289" t="s">
        <v>15</v>
      </c>
      <c r="K289" t="s">
        <v>144</v>
      </c>
      <c r="L289" s="37">
        <f t="shared" si="16"/>
        <v>0.34420289855072461</v>
      </c>
      <c r="M289" s="2">
        <f t="shared" si="17"/>
        <v>3135000000</v>
      </c>
      <c r="N289" s="37">
        <f t="shared" si="18"/>
        <v>0.10660957400087835</v>
      </c>
      <c r="O289" s="2">
        <f t="shared" si="19"/>
        <v>971000000</v>
      </c>
    </row>
    <row r="290" spans="1:15" x14ac:dyDescent="0.3">
      <c r="A290" t="s">
        <v>143</v>
      </c>
      <c r="B290">
        <v>3</v>
      </c>
      <c r="C290">
        <v>2015</v>
      </c>
      <c r="D290" s="1">
        <v>42369</v>
      </c>
      <c r="E290" s="2">
        <v>9754000000</v>
      </c>
      <c r="F290" s="2">
        <v>6426000000</v>
      </c>
      <c r="G290" s="2">
        <v>89000000</v>
      </c>
      <c r="H290">
        <v>0</v>
      </c>
      <c r="I290" s="2">
        <v>2125000000</v>
      </c>
      <c r="J290" t="s">
        <v>15</v>
      </c>
      <c r="K290" t="s">
        <v>144</v>
      </c>
      <c r="L290" s="37">
        <f t="shared" si="16"/>
        <v>0.34119335657166294</v>
      </c>
      <c r="M290" s="2">
        <f t="shared" si="17"/>
        <v>3328000000</v>
      </c>
      <c r="N290" s="37">
        <f t="shared" si="18"/>
        <v>0.11420955505433668</v>
      </c>
      <c r="O290" s="2">
        <f t="shared" si="19"/>
        <v>1114000000</v>
      </c>
    </row>
    <row r="291" spans="1:15" x14ac:dyDescent="0.3">
      <c r="A291" t="s">
        <v>143</v>
      </c>
      <c r="B291">
        <v>4</v>
      </c>
      <c r="C291">
        <v>2016</v>
      </c>
      <c r="D291" s="1">
        <v>42735</v>
      </c>
      <c r="E291" s="2">
        <v>29003000000</v>
      </c>
      <c r="F291" s="2">
        <v>18655000000</v>
      </c>
      <c r="G291" s="2">
        <v>86000000</v>
      </c>
      <c r="H291">
        <v>0</v>
      </c>
      <c r="I291" s="2">
        <v>6907000000</v>
      </c>
      <c r="J291" t="s">
        <v>15</v>
      </c>
      <c r="K291" t="s">
        <v>144</v>
      </c>
      <c r="L291" s="37">
        <f t="shared" si="16"/>
        <v>0.3567906768265352</v>
      </c>
      <c r="M291" s="2">
        <f t="shared" si="17"/>
        <v>10348000000</v>
      </c>
      <c r="N291" s="37">
        <f t="shared" si="18"/>
        <v>0.11567768851498121</v>
      </c>
      <c r="O291" s="2">
        <f t="shared" si="19"/>
        <v>3355000000</v>
      </c>
    </row>
    <row r="292" spans="1:15" x14ac:dyDescent="0.3">
      <c r="A292" t="s">
        <v>397</v>
      </c>
      <c r="B292">
        <v>1</v>
      </c>
      <c r="C292">
        <v>2012</v>
      </c>
      <c r="D292" s="1">
        <v>41274</v>
      </c>
      <c r="E292" s="2">
        <v>4608955000</v>
      </c>
      <c r="F292" s="2">
        <v>116586000</v>
      </c>
      <c r="G292" s="2">
        <v>2448629000</v>
      </c>
      <c r="H292">
        <v>0</v>
      </c>
      <c r="I292" s="2">
        <v>264631000</v>
      </c>
      <c r="J292" t="s">
        <v>43</v>
      </c>
      <c r="K292" t="s">
        <v>101</v>
      </c>
      <c r="L292" s="37">
        <f t="shared" si="16"/>
        <v>0.97470446120649912</v>
      </c>
      <c r="M292" s="2">
        <f t="shared" si="17"/>
        <v>4492369000</v>
      </c>
      <c r="N292" s="37">
        <f t="shared" si="18"/>
        <v>0.38601136266246905</v>
      </c>
      <c r="O292" s="2">
        <f t="shared" si="19"/>
        <v>1779109000</v>
      </c>
    </row>
    <row r="293" spans="1:15" x14ac:dyDescent="0.3">
      <c r="A293" t="s">
        <v>397</v>
      </c>
      <c r="B293">
        <v>2</v>
      </c>
      <c r="C293">
        <v>2013</v>
      </c>
      <c r="D293" s="1">
        <v>41639</v>
      </c>
      <c r="E293" s="2">
        <v>4822539000</v>
      </c>
      <c r="F293" s="2">
        <v>83692000</v>
      </c>
      <c r="G293" s="2">
        <v>2540954000</v>
      </c>
      <c r="H293">
        <v>0</v>
      </c>
      <c r="I293" s="2">
        <v>231912000</v>
      </c>
      <c r="J293" t="s">
        <v>43</v>
      </c>
      <c r="K293" t="s">
        <v>101</v>
      </c>
      <c r="L293" s="37">
        <f t="shared" si="16"/>
        <v>0.98264565615747224</v>
      </c>
      <c r="M293" s="2">
        <f t="shared" si="17"/>
        <v>4738847000</v>
      </c>
      <c r="N293" s="37">
        <f t="shared" si="18"/>
        <v>0.40766513241261504</v>
      </c>
      <c r="O293" s="2">
        <f t="shared" si="19"/>
        <v>1965981000</v>
      </c>
    </row>
    <row r="294" spans="1:15" x14ac:dyDescent="0.3">
      <c r="A294" t="s">
        <v>397</v>
      </c>
      <c r="B294">
        <v>3</v>
      </c>
      <c r="C294">
        <v>2014</v>
      </c>
      <c r="D294" s="1">
        <v>42004</v>
      </c>
      <c r="E294" s="2">
        <v>4736150000</v>
      </c>
      <c r="F294" s="2">
        <v>63083000</v>
      </c>
      <c r="G294" s="2">
        <v>2655650000</v>
      </c>
      <c r="H294">
        <v>0</v>
      </c>
      <c r="I294" s="2">
        <v>157824000</v>
      </c>
      <c r="J294" t="s">
        <v>43</v>
      </c>
      <c r="K294" t="s">
        <v>101</v>
      </c>
      <c r="L294" s="37">
        <f t="shared" si="16"/>
        <v>0.98668053165545855</v>
      </c>
      <c r="M294" s="2">
        <f t="shared" si="17"/>
        <v>4673067000</v>
      </c>
      <c r="N294" s="37">
        <f t="shared" si="18"/>
        <v>0.39263811323543385</v>
      </c>
      <c r="O294" s="2">
        <f t="shared" si="19"/>
        <v>1859593000</v>
      </c>
    </row>
    <row r="295" spans="1:15" x14ac:dyDescent="0.3">
      <c r="A295" t="s">
        <v>397</v>
      </c>
      <c r="B295">
        <v>4</v>
      </c>
      <c r="C295">
        <v>2015</v>
      </c>
      <c r="D295" s="1">
        <v>42369</v>
      </c>
      <c r="E295" s="2">
        <v>4995881000</v>
      </c>
      <c r="F295" s="2">
        <v>73814000</v>
      </c>
      <c r="G295" s="2">
        <v>2796508000</v>
      </c>
      <c r="H295">
        <v>0</v>
      </c>
      <c r="I295" s="2">
        <v>196424000</v>
      </c>
      <c r="J295" t="s">
        <v>43</v>
      </c>
      <c r="K295" t="s">
        <v>101</v>
      </c>
      <c r="L295" s="37">
        <f t="shared" si="16"/>
        <v>0.98522502837837811</v>
      </c>
      <c r="M295" s="2">
        <f t="shared" si="17"/>
        <v>4922067000</v>
      </c>
      <c r="N295" s="37">
        <f t="shared" si="18"/>
        <v>0.38614510633860172</v>
      </c>
      <c r="O295" s="2">
        <f t="shared" si="19"/>
        <v>1929135000</v>
      </c>
    </row>
    <row r="296" spans="1:15" x14ac:dyDescent="0.3">
      <c r="A296" t="s">
        <v>403</v>
      </c>
      <c r="B296">
        <v>1</v>
      </c>
      <c r="C296">
        <v>2012</v>
      </c>
      <c r="D296" s="1">
        <v>41274</v>
      </c>
      <c r="E296" s="2">
        <v>3023000000</v>
      </c>
      <c r="F296" s="2">
        <v>1446000000</v>
      </c>
      <c r="G296" s="2">
        <v>832000000</v>
      </c>
      <c r="H296">
        <v>0</v>
      </c>
      <c r="I296" s="2">
        <v>104000000</v>
      </c>
      <c r="J296" t="s">
        <v>43</v>
      </c>
      <c r="K296" t="s">
        <v>375</v>
      </c>
      <c r="L296" s="37">
        <f t="shared" si="16"/>
        <v>0.52166721799536886</v>
      </c>
      <c r="M296" s="2">
        <f t="shared" si="17"/>
        <v>1577000000</v>
      </c>
      <c r="N296" s="37">
        <f t="shared" si="18"/>
        <v>0.2120410188554416</v>
      </c>
      <c r="O296" s="2">
        <f t="shared" si="19"/>
        <v>641000000</v>
      </c>
    </row>
    <row r="297" spans="1:15" x14ac:dyDescent="0.3">
      <c r="A297" t="s">
        <v>403</v>
      </c>
      <c r="B297">
        <v>2</v>
      </c>
      <c r="C297">
        <v>2013</v>
      </c>
      <c r="D297" s="1">
        <v>41639</v>
      </c>
      <c r="E297" s="2">
        <v>3100000000</v>
      </c>
      <c r="F297" s="2">
        <v>1316000000</v>
      </c>
      <c r="G297" s="2">
        <v>1054000000</v>
      </c>
      <c r="H297">
        <v>0</v>
      </c>
      <c r="I297" s="2">
        <v>122000000</v>
      </c>
      <c r="J297" t="s">
        <v>43</v>
      </c>
      <c r="K297" t="s">
        <v>375</v>
      </c>
      <c r="L297" s="37">
        <f t="shared" si="16"/>
        <v>0.5754838709677419</v>
      </c>
      <c r="M297" s="2">
        <f t="shared" si="17"/>
        <v>1784000000</v>
      </c>
      <c r="N297" s="37">
        <f t="shared" si="18"/>
        <v>0.19612903225806452</v>
      </c>
      <c r="O297" s="2">
        <f t="shared" si="19"/>
        <v>608000000</v>
      </c>
    </row>
    <row r="298" spans="1:15" x14ac:dyDescent="0.3">
      <c r="A298" t="s">
        <v>403</v>
      </c>
      <c r="B298">
        <v>3</v>
      </c>
      <c r="C298">
        <v>2014</v>
      </c>
      <c r="D298" s="1">
        <v>42004</v>
      </c>
      <c r="E298" s="2">
        <v>3383000000</v>
      </c>
      <c r="F298" s="2">
        <v>1433000000</v>
      </c>
      <c r="G298" s="2">
        <v>1095000000</v>
      </c>
      <c r="H298">
        <v>0</v>
      </c>
      <c r="I298" s="2">
        <v>137000000</v>
      </c>
      <c r="J298" t="s">
        <v>43</v>
      </c>
      <c r="K298" t="s">
        <v>375</v>
      </c>
      <c r="L298" s="37">
        <f t="shared" si="16"/>
        <v>0.57641146911025709</v>
      </c>
      <c r="M298" s="2">
        <f t="shared" si="17"/>
        <v>1950000000</v>
      </c>
      <c r="N298" s="37">
        <f t="shared" si="18"/>
        <v>0.21223765888264853</v>
      </c>
      <c r="O298" s="2">
        <f t="shared" si="19"/>
        <v>718000000</v>
      </c>
    </row>
    <row r="299" spans="1:15" x14ac:dyDescent="0.3">
      <c r="A299" t="s">
        <v>403</v>
      </c>
      <c r="B299">
        <v>4</v>
      </c>
      <c r="C299">
        <v>2015</v>
      </c>
      <c r="D299" s="1">
        <v>42369</v>
      </c>
      <c r="E299" s="2">
        <v>3292000000</v>
      </c>
      <c r="F299" s="2">
        <v>1313000000</v>
      </c>
      <c r="G299" s="2">
        <v>1050000000</v>
      </c>
      <c r="H299">
        <v>0</v>
      </c>
      <c r="I299" s="2">
        <v>138000000</v>
      </c>
      <c r="J299" t="s">
        <v>43</v>
      </c>
      <c r="K299" t="s">
        <v>375</v>
      </c>
      <c r="L299" s="37">
        <f t="shared" si="16"/>
        <v>0.6011543134872418</v>
      </c>
      <c r="M299" s="2">
        <f t="shared" si="17"/>
        <v>1979000000</v>
      </c>
      <c r="N299" s="37">
        <f t="shared" si="18"/>
        <v>0.24027946537059539</v>
      </c>
      <c r="O299" s="2">
        <f t="shared" si="19"/>
        <v>791000000</v>
      </c>
    </row>
    <row r="300" spans="1:15" x14ac:dyDescent="0.3">
      <c r="A300" t="s">
        <v>147</v>
      </c>
      <c r="B300">
        <v>1</v>
      </c>
      <c r="C300">
        <v>2012</v>
      </c>
      <c r="D300" s="1">
        <v>41274</v>
      </c>
      <c r="E300" s="2">
        <v>17085000000</v>
      </c>
      <c r="F300" s="2">
        <v>7153000000</v>
      </c>
      <c r="G300" s="2">
        <v>6043000000</v>
      </c>
      <c r="H300">
        <v>0</v>
      </c>
      <c r="I300">
        <v>0</v>
      </c>
      <c r="J300" t="s">
        <v>32</v>
      </c>
      <c r="K300" t="s">
        <v>138</v>
      </c>
      <c r="L300" s="37">
        <f t="shared" si="16"/>
        <v>0.58132865086333041</v>
      </c>
      <c r="M300" s="2">
        <f t="shared" si="17"/>
        <v>9932000000</v>
      </c>
      <c r="N300" s="37">
        <f t="shared" si="18"/>
        <v>0.2276265730172666</v>
      </c>
      <c r="O300" s="2">
        <f t="shared" si="19"/>
        <v>3889000000</v>
      </c>
    </row>
    <row r="301" spans="1:15" x14ac:dyDescent="0.3">
      <c r="A301" t="s">
        <v>147</v>
      </c>
      <c r="B301">
        <v>2</v>
      </c>
      <c r="C301">
        <v>2013</v>
      </c>
      <c r="D301" s="1">
        <v>41639</v>
      </c>
      <c r="E301" s="2">
        <v>17420000000</v>
      </c>
      <c r="F301" s="2">
        <v>7219000000</v>
      </c>
      <c r="G301" s="2">
        <v>6645000000</v>
      </c>
      <c r="H301">
        <v>0</v>
      </c>
      <c r="I301">
        <v>0</v>
      </c>
      <c r="J301" t="s">
        <v>32</v>
      </c>
      <c r="K301" t="s">
        <v>138</v>
      </c>
      <c r="L301" s="37">
        <f t="shared" si="16"/>
        <v>0.58559127439724457</v>
      </c>
      <c r="M301" s="2">
        <f t="shared" si="17"/>
        <v>10201000000</v>
      </c>
      <c r="N301" s="37">
        <f t="shared" si="18"/>
        <v>0.20413318025258323</v>
      </c>
      <c r="O301" s="2">
        <f t="shared" si="19"/>
        <v>3556000000</v>
      </c>
    </row>
    <row r="302" spans="1:15" x14ac:dyDescent="0.3">
      <c r="A302" t="s">
        <v>147</v>
      </c>
      <c r="B302">
        <v>3</v>
      </c>
      <c r="C302">
        <v>2014</v>
      </c>
      <c r="D302" s="1">
        <v>42004</v>
      </c>
      <c r="E302" s="2">
        <v>17277000000</v>
      </c>
      <c r="F302" s="2">
        <v>7168000000</v>
      </c>
      <c r="G302" s="2">
        <v>6552000000</v>
      </c>
      <c r="H302">
        <v>0</v>
      </c>
      <c r="I302">
        <v>0</v>
      </c>
      <c r="J302" t="s">
        <v>32</v>
      </c>
      <c r="K302" t="s">
        <v>138</v>
      </c>
      <c r="L302" s="37">
        <f t="shared" si="16"/>
        <v>0.58511315621925108</v>
      </c>
      <c r="M302" s="2">
        <f t="shared" si="17"/>
        <v>10109000000</v>
      </c>
      <c r="N302" s="37">
        <f t="shared" si="18"/>
        <v>0.20588065057591018</v>
      </c>
      <c r="O302" s="2">
        <f t="shared" si="19"/>
        <v>3557000000</v>
      </c>
    </row>
    <row r="303" spans="1:15" x14ac:dyDescent="0.3">
      <c r="A303" t="s">
        <v>147</v>
      </c>
      <c r="B303">
        <v>4</v>
      </c>
      <c r="C303">
        <v>2015</v>
      </c>
      <c r="D303" s="1">
        <v>42369</v>
      </c>
      <c r="E303" s="2">
        <v>16034000000</v>
      </c>
      <c r="F303" s="2">
        <v>6635000000</v>
      </c>
      <c r="G303" s="2">
        <v>6610000000</v>
      </c>
      <c r="H303">
        <v>0</v>
      </c>
      <c r="I303">
        <v>0</v>
      </c>
      <c r="J303" t="s">
        <v>32</v>
      </c>
      <c r="K303" t="s">
        <v>138</v>
      </c>
      <c r="L303" s="37">
        <f t="shared" si="16"/>
        <v>0.58619184233503807</v>
      </c>
      <c r="M303" s="2">
        <f t="shared" si="17"/>
        <v>9399000000</v>
      </c>
      <c r="N303" s="37">
        <f t="shared" si="18"/>
        <v>0.17394287139827866</v>
      </c>
      <c r="O303" s="2">
        <f t="shared" si="19"/>
        <v>2789000000</v>
      </c>
    </row>
    <row r="304" spans="1:15" x14ac:dyDescent="0.3">
      <c r="A304" t="s">
        <v>148</v>
      </c>
      <c r="B304">
        <v>1</v>
      </c>
      <c r="C304">
        <v>2013</v>
      </c>
      <c r="D304" s="1">
        <v>41455</v>
      </c>
      <c r="E304" s="2">
        <v>5533000000</v>
      </c>
      <c r="F304" s="2">
        <v>3142000000</v>
      </c>
      <c r="G304" s="2">
        <v>1291000000</v>
      </c>
      <c r="H304" s="2">
        <v>130000000</v>
      </c>
      <c r="I304">
        <v>0</v>
      </c>
      <c r="J304" t="s">
        <v>32</v>
      </c>
      <c r="K304" t="s">
        <v>138</v>
      </c>
      <c r="L304" s="37">
        <f t="shared" si="16"/>
        <v>0.43213446593168259</v>
      </c>
      <c r="M304" s="2">
        <f t="shared" si="17"/>
        <v>2391000000</v>
      </c>
      <c r="N304" s="37">
        <f t="shared" si="18"/>
        <v>0.17531176576902224</v>
      </c>
      <c r="O304" s="2">
        <f t="shared" si="19"/>
        <v>970000000</v>
      </c>
    </row>
    <row r="305" spans="1:15" x14ac:dyDescent="0.3">
      <c r="A305" t="s">
        <v>148</v>
      </c>
      <c r="B305">
        <v>2</v>
      </c>
      <c r="C305">
        <v>2014</v>
      </c>
      <c r="D305" s="1">
        <v>41820</v>
      </c>
      <c r="E305" s="2">
        <v>5514000000</v>
      </c>
      <c r="F305" s="2">
        <v>3158000000</v>
      </c>
      <c r="G305" s="2">
        <v>1254000000</v>
      </c>
      <c r="H305" s="2">
        <v>125000000</v>
      </c>
      <c r="I305">
        <v>0</v>
      </c>
      <c r="J305" t="s">
        <v>32</v>
      </c>
      <c r="K305" t="s">
        <v>138</v>
      </c>
      <c r="L305" s="37">
        <f t="shared" si="16"/>
        <v>0.42727602466449044</v>
      </c>
      <c r="M305" s="2">
        <f t="shared" si="17"/>
        <v>2356000000</v>
      </c>
      <c r="N305" s="37">
        <f t="shared" si="18"/>
        <v>0.17718534639100472</v>
      </c>
      <c r="O305" s="2">
        <f t="shared" si="19"/>
        <v>977000000</v>
      </c>
    </row>
    <row r="306" spans="1:15" x14ac:dyDescent="0.3">
      <c r="A306" t="s">
        <v>148</v>
      </c>
      <c r="B306">
        <v>3</v>
      </c>
      <c r="C306">
        <v>2015</v>
      </c>
      <c r="D306" s="1">
        <v>42185</v>
      </c>
      <c r="E306" s="2">
        <v>5655000000</v>
      </c>
      <c r="F306" s="2">
        <v>3190000000</v>
      </c>
      <c r="G306" s="2">
        <v>1321000000</v>
      </c>
      <c r="H306" s="2">
        <v>136000000</v>
      </c>
      <c r="I306">
        <v>0</v>
      </c>
      <c r="J306" t="s">
        <v>32</v>
      </c>
      <c r="K306" t="s">
        <v>138</v>
      </c>
      <c r="L306" s="37">
        <f t="shared" si="16"/>
        <v>0.4358974358974359</v>
      </c>
      <c r="M306" s="2">
        <f t="shared" si="17"/>
        <v>2465000000</v>
      </c>
      <c r="N306" s="37">
        <f t="shared" si="18"/>
        <v>0.17824933687002653</v>
      </c>
      <c r="O306" s="2">
        <f t="shared" si="19"/>
        <v>1008000000</v>
      </c>
    </row>
    <row r="307" spans="1:15" x14ac:dyDescent="0.3">
      <c r="A307" t="s">
        <v>148</v>
      </c>
      <c r="B307">
        <v>4</v>
      </c>
      <c r="C307">
        <v>2016</v>
      </c>
      <c r="D307" s="1">
        <v>42551</v>
      </c>
      <c r="E307" s="2">
        <v>5761000000</v>
      </c>
      <c r="F307" s="2">
        <v>3163000000</v>
      </c>
      <c r="G307" s="2">
        <v>1393000000</v>
      </c>
      <c r="H307" s="2">
        <v>141000000</v>
      </c>
      <c r="I307">
        <v>0</v>
      </c>
      <c r="J307" t="s">
        <v>32</v>
      </c>
      <c r="K307" t="s">
        <v>138</v>
      </c>
      <c r="L307" s="37">
        <f t="shared" si="16"/>
        <v>0.45096337441416423</v>
      </c>
      <c r="M307" s="2">
        <f t="shared" si="17"/>
        <v>2598000000</v>
      </c>
      <c r="N307" s="37">
        <f t="shared" si="18"/>
        <v>0.18469015795868773</v>
      </c>
      <c r="O307" s="2">
        <f t="shared" si="19"/>
        <v>1064000000</v>
      </c>
    </row>
    <row r="308" spans="1:15" x14ac:dyDescent="0.3">
      <c r="A308" t="s">
        <v>424</v>
      </c>
      <c r="B308">
        <v>1</v>
      </c>
      <c r="C308">
        <v>2012</v>
      </c>
      <c r="D308" s="1">
        <v>41274</v>
      </c>
      <c r="E308" s="2">
        <v>1355300000</v>
      </c>
      <c r="F308" s="2">
        <v>90800000</v>
      </c>
      <c r="G308" s="2">
        <v>803800000</v>
      </c>
      <c r="H308">
        <v>0</v>
      </c>
      <c r="I308" s="2">
        <v>76000000</v>
      </c>
      <c r="J308" t="s">
        <v>43</v>
      </c>
      <c r="K308" t="s">
        <v>425</v>
      </c>
      <c r="L308" s="37">
        <f t="shared" si="16"/>
        <v>0.93300376300450083</v>
      </c>
      <c r="M308" s="2">
        <f t="shared" si="17"/>
        <v>1264500000</v>
      </c>
      <c r="N308" s="37">
        <f t="shared" si="18"/>
        <v>0.28384859440714233</v>
      </c>
      <c r="O308" s="2">
        <f t="shared" si="19"/>
        <v>384700000</v>
      </c>
    </row>
    <row r="309" spans="1:15" x14ac:dyDescent="0.3">
      <c r="A309" t="s">
        <v>424</v>
      </c>
      <c r="B309">
        <v>2</v>
      </c>
      <c r="C309">
        <v>2013</v>
      </c>
      <c r="D309" s="1">
        <v>41639</v>
      </c>
      <c r="E309" s="2">
        <v>1346100000</v>
      </c>
      <c r="F309" s="2">
        <v>81100000</v>
      </c>
      <c r="G309" s="2">
        <v>812800000</v>
      </c>
      <c r="H309">
        <v>0</v>
      </c>
      <c r="I309" s="2">
        <v>69900000</v>
      </c>
      <c r="J309" t="s">
        <v>43</v>
      </c>
      <c r="K309" t="s">
        <v>425</v>
      </c>
      <c r="L309" s="37">
        <f t="shared" si="16"/>
        <v>0.93975187578931729</v>
      </c>
      <c r="M309" s="2">
        <f t="shared" si="17"/>
        <v>1265000000</v>
      </c>
      <c r="N309" s="37">
        <f t="shared" si="18"/>
        <v>0.28400564594012334</v>
      </c>
      <c r="O309" s="2">
        <f t="shared" si="19"/>
        <v>382300000</v>
      </c>
    </row>
    <row r="310" spans="1:15" x14ac:dyDescent="0.3">
      <c r="A310" t="s">
        <v>424</v>
      </c>
      <c r="B310">
        <v>3</v>
      </c>
      <c r="C310">
        <v>2014</v>
      </c>
      <c r="D310" s="1">
        <v>42004</v>
      </c>
      <c r="E310" s="2">
        <v>1381400000</v>
      </c>
      <c r="F310" s="2">
        <v>80900000</v>
      </c>
      <c r="G310" s="2">
        <v>816700000</v>
      </c>
      <c r="H310">
        <v>0</v>
      </c>
      <c r="I310" s="2">
        <v>65400000</v>
      </c>
      <c r="J310" t="s">
        <v>43</v>
      </c>
      <c r="K310" t="s">
        <v>425</v>
      </c>
      <c r="L310" s="37">
        <f t="shared" si="16"/>
        <v>0.94143622412045747</v>
      </c>
      <c r="M310" s="2">
        <f t="shared" si="17"/>
        <v>1300500000</v>
      </c>
      <c r="N310" s="37">
        <f t="shared" si="18"/>
        <v>0.30288113508035325</v>
      </c>
      <c r="O310" s="2">
        <f t="shared" si="19"/>
        <v>418400000</v>
      </c>
    </row>
    <row r="311" spans="1:15" x14ac:dyDescent="0.3">
      <c r="A311" t="s">
        <v>424</v>
      </c>
      <c r="B311">
        <v>4</v>
      </c>
      <c r="C311">
        <v>2015</v>
      </c>
      <c r="D311" s="1">
        <v>42369</v>
      </c>
      <c r="E311" s="2">
        <v>1421300000</v>
      </c>
      <c r="F311" s="2">
        <v>95500000</v>
      </c>
      <c r="G311" s="2">
        <v>836700000</v>
      </c>
      <c r="H311">
        <v>0</v>
      </c>
      <c r="I311" s="2">
        <v>57300000</v>
      </c>
      <c r="J311" t="s">
        <v>43</v>
      </c>
      <c r="K311" t="s">
        <v>425</v>
      </c>
      <c r="L311" s="37">
        <f t="shared" si="16"/>
        <v>0.93280799268275527</v>
      </c>
      <c r="M311" s="2">
        <f t="shared" si="17"/>
        <v>1325800000</v>
      </c>
      <c r="N311" s="37">
        <f t="shared" si="18"/>
        <v>0.30380637444592978</v>
      </c>
      <c r="O311" s="2">
        <f t="shared" si="19"/>
        <v>431800000</v>
      </c>
    </row>
    <row r="312" spans="1:15" x14ac:dyDescent="0.3">
      <c r="A312" t="s">
        <v>150</v>
      </c>
      <c r="B312">
        <v>1</v>
      </c>
      <c r="C312">
        <v>2013</v>
      </c>
      <c r="D312" s="1">
        <v>41639</v>
      </c>
      <c r="E312" s="2">
        <v>3214591000</v>
      </c>
      <c r="F312" s="2">
        <v>2359822000</v>
      </c>
      <c r="G312" s="2">
        <v>203733000</v>
      </c>
      <c r="H312">
        <v>0</v>
      </c>
      <c r="I312" s="2">
        <v>96054000</v>
      </c>
      <c r="J312" t="s">
        <v>15</v>
      </c>
      <c r="K312" t="s">
        <v>151</v>
      </c>
      <c r="L312" s="37">
        <f t="shared" si="16"/>
        <v>0.26590287846883165</v>
      </c>
      <c r="M312" s="2">
        <f t="shared" si="17"/>
        <v>854769000</v>
      </c>
      <c r="N312" s="37">
        <f t="shared" si="18"/>
        <v>0.1726446692596352</v>
      </c>
      <c r="O312" s="2">
        <f t="shared" si="19"/>
        <v>554982000</v>
      </c>
    </row>
    <row r="313" spans="1:15" x14ac:dyDescent="0.3">
      <c r="A313" t="s">
        <v>150</v>
      </c>
      <c r="B313">
        <v>2</v>
      </c>
      <c r="C313">
        <v>2014</v>
      </c>
      <c r="D313" s="1">
        <v>42004</v>
      </c>
      <c r="E313" s="2">
        <v>4108269000</v>
      </c>
      <c r="F313" s="2">
        <v>2990513000</v>
      </c>
      <c r="G313" s="2">
        <v>273897000</v>
      </c>
      <c r="H313">
        <v>0</v>
      </c>
      <c r="I313" s="2">
        <v>110474000</v>
      </c>
      <c r="J313" t="s">
        <v>15</v>
      </c>
      <c r="K313" t="s">
        <v>151</v>
      </c>
      <c r="L313" s="37">
        <f t="shared" si="16"/>
        <v>0.27207468644336585</v>
      </c>
      <c r="M313" s="2">
        <f t="shared" si="17"/>
        <v>1117756000</v>
      </c>
      <c r="N313" s="37">
        <f t="shared" si="18"/>
        <v>0.17851435726336323</v>
      </c>
      <c r="O313" s="2">
        <f t="shared" si="19"/>
        <v>733385000</v>
      </c>
    </row>
    <row r="314" spans="1:15" x14ac:dyDescent="0.3">
      <c r="A314" t="s">
        <v>150</v>
      </c>
      <c r="B314">
        <v>3</v>
      </c>
      <c r="C314">
        <v>2015</v>
      </c>
      <c r="D314" s="1">
        <v>42369</v>
      </c>
      <c r="E314" s="2">
        <v>4501223000</v>
      </c>
      <c r="F314" s="2">
        <v>3326936000</v>
      </c>
      <c r="G314" s="2">
        <v>250214000</v>
      </c>
      <c r="H314">
        <v>0</v>
      </c>
      <c r="I314" s="2">
        <v>130368000</v>
      </c>
      <c r="J314" t="s">
        <v>15</v>
      </c>
      <c r="K314" t="s">
        <v>151</v>
      </c>
      <c r="L314" s="37">
        <f t="shared" si="16"/>
        <v>0.26088176480036651</v>
      </c>
      <c r="M314" s="2">
        <f t="shared" si="17"/>
        <v>1174287000</v>
      </c>
      <c r="N314" s="37">
        <f t="shared" si="18"/>
        <v>0.17633096605078219</v>
      </c>
      <c r="O314" s="2">
        <f t="shared" si="19"/>
        <v>793705000</v>
      </c>
    </row>
    <row r="315" spans="1:15" x14ac:dyDescent="0.3">
      <c r="A315" t="s">
        <v>150</v>
      </c>
      <c r="B315">
        <v>4</v>
      </c>
      <c r="C315">
        <v>2016</v>
      </c>
      <c r="D315" s="1">
        <v>42735</v>
      </c>
      <c r="E315" s="2">
        <v>3904384000</v>
      </c>
      <c r="F315" s="2">
        <v>3406170000</v>
      </c>
      <c r="G315" s="2">
        <v>276240000</v>
      </c>
      <c r="H315">
        <v>0</v>
      </c>
      <c r="I315" s="2">
        <v>146368000</v>
      </c>
      <c r="J315" t="s">
        <v>15</v>
      </c>
      <c r="K315" t="s">
        <v>151</v>
      </c>
      <c r="L315" s="37">
        <f t="shared" si="16"/>
        <v>0.12760373979608564</v>
      </c>
      <c r="M315" s="2">
        <f t="shared" si="17"/>
        <v>498214000</v>
      </c>
      <c r="N315" s="37">
        <f t="shared" si="18"/>
        <v>1.9364386289873126E-2</v>
      </c>
      <c r="O315" s="2">
        <f t="shared" si="19"/>
        <v>75606000</v>
      </c>
    </row>
    <row r="316" spans="1:15" x14ac:dyDescent="0.3">
      <c r="A316" t="s">
        <v>152</v>
      </c>
      <c r="B316">
        <v>1</v>
      </c>
      <c r="C316">
        <v>2013</v>
      </c>
      <c r="D316" s="1">
        <v>41639</v>
      </c>
      <c r="E316" s="2">
        <v>17301000000</v>
      </c>
      <c r="F316" s="2">
        <v>13021000000</v>
      </c>
      <c r="G316" s="2">
        <v>1827000000</v>
      </c>
      <c r="H316" s="2">
        <v>713000000</v>
      </c>
      <c r="I316">
        <v>0</v>
      </c>
      <c r="J316" t="s">
        <v>12</v>
      </c>
      <c r="K316" t="s">
        <v>153</v>
      </c>
      <c r="L316" s="37">
        <f t="shared" si="16"/>
        <v>0.24738454424599732</v>
      </c>
      <c r="M316" s="2">
        <f t="shared" si="17"/>
        <v>4280000000</v>
      </c>
      <c r="N316" s="37">
        <f t="shared" si="18"/>
        <v>0.10057222125888678</v>
      </c>
      <c r="O316" s="2">
        <f t="shared" si="19"/>
        <v>1740000000</v>
      </c>
    </row>
    <row r="317" spans="1:15" x14ac:dyDescent="0.3">
      <c r="A317" t="s">
        <v>152</v>
      </c>
      <c r="B317">
        <v>2</v>
      </c>
      <c r="C317">
        <v>2014</v>
      </c>
      <c r="D317" s="1">
        <v>42004</v>
      </c>
      <c r="E317" s="2">
        <v>19221000000</v>
      </c>
      <c r="F317" s="2">
        <v>14360000000</v>
      </c>
      <c r="G317" s="2">
        <v>2112000000</v>
      </c>
      <c r="H317" s="2">
        <v>754000000</v>
      </c>
      <c r="I317">
        <v>0</v>
      </c>
      <c r="J317" t="s">
        <v>12</v>
      </c>
      <c r="K317" t="s">
        <v>153</v>
      </c>
      <c r="L317" s="37">
        <f t="shared" si="16"/>
        <v>0.25290047344050781</v>
      </c>
      <c r="M317" s="2">
        <f t="shared" si="17"/>
        <v>4861000000</v>
      </c>
      <c r="N317" s="37">
        <f t="shared" si="18"/>
        <v>0.10379272670516622</v>
      </c>
      <c r="O317" s="2">
        <f t="shared" si="19"/>
        <v>1995000000</v>
      </c>
    </row>
    <row r="318" spans="1:15" x14ac:dyDescent="0.3">
      <c r="A318" t="s">
        <v>152</v>
      </c>
      <c r="B318">
        <v>3</v>
      </c>
      <c r="C318">
        <v>2015</v>
      </c>
      <c r="D318" s="1">
        <v>42369</v>
      </c>
      <c r="E318" s="2">
        <v>19110000000</v>
      </c>
      <c r="F318" s="2">
        <v>14163000000</v>
      </c>
      <c r="G318" s="2">
        <v>2169000000</v>
      </c>
      <c r="H318" s="2">
        <v>735000000</v>
      </c>
      <c r="I318">
        <v>0</v>
      </c>
      <c r="J318" t="s">
        <v>12</v>
      </c>
      <c r="K318" t="s">
        <v>153</v>
      </c>
      <c r="L318" s="37">
        <f t="shared" si="16"/>
        <v>0.25886970172684454</v>
      </c>
      <c r="M318" s="2">
        <f t="shared" si="17"/>
        <v>4947000000</v>
      </c>
      <c r="N318" s="37">
        <f t="shared" si="18"/>
        <v>0.10690737833594977</v>
      </c>
      <c r="O318" s="2">
        <f t="shared" si="19"/>
        <v>2043000000</v>
      </c>
    </row>
    <row r="319" spans="1:15" x14ac:dyDescent="0.3">
      <c r="A319" t="s">
        <v>152</v>
      </c>
      <c r="B319">
        <v>4</v>
      </c>
      <c r="C319">
        <v>2016</v>
      </c>
      <c r="D319" s="1">
        <v>42735</v>
      </c>
      <c r="E319" s="2">
        <v>17509000000</v>
      </c>
      <c r="F319" s="2">
        <v>13057000000</v>
      </c>
      <c r="G319" s="2">
        <v>2189000000</v>
      </c>
      <c r="H319" s="2">
        <v>636000000</v>
      </c>
      <c r="I319">
        <v>0</v>
      </c>
      <c r="J319" t="s">
        <v>12</v>
      </c>
      <c r="K319" t="s">
        <v>153</v>
      </c>
      <c r="L319" s="37">
        <f t="shared" si="16"/>
        <v>0.2542692329659032</v>
      </c>
      <c r="M319" s="2">
        <f t="shared" si="17"/>
        <v>4452000000</v>
      </c>
      <c r="N319" s="37">
        <f t="shared" si="18"/>
        <v>9.2923639271231942E-2</v>
      </c>
      <c r="O319" s="2">
        <f t="shared" si="19"/>
        <v>1627000000</v>
      </c>
    </row>
    <row r="320" spans="1:15" x14ac:dyDescent="0.3">
      <c r="A320" t="s">
        <v>154</v>
      </c>
      <c r="B320">
        <v>1</v>
      </c>
      <c r="C320">
        <v>2013</v>
      </c>
      <c r="D320" s="1">
        <v>41639</v>
      </c>
      <c r="E320" s="2">
        <v>6566000000</v>
      </c>
      <c r="F320" s="2">
        <v>4562000000</v>
      </c>
      <c r="G320" s="2">
        <v>234000000</v>
      </c>
      <c r="H320">
        <v>0</v>
      </c>
      <c r="I320" s="2">
        <v>628000000</v>
      </c>
      <c r="J320" t="s">
        <v>38</v>
      </c>
      <c r="K320" t="s">
        <v>39</v>
      </c>
      <c r="L320" s="37">
        <f t="shared" si="16"/>
        <v>0.30520865062442892</v>
      </c>
      <c r="M320" s="2">
        <f t="shared" si="17"/>
        <v>2004000000</v>
      </c>
      <c r="N320" s="37">
        <f t="shared" si="18"/>
        <v>0.17392628693268353</v>
      </c>
      <c r="O320" s="2">
        <f t="shared" si="19"/>
        <v>1142000000</v>
      </c>
    </row>
    <row r="321" spans="1:15" x14ac:dyDescent="0.3">
      <c r="A321" t="s">
        <v>154</v>
      </c>
      <c r="B321">
        <v>2</v>
      </c>
      <c r="C321">
        <v>2014</v>
      </c>
      <c r="D321" s="1">
        <v>42004</v>
      </c>
      <c r="E321" s="2">
        <v>7179000000</v>
      </c>
      <c r="F321" s="2">
        <v>5090000000</v>
      </c>
      <c r="G321" s="2">
        <v>252000000</v>
      </c>
      <c r="H321">
        <v>0</v>
      </c>
      <c r="I321" s="2">
        <v>685000000</v>
      </c>
      <c r="J321" t="s">
        <v>38</v>
      </c>
      <c r="K321" t="s">
        <v>39</v>
      </c>
      <c r="L321" s="37">
        <f t="shared" si="16"/>
        <v>0.29098760273018531</v>
      </c>
      <c r="M321" s="2">
        <f t="shared" si="17"/>
        <v>2089000000</v>
      </c>
      <c r="N321" s="37">
        <f t="shared" si="18"/>
        <v>0.16046803175929794</v>
      </c>
      <c r="O321" s="2">
        <f t="shared" si="19"/>
        <v>1152000000</v>
      </c>
    </row>
    <row r="322" spans="1:15" x14ac:dyDescent="0.3">
      <c r="A322" t="s">
        <v>154</v>
      </c>
      <c r="B322">
        <v>3</v>
      </c>
      <c r="C322">
        <v>2015</v>
      </c>
      <c r="D322" s="1">
        <v>42369</v>
      </c>
      <c r="E322" s="2">
        <v>6456000000</v>
      </c>
      <c r="F322" s="2">
        <v>4281000000</v>
      </c>
      <c r="G322" s="2">
        <v>262000000</v>
      </c>
      <c r="H322">
        <v>0</v>
      </c>
      <c r="I322" s="2">
        <v>750000000</v>
      </c>
      <c r="J322" t="s">
        <v>38</v>
      </c>
      <c r="K322" t="s">
        <v>39</v>
      </c>
      <c r="L322" s="37">
        <f t="shared" ref="L322:L385" si="20">1-(F322/E322)</f>
        <v>0.33689591078066916</v>
      </c>
      <c r="M322" s="2">
        <f t="shared" ref="M322:M385" si="21">E322-F322</f>
        <v>2175000000</v>
      </c>
      <c r="N322" s="37">
        <f t="shared" ref="N322:N385" si="22">O322/E322</f>
        <v>0.18014250309789342</v>
      </c>
      <c r="O322" s="2">
        <f t="shared" ref="O322:O385" si="23">M322-SUM(G322:I322)</f>
        <v>1163000000</v>
      </c>
    </row>
    <row r="323" spans="1:15" x14ac:dyDescent="0.3">
      <c r="A323" t="s">
        <v>154</v>
      </c>
      <c r="B323">
        <v>4</v>
      </c>
      <c r="C323">
        <v>2016</v>
      </c>
      <c r="D323" s="1">
        <v>42735</v>
      </c>
      <c r="E323" s="2">
        <v>6399000000</v>
      </c>
      <c r="F323" s="2">
        <v>4010000000</v>
      </c>
      <c r="G323" s="2">
        <v>281000000</v>
      </c>
      <c r="H323">
        <v>0</v>
      </c>
      <c r="I323" s="2">
        <v>811000000</v>
      </c>
      <c r="J323" t="s">
        <v>38</v>
      </c>
      <c r="K323" t="s">
        <v>39</v>
      </c>
      <c r="L323" s="37">
        <f t="shared" si="20"/>
        <v>0.37333958431004843</v>
      </c>
      <c r="M323" s="2">
        <f t="shared" si="21"/>
        <v>2389000000</v>
      </c>
      <c r="N323" s="37">
        <f t="shared" si="22"/>
        <v>0.20268791998749805</v>
      </c>
      <c r="O323" s="2">
        <f t="shared" si="23"/>
        <v>1297000000</v>
      </c>
    </row>
    <row r="324" spans="1:15" x14ac:dyDescent="0.3">
      <c r="A324" t="s">
        <v>435</v>
      </c>
      <c r="B324">
        <v>1</v>
      </c>
      <c r="C324">
        <v>2013</v>
      </c>
      <c r="D324" s="1">
        <v>41639</v>
      </c>
      <c r="E324" s="2">
        <v>9289500000</v>
      </c>
      <c r="F324" s="2">
        <v>4683600000</v>
      </c>
      <c r="G324" s="2">
        <v>189000000</v>
      </c>
      <c r="H324">
        <v>0</v>
      </c>
      <c r="I324" s="2">
        <v>3292900000</v>
      </c>
      <c r="J324" t="s">
        <v>43</v>
      </c>
      <c r="K324" t="s">
        <v>375</v>
      </c>
      <c r="L324" s="37">
        <f t="shared" si="20"/>
        <v>0.49581785887292107</v>
      </c>
      <c r="M324" s="2">
        <f t="shared" si="21"/>
        <v>4605900000</v>
      </c>
      <c r="N324" s="37">
        <f t="shared" si="22"/>
        <v>0.12099682437160235</v>
      </c>
      <c r="O324" s="2">
        <f t="shared" si="23"/>
        <v>1124000000</v>
      </c>
    </row>
    <row r="325" spans="1:15" x14ac:dyDescent="0.3">
      <c r="A325" t="s">
        <v>435</v>
      </c>
      <c r="B325">
        <v>2</v>
      </c>
      <c r="C325">
        <v>2014</v>
      </c>
      <c r="D325" s="1">
        <v>42004</v>
      </c>
      <c r="E325" s="2">
        <v>10477600000</v>
      </c>
      <c r="F325" s="2">
        <v>5231000000</v>
      </c>
      <c r="G325" s="2">
        <v>177400000</v>
      </c>
      <c r="H325">
        <v>0</v>
      </c>
      <c r="I325" s="2">
        <v>3574300000</v>
      </c>
      <c r="J325" t="s">
        <v>43</v>
      </c>
      <c r="K325" t="s">
        <v>375</v>
      </c>
      <c r="L325" s="37">
        <f t="shared" si="20"/>
        <v>0.50074444529281514</v>
      </c>
      <c r="M325" s="2">
        <f t="shared" si="21"/>
        <v>5246600000</v>
      </c>
      <c r="N325" s="37">
        <f t="shared" si="22"/>
        <v>0.14267580361914942</v>
      </c>
      <c r="O325" s="2">
        <f t="shared" si="23"/>
        <v>1494900000</v>
      </c>
    </row>
    <row r="326" spans="1:15" x14ac:dyDescent="0.3">
      <c r="A326" t="s">
        <v>435</v>
      </c>
      <c r="B326">
        <v>3</v>
      </c>
      <c r="C326">
        <v>2015</v>
      </c>
      <c r="D326" s="1">
        <v>42369</v>
      </c>
      <c r="E326" s="2">
        <v>11964400000</v>
      </c>
      <c r="F326" s="2">
        <v>6697700000</v>
      </c>
      <c r="G326" s="2">
        <v>163500000</v>
      </c>
      <c r="H326">
        <v>0</v>
      </c>
      <c r="I326" s="2">
        <v>3672400000</v>
      </c>
      <c r="J326" t="s">
        <v>43</v>
      </c>
      <c r="K326" t="s">
        <v>375</v>
      </c>
      <c r="L326" s="37">
        <f t="shared" si="20"/>
        <v>0.44019758617231119</v>
      </c>
      <c r="M326" s="2">
        <f t="shared" si="21"/>
        <v>5266700000</v>
      </c>
      <c r="N326" s="37">
        <f t="shared" si="22"/>
        <v>0.11958811139714487</v>
      </c>
      <c r="O326" s="2">
        <f t="shared" si="23"/>
        <v>1430800000</v>
      </c>
    </row>
    <row r="327" spans="1:15" x14ac:dyDescent="0.3">
      <c r="A327" t="s">
        <v>435</v>
      </c>
      <c r="B327">
        <v>4</v>
      </c>
      <c r="C327">
        <v>2016</v>
      </c>
      <c r="D327" s="1">
        <v>42735</v>
      </c>
      <c r="E327" s="2">
        <v>12394100000</v>
      </c>
      <c r="F327" s="2">
        <v>6913200000</v>
      </c>
      <c r="G327" s="2">
        <v>156600000</v>
      </c>
      <c r="H327">
        <v>0</v>
      </c>
      <c r="I327" s="2">
        <v>3732600000</v>
      </c>
      <c r="J327" t="s">
        <v>43</v>
      </c>
      <c r="K327" t="s">
        <v>375</v>
      </c>
      <c r="L327" s="37">
        <f t="shared" si="20"/>
        <v>0.44221847491951816</v>
      </c>
      <c r="M327" s="2">
        <f t="shared" si="21"/>
        <v>5480900000</v>
      </c>
      <c r="N327" s="37">
        <f t="shared" si="22"/>
        <v>0.12842400819744879</v>
      </c>
      <c r="O327" s="2">
        <f t="shared" si="23"/>
        <v>1591700000</v>
      </c>
    </row>
    <row r="328" spans="1:15" x14ac:dyDescent="0.3">
      <c r="A328" t="s">
        <v>156</v>
      </c>
      <c r="B328">
        <v>1</v>
      </c>
      <c r="C328">
        <v>2012</v>
      </c>
      <c r="D328" s="1">
        <v>41274</v>
      </c>
      <c r="E328" s="2">
        <v>7452000000</v>
      </c>
      <c r="F328" s="2">
        <v>4747000000</v>
      </c>
      <c r="G328" s="2">
        <v>365000000</v>
      </c>
      <c r="H328">
        <v>0</v>
      </c>
      <c r="I328" s="2">
        <v>1050000000</v>
      </c>
      <c r="J328" t="s">
        <v>38</v>
      </c>
      <c r="K328" t="s">
        <v>39</v>
      </c>
      <c r="L328" s="37">
        <f t="shared" si="20"/>
        <v>0.36298980139559844</v>
      </c>
      <c r="M328" s="2">
        <f t="shared" si="21"/>
        <v>2705000000</v>
      </c>
      <c r="N328" s="37">
        <f t="shared" si="22"/>
        <v>0.17310789049919484</v>
      </c>
      <c r="O328" s="2">
        <f t="shared" si="23"/>
        <v>1290000000</v>
      </c>
    </row>
    <row r="329" spans="1:15" x14ac:dyDescent="0.3">
      <c r="A329" t="s">
        <v>156</v>
      </c>
      <c r="B329">
        <v>2</v>
      </c>
      <c r="C329">
        <v>2013</v>
      </c>
      <c r="D329" s="1">
        <v>41639</v>
      </c>
      <c r="E329" s="2">
        <v>8106000000</v>
      </c>
      <c r="F329" s="2">
        <v>5755000000</v>
      </c>
      <c r="G329" s="2">
        <v>387000000</v>
      </c>
      <c r="H329">
        <v>0</v>
      </c>
      <c r="I329" s="2">
        <v>954000000</v>
      </c>
      <c r="J329" t="s">
        <v>38</v>
      </c>
      <c r="K329" t="s">
        <v>39</v>
      </c>
      <c r="L329" s="37">
        <f t="shared" si="20"/>
        <v>0.29003207500616823</v>
      </c>
      <c r="M329" s="2">
        <f t="shared" si="21"/>
        <v>2351000000</v>
      </c>
      <c r="N329" s="37">
        <f t="shared" si="22"/>
        <v>0.12459906242289662</v>
      </c>
      <c r="O329" s="2">
        <f t="shared" si="23"/>
        <v>1010000000</v>
      </c>
    </row>
    <row r="330" spans="1:15" x14ac:dyDescent="0.3">
      <c r="A330" t="s">
        <v>156</v>
      </c>
      <c r="B330">
        <v>3</v>
      </c>
      <c r="C330">
        <v>2014</v>
      </c>
      <c r="D330" s="1">
        <v>42004</v>
      </c>
      <c r="E330" s="2">
        <v>9226000000</v>
      </c>
      <c r="F330" s="2">
        <v>6890000000</v>
      </c>
      <c r="G330" s="2">
        <v>388000000</v>
      </c>
      <c r="H330">
        <v>0</v>
      </c>
      <c r="I330" s="2">
        <v>1013000000</v>
      </c>
      <c r="J330" t="s">
        <v>38</v>
      </c>
      <c r="K330" t="s">
        <v>39</v>
      </c>
      <c r="L330" s="37">
        <f t="shared" si="20"/>
        <v>0.2531974853674398</v>
      </c>
      <c r="M330" s="2">
        <f t="shared" si="21"/>
        <v>2336000000</v>
      </c>
      <c r="N330" s="37">
        <f t="shared" si="22"/>
        <v>0.10134402774766962</v>
      </c>
      <c r="O330" s="2">
        <f t="shared" si="23"/>
        <v>935000000</v>
      </c>
    </row>
    <row r="331" spans="1:15" x14ac:dyDescent="0.3">
      <c r="A331" t="s">
        <v>156</v>
      </c>
      <c r="B331">
        <v>4</v>
      </c>
      <c r="C331">
        <v>2015</v>
      </c>
      <c r="D331" s="1">
        <v>42369</v>
      </c>
      <c r="E331" s="2">
        <v>7386000000</v>
      </c>
      <c r="F331" s="2">
        <v>5109000000</v>
      </c>
      <c r="G331" s="2">
        <v>374000000</v>
      </c>
      <c r="H331">
        <v>0</v>
      </c>
      <c r="I331" s="2">
        <v>970000000</v>
      </c>
      <c r="J331" t="s">
        <v>38</v>
      </c>
      <c r="K331" t="s">
        <v>39</v>
      </c>
      <c r="L331" s="37">
        <f t="shared" si="20"/>
        <v>0.3082859463850528</v>
      </c>
      <c r="M331" s="2">
        <f t="shared" si="21"/>
        <v>2277000000</v>
      </c>
      <c r="N331" s="37">
        <f t="shared" si="22"/>
        <v>0.12632006498781478</v>
      </c>
      <c r="O331" s="2">
        <f t="shared" si="23"/>
        <v>933000000</v>
      </c>
    </row>
    <row r="332" spans="1:15" x14ac:dyDescent="0.3">
      <c r="A332" t="s">
        <v>437</v>
      </c>
      <c r="B332">
        <v>1</v>
      </c>
      <c r="C332">
        <v>2012</v>
      </c>
      <c r="D332" s="1">
        <v>41274</v>
      </c>
      <c r="E332" s="2">
        <v>17083900000</v>
      </c>
      <c r="F332" s="2">
        <v>15590900000</v>
      </c>
      <c r="G332" s="2">
        <v>15400000</v>
      </c>
      <c r="H332">
        <v>0</v>
      </c>
      <c r="I332" s="2">
        <v>36100000</v>
      </c>
      <c r="J332" t="s">
        <v>43</v>
      </c>
      <c r="K332" t="s">
        <v>46</v>
      </c>
      <c r="L332" s="37">
        <f t="shared" si="20"/>
        <v>8.7392223087234155E-2</v>
      </c>
      <c r="M332" s="2">
        <f t="shared" si="21"/>
        <v>1493000000</v>
      </c>
      <c r="N332" s="37">
        <f t="shared" si="22"/>
        <v>8.4377688935196302E-2</v>
      </c>
      <c r="O332" s="2">
        <f t="shared" si="23"/>
        <v>1441500000</v>
      </c>
    </row>
    <row r="333" spans="1:15" x14ac:dyDescent="0.3">
      <c r="A333" t="s">
        <v>437</v>
      </c>
      <c r="B333">
        <v>2</v>
      </c>
      <c r="C333">
        <v>2013</v>
      </c>
      <c r="D333" s="1">
        <v>41639</v>
      </c>
      <c r="E333" s="2">
        <v>18170900000</v>
      </c>
      <c r="F333" s="2">
        <v>16275100000</v>
      </c>
      <c r="G333" s="2">
        <v>18800000</v>
      </c>
      <c r="H333">
        <v>0</v>
      </c>
      <c r="I333" s="2">
        <v>38800000</v>
      </c>
      <c r="J333" t="s">
        <v>43</v>
      </c>
      <c r="K333" t="s">
        <v>46</v>
      </c>
      <c r="L333" s="37">
        <f t="shared" si="20"/>
        <v>0.10433165115651954</v>
      </c>
      <c r="M333" s="2">
        <f t="shared" si="21"/>
        <v>1895800000</v>
      </c>
      <c r="N333" s="37">
        <f t="shared" si="22"/>
        <v>0.10116174762945149</v>
      </c>
      <c r="O333" s="2">
        <f t="shared" si="23"/>
        <v>1838200000</v>
      </c>
    </row>
    <row r="334" spans="1:15" x14ac:dyDescent="0.3">
      <c r="A334" t="s">
        <v>437</v>
      </c>
      <c r="B334">
        <v>3</v>
      </c>
      <c r="C334">
        <v>2014</v>
      </c>
      <c r="D334" s="1">
        <v>42004</v>
      </c>
      <c r="E334" s="2">
        <v>19391400000</v>
      </c>
      <c r="F334" s="2">
        <v>17297300000</v>
      </c>
      <c r="G334" s="2">
        <v>18900000</v>
      </c>
      <c r="H334">
        <v>0</v>
      </c>
      <c r="I334" s="2">
        <v>50900000</v>
      </c>
      <c r="J334" t="s">
        <v>43</v>
      </c>
      <c r="K334" t="s">
        <v>46</v>
      </c>
      <c r="L334" s="37">
        <f t="shared" si="20"/>
        <v>0.10799117134399783</v>
      </c>
      <c r="M334" s="2">
        <f t="shared" si="21"/>
        <v>2094100000</v>
      </c>
      <c r="N334" s="37">
        <f t="shared" si="22"/>
        <v>0.10439163753003909</v>
      </c>
      <c r="O334" s="2">
        <f t="shared" si="23"/>
        <v>2024300000</v>
      </c>
    </row>
    <row r="335" spans="1:15" x14ac:dyDescent="0.3">
      <c r="A335" t="s">
        <v>437</v>
      </c>
      <c r="B335">
        <v>4</v>
      </c>
      <c r="C335">
        <v>2015</v>
      </c>
      <c r="D335" s="1">
        <v>42369</v>
      </c>
      <c r="E335" s="2">
        <v>20853800000</v>
      </c>
      <c r="F335" s="2">
        <v>18705900000</v>
      </c>
      <c r="G335" s="2">
        <v>22800000</v>
      </c>
      <c r="H335">
        <v>0</v>
      </c>
      <c r="I335" s="2">
        <v>77500000</v>
      </c>
      <c r="J335" t="s">
        <v>43</v>
      </c>
      <c r="K335" t="s">
        <v>46</v>
      </c>
      <c r="L335" s="37">
        <f t="shared" si="20"/>
        <v>0.10299801475030934</v>
      </c>
      <c r="M335" s="2">
        <f t="shared" si="21"/>
        <v>2147900000</v>
      </c>
      <c r="N335" s="37">
        <f t="shared" si="22"/>
        <v>9.8188339775005032E-2</v>
      </c>
      <c r="O335" s="2">
        <f t="shared" si="23"/>
        <v>2047600000</v>
      </c>
    </row>
    <row r="336" spans="1:15" x14ac:dyDescent="0.3">
      <c r="A336" t="s">
        <v>158</v>
      </c>
      <c r="B336">
        <v>1</v>
      </c>
      <c r="C336">
        <v>2012</v>
      </c>
      <c r="D336" s="1">
        <v>41274</v>
      </c>
      <c r="E336" s="2">
        <v>1204546000</v>
      </c>
      <c r="F336" s="2">
        <v>290054000</v>
      </c>
      <c r="G336" s="2">
        <v>170113000</v>
      </c>
      <c r="H336">
        <v>0</v>
      </c>
      <c r="I336" s="2">
        <v>451405000</v>
      </c>
      <c r="J336" t="s">
        <v>79</v>
      </c>
      <c r="K336" t="s">
        <v>80</v>
      </c>
      <c r="L336" s="37">
        <f t="shared" si="20"/>
        <v>0.75920056187144369</v>
      </c>
      <c r="M336" s="2">
        <f t="shared" si="21"/>
        <v>914492000</v>
      </c>
      <c r="N336" s="37">
        <f t="shared" si="22"/>
        <v>0.2432235879742243</v>
      </c>
      <c r="O336" s="2">
        <f t="shared" si="23"/>
        <v>292974000</v>
      </c>
    </row>
    <row r="337" spans="1:15" x14ac:dyDescent="0.3">
      <c r="A337" t="s">
        <v>158</v>
      </c>
      <c r="B337">
        <v>2</v>
      </c>
      <c r="C337">
        <v>2013</v>
      </c>
      <c r="D337" s="1">
        <v>41639</v>
      </c>
      <c r="E337" s="2">
        <v>1746278000</v>
      </c>
      <c r="F337" s="2">
        <v>400281000</v>
      </c>
      <c r="G337" s="2">
        <v>147651000</v>
      </c>
      <c r="H337">
        <v>0</v>
      </c>
      <c r="I337" s="2">
        <v>651052000</v>
      </c>
      <c r="J337" t="s">
        <v>79</v>
      </c>
      <c r="K337" t="s">
        <v>80</v>
      </c>
      <c r="L337" s="37">
        <f t="shared" si="20"/>
        <v>0.77078048283263034</v>
      </c>
      <c r="M337" s="2">
        <f t="shared" si="21"/>
        <v>1345997000</v>
      </c>
      <c r="N337" s="37">
        <f t="shared" si="22"/>
        <v>0.31340599835764982</v>
      </c>
      <c r="O337" s="2">
        <f t="shared" si="23"/>
        <v>547294000</v>
      </c>
    </row>
    <row r="338" spans="1:15" x14ac:dyDescent="0.3">
      <c r="A338" t="s">
        <v>158</v>
      </c>
      <c r="B338">
        <v>3</v>
      </c>
      <c r="C338">
        <v>2014</v>
      </c>
      <c r="D338" s="1">
        <v>42004</v>
      </c>
      <c r="E338" s="2">
        <v>2173011000</v>
      </c>
      <c r="F338" s="2">
        <v>524880000</v>
      </c>
      <c r="G338" s="2">
        <v>129602000</v>
      </c>
      <c r="H338">
        <v>0</v>
      </c>
      <c r="I338" s="2">
        <v>632760000</v>
      </c>
      <c r="J338" t="s">
        <v>79</v>
      </c>
      <c r="K338" t="s">
        <v>80</v>
      </c>
      <c r="L338" s="37">
        <f t="shared" si="20"/>
        <v>0.75845497330662381</v>
      </c>
      <c r="M338" s="2">
        <f t="shared" si="21"/>
        <v>1648131000</v>
      </c>
      <c r="N338" s="37">
        <f t="shared" si="22"/>
        <v>0.40762287903742778</v>
      </c>
      <c r="O338" s="2">
        <f t="shared" si="23"/>
        <v>885769000</v>
      </c>
    </row>
    <row r="339" spans="1:15" x14ac:dyDescent="0.3">
      <c r="A339" t="s">
        <v>158</v>
      </c>
      <c r="B339">
        <v>4</v>
      </c>
      <c r="C339">
        <v>2015</v>
      </c>
      <c r="D339" s="1">
        <v>42369</v>
      </c>
      <c r="E339" s="2">
        <v>1357150000</v>
      </c>
      <c r="F339" s="2">
        <v>580994000</v>
      </c>
      <c r="G339" s="2">
        <v>112253000</v>
      </c>
      <c r="H339">
        <v>0</v>
      </c>
      <c r="I339" s="2">
        <v>622211000</v>
      </c>
      <c r="J339" t="s">
        <v>79</v>
      </c>
      <c r="K339" t="s">
        <v>80</v>
      </c>
      <c r="L339" s="37">
        <f t="shared" si="20"/>
        <v>0.57190141104520498</v>
      </c>
      <c r="M339" s="2">
        <f t="shared" si="21"/>
        <v>776156000</v>
      </c>
      <c r="N339" s="37">
        <f t="shared" si="22"/>
        <v>3.0720259367055962E-2</v>
      </c>
      <c r="O339" s="2">
        <f t="shared" si="23"/>
        <v>41692000</v>
      </c>
    </row>
    <row r="340" spans="1:15" x14ac:dyDescent="0.3">
      <c r="A340" t="s">
        <v>159</v>
      </c>
      <c r="B340">
        <v>1</v>
      </c>
      <c r="C340">
        <v>2013</v>
      </c>
      <c r="D340" s="1">
        <v>41547</v>
      </c>
      <c r="E340" s="2">
        <v>4474000000</v>
      </c>
      <c r="F340" s="2">
        <v>3103000000</v>
      </c>
      <c r="G340" s="2">
        <v>495000000</v>
      </c>
      <c r="H340">
        <v>0</v>
      </c>
      <c r="I340">
        <v>0</v>
      </c>
      <c r="J340" t="s">
        <v>12</v>
      </c>
      <c r="K340" t="s">
        <v>160</v>
      </c>
      <c r="L340" s="37">
        <f t="shared" si="20"/>
        <v>0.3064371926687528</v>
      </c>
      <c r="M340" s="2">
        <f t="shared" si="21"/>
        <v>1371000000</v>
      </c>
      <c r="N340" s="37">
        <f t="shared" si="22"/>
        <v>0.19579794367456416</v>
      </c>
      <c r="O340" s="2">
        <f t="shared" si="23"/>
        <v>876000000</v>
      </c>
    </row>
    <row r="341" spans="1:15" x14ac:dyDescent="0.3">
      <c r="A341" t="s">
        <v>159</v>
      </c>
      <c r="B341">
        <v>2</v>
      </c>
      <c r="C341">
        <v>2014</v>
      </c>
      <c r="D341" s="1">
        <v>41912</v>
      </c>
      <c r="E341" s="2">
        <v>4979000000</v>
      </c>
      <c r="F341" s="2">
        <v>3469000000</v>
      </c>
      <c r="G341" s="2">
        <v>594000000</v>
      </c>
      <c r="H341">
        <v>0</v>
      </c>
      <c r="I341">
        <v>0</v>
      </c>
      <c r="J341" t="s">
        <v>12</v>
      </c>
      <c r="K341" t="s">
        <v>160</v>
      </c>
      <c r="L341" s="37">
        <f t="shared" si="20"/>
        <v>0.30327374974894561</v>
      </c>
      <c r="M341" s="2">
        <f t="shared" si="21"/>
        <v>1510000000</v>
      </c>
      <c r="N341" s="37">
        <f t="shared" si="22"/>
        <v>0.18397268527816832</v>
      </c>
      <c r="O341" s="2">
        <f t="shared" si="23"/>
        <v>916000000</v>
      </c>
    </row>
    <row r="342" spans="1:15" x14ac:dyDescent="0.3">
      <c r="A342" t="s">
        <v>159</v>
      </c>
      <c r="B342">
        <v>3</v>
      </c>
      <c r="C342">
        <v>2015</v>
      </c>
      <c r="D342" s="1">
        <v>42277</v>
      </c>
      <c r="E342" s="2">
        <v>5244000000</v>
      </c>
      <c r="F342" s="2">
        <v>3630000000</v>
      </c>
      <c r="G342" s="2">
        <v>606000000</v>
      </c>
      <c r="H342">
        <v>0</v>
      </c>
      <c r="I342">
        <v>0</v>
      </c>
      <c r="J342" t="s">
        <v>12</v>
      </c>
      <c r="K342" t="s">
        <v>160</v>
      </c>
      <c r="L342" s="37">
        <f t="shared" si="20"/>
        <v>0.30778032036613268</v>
      </c>
      <c r="M342" s="2">
        <f t="shared" si="21"/>
        <v>1614000000</v>
      </c>
      <c r="N342" s="37">
        <f t="shared" si="22"/>
        <v>0.19221967963386727</v>
      </c>
      <c r="O342" s="2">
        <f t="shared" si="23"/>
        <v>1008000000</v>
      </c>
    </row>
    <row r="343" spans="1:15" x14ac:dyDescent="0.3">
      <c r="A343" t="s">
        <v>159</v>
      </c>
      <c r="B343">
        <v>4</v>
      </c>
      <c r="C343">
        <v>2016</v>
      </c>
      <c r="D343" s="1">
        <v>42643</v>
      </c>
      <c r="E343" s="2">
        <v>5259000000</v>
      </c>
      <c r="F343" s="2">
        <v>3642000000</v>
      </c>
      <c r="G343" s="2">
        <v>638000000</v>
      </c>
      <c r="H343">
        <v>0</v>
      </c>
      <c r="I343">
        <v>0</v>
      </c>
      <c r="J343" t="s">
        <v>12</v>
      </c>
      <c r="K343" t="s">
        <v>160</v>
      </c>
      <c r="L343" s="37">
        <f t="shared" si="20"/>
        <v>0.30747290359383916</v>
      </c>
      <c r="M343" s="2">
        <f t="shared" si="21"/>
        <v>1617000000</v>
      </c>
      <c r="N343" s="37">
        <f t="shared" si="22"/>
        <v>0.18615706408062369</v>
      </c>
      <c r="O343" s="2">
        <f t="shared" si="23"/>
        <v>979000000</v>
      </c>
    </row>
    <row r="344" spans="1:15" x14ac:dyDescent="0.3">
      <c r="A344" t="s">
        <v>442</v>
      </c>
      <c r="B344">
        <v>1</v>
      </c>
      <c r="C344">
        <v>2012</v>
      </c>
      <c r="D344" s="1">
        <v>41274</v>
      </c>
      <c r="E344" s="2">
        <v>16606000000</v>
      </c>
      <c r="F344" s="2">
        <v>386000000</v>
      </c>
      <c r="G344" s="2">
        <v>10486000000</v>
      </c>
      <c r="H344">
        <v>0</v>
      </c>
      <c r="I344" s="2">
        <v>987000000</v>
      </c>
      <c r="J344" t="s">
        <v>43</v>
      </c>
      <c r="K344" t="s">
        <v>101</v>
      </c>
      <c r="L344" s="37">
        <f t="shared" si="20"/>
        <v>0.97675538961821029</v>
      </c>
      <c r="M344" s="2">
        <f t="shared" si="21"/>
        <v>16220000000</v>
      </c>
      <c r="N344" s="37">
        <f t="shared" si="22"/>
        <v>0.28586053233770925</v>
      </c>
      <c r="O344" s="2">
        <f t="shared" si="23"/>
        <v>4747000000</v>
      </c>
    </row>
    <row r="345" spans="1:15" x14ac:dyDescent="0.3">
      <c r="A345" t="s">
        <v>442</v>
      </c>
      <c r="B345">
        <v>2</v>
      </c>
      <c r="C345">
        <v>2013</v>
      </c>
      <c r="D345" s="1">
        <v>41639</v>
      </c>
      <c r="E345" s="2">
        <v>16872000000</v>
      </c>
      <c r="F345" s="2">
        <v>344000000</v>
      </c>
      <c r="G345" s="2">
        <v>9681000000</v>
      </c>
      <c r="H345">
        <v>0</v>
      </c>
      <c r="I345" s="2">
        <v>643000000</v>
      </c>
      <c r="J345" t="s">
        <v>43</v>
      </c>
      <c r="K345" t="s">
        <v>101</v>
      </c>
      <c r="L345" s="37">
        <f t="shared" si="20"/>
        <v>0.97961119013750597</v>
      </c>
      <c r="M345" s="2">
        <f t="shared" si="21"/>
        <v>16528000000</v>
      </c>
      <c r="N345" s="37">
        <f t="shared" si="22"/>
        <v>0.36770981507823614</v>
      </c>
      <c r="O345" s="2">
        <f t="shared" si="23"/>
        <v>6204000000</v>
      </c>
    </row>
    <row r="346" spans="1:15" x14ac:dyDescent="0.3">
      <c r="A346" t="s">
        <v>442</v>
      </c>
      <c r="B346">
        <v>3</v>
      </c>
      <c r="C346">
        <v>2014</v>
      </c>
      <c r="D346" s="1">
        <v>42004</v>
      </c>
      <c r="E346" s="2">
        <v>16281000000</v>
      </c>
      <c r="F346" s="2">
        <v>325000000</v>
      </c>
      <c r="G346" s="2">
        <v>9488000000</v>
      </c>
      <c r="H346">
        <v>0</v>
      </c>
      <c r="I346" s="2">
        <v>273000000</v>
      </c>
      <c r="J346" t="s">
        <v>43</v>
      </c>
      <c r="K346" t="s">
        <v>101</v>
      </c>
      <c r="L346" s="37">
        <f t="shared" si="20"/>
        <v>0.98003808119894353</v>
      </c>
      <c r="M346" s="2">
        <f t="shared" si="21"/>
        <v>15956000000</v>
      </c>
      <c r="N346" s="37">
        <f t="shared" si="22"/>
        <v>0.38050488299244517</v>
      </c>
      <c r="O346" s="2">
        <f t="shared" si="23"/>
        <v>6195000000</v>
      </c>
    </row>
    <row r="347" spans="1:15" x14ac:dyDescent="0.3">
      <c r="A347" t="s">
        <v>442</v>
      </c>
      <c r="B347">
        <v>4</v>
      </c>
      <c r="C347">
        <v>2015</v>
      </c>
      <c r="D347" s="1">
        <v>42369</v>
      </c>
      <c r="E347" s="2">
        <v>16270000000</v>
      </c>
      <c r="F347" s="2">
        <v>403000000</v>
      </c>
      <c r="G347" s="2">
        <v>9463000000</v>
      </c>
      <c r="H347">
        <v>0</v>
      </c>
      <c r="I347" s="2">
        <v>255000000</v>
      </c>
      <c r="J347" t="s">
        <v>43</v>
      </c>
      <c r="K347" t="s">
        <v>101</v>
      </c>
      <c r="L347" s="37">
        <f t="shared" si="20"/>
        <v>0.97523048555623848</v>
      </c>
      <c r="M347" s="2">
        <f t="shared" si="21"/>
        <v>15867000000</v>
      </c>
      <c r="N347" s="37">
        <f t="shared" si="22"/>
        <v>0.37793484941610328</v>
      </c>
      <c r="O347" s="2">
        <f t="shared" si="23"/>
        <v>6149000000</v>
      </c>
    </row>
    <row r="348" spans="1:15" x14ac:dyDescent="0.3">
      <c r="A348" t="s">
        <v>163</v>
      </c>
      <c r="B348">
        <v>1</v>
      </c>
      <c r="C348">
        <v>2013</v>
      </c>
      <c r="D348" s="1">
        <v>41518</v>
      </c>
      <c r="E348" s="2">
        <v>105156000000</v>
      </c>
      <c r="F348" s="2">
        <v>91948000000</v>
      </c>
      <c r="G348" s="2">
        <v>10104000000</v>
      </c>
      <c r="H348">
        <v>0</v>
      </c>
      <c r="I348">
        <v>0</v>
      </c>
      <c r="J348" t="s">
        <v>32</v>
      </c>
      <c r="K348" t="s">
        <v>164</v>
      </c>
      <c r="L348" s="37">
        <f t="shared" si="20"/>
        <v>0.12560386473429952</v>
      </c>
      <c r="M348" s="2">
        <f t="shared" si="21"/>
        <v>13208000000</v>
      </c>
      <c r="N348" s="37">
        <f t="shared" si="22"/>
        <v>2.9518049374263E-2</v>
      </c>
      <c r="O348" s="2">
        <f t="shared" si="23"/>
        <v>3104000000</v>
      </c>
    </row>
    <row r="349" spans="1:15" x14ac:dyDescent="0.3">
      <c r="A349" t="s">
        <v>163</v>
      </c>
      <c r="B349">
        <v>2</v>
      </c>
      <c r="C349">
        <v>2014</v>
      </c>
      <c r="D349" s="1">
        <v>41882</v>
      </c>
      <c r="E349" s="2">
        <v>112640000000</v>
      </c>
      <c r="F349" s="2">
        <v>98458000000</v>
      </c>
      <c r="G349" s="2">
        <v>10899000000</v>
      </c>
      <c r="H349">
        <v>0</v>
      </c>
      <c r="I349">
        <v>0</v>
      </c>
      <c r="J349" t="s">
        <v>32</v>
      </c>
      <c r="K349" t="s">
        <v>164</v>
      </c>
      <c r="L349" s="37">
        <f t="shared" si="20"/>
        <v>0.12590553977272723</v>
      </c>
      <c r="M349" s="2">
        <f t="shared" si="21"/>
        <v>14182000000</v>
      </c>
      <c r="N349" s="37">
        <f t="shared" si="22"/>
        <v>2.9145951704545453E-2</v>
      </c>
      <c r="O349" s="2">
        <f t="shared" si="23"/>
        <v>3283000000</v>
      </c>
    </row>
    <row r="350" spans="1:15" x14ac:dyDescent="0.3">
      <c r="A350" t="s">
        <v>163</v>
      </c>
      <c r="B350">
        <v>3</v>
      </c>
      <c r="C350">
        <v>2015</v>
      </c>
      <c r="D350" s="1">
        <v>42246</v>
      </c>
      <c r="E350" s="2">
        <v>116199000000</v>
      </c>
      <c r="F350" s="2">
        <v>101065000000</v>
      </c>
      <c r="G350" s="2">
        <v>11445000000</v>
      </c>
      <c r="H350">
        <v>0</v>
      </c>
      <c r="I350">
        <v>0</v>
      </c>
      <c r="J350" t="s">
        <v>32</v>
      </c>
      <c r="K350" t="s">
        <v>164</v>
      </c>
      <c r="L350" s="37">
        <f t="shared" si="20"/>
        <v>0.13024208469952414</v>
      </c>
      <c r="M350" s="2">
        <f t="shared" si="21"/>
        <v>15134000000</v>
      </c>
      <c r="N350" s="37">
        <f t="shared" si="22"/>
        <v>3.1747261164037553E-2</v>
      </c>
      <c r="O350" s="2">
        <f t="shared" si="23"/>
        <v>3689000000</v>
      </c>
    </row>
    <row r="351" spans="1:15" x14ac:dyDescent="0.3">
      <c r="A351" t="s">
        <v>163</v>
      </c>
      <c r="B351">
        <v>4</v>
      </c>
      <c r="C351">
        <v>2016</v>
      </c>
      <c r="D351" s="1">
        <v>42610</v>
      </c>
      <c r="E351" s="2">
        <v>118719000000</v>
      </c>
      <c r="F351" s="2">
        <v>102901000000</v>
      </c>
      <c r="G351" s="2">
        <v>12068000000</v>
      </c>
      <c r="H351">
        <v>0</v>
      </c>
      <c r="I351">
        <v>0</v>
      </c>
      <c r="J351" t="s">
        <v>32</v>
      </c>
      <c r="K351" t="s">
        <v>164</v>
      </c>
      <c r="L351" s="37">
        <f t="shared" si="20"/>
        <v>0.13323899291604546</v>
      </c>
      <c r="M351" s="2">
        <f t="shared" si="21"/>
        <v>15818000000</v>
      </c>
      <c r="N351" s="37">
        <f t="shared" si="22"/>
        <v>3.1587193288353167E-2</v>
      </c>
      <c r="O351" s="2">
        <f t="shared" si="23"/>
        <v>3750000000</v>
      </c>
    </row>
    <row r="352" spans="1:15" x14ac:dyDescent="0.3">
      <c r="A352" t="s">
        <v>165</v>
      </c>
      <c r="B352">
        <v>1</v>
      </c>
      <c r="C352">
        <v>2003</v>
      </c>
      <c r="D352" s="1">
        <v>37802</v>
      </c>
      <c r="E352" s="2">
        <v>1577000</v>
      </c>
      <c r="F352" s="2">
        <v>258000</v>
      </c>
      <c r="G352" s="2">
        <v>2410000</v>
      </c>
      <c r="H352" s="2">
        <v>65000</v>
      </c>
      <c r="I352">
        <v>0</v>
      </c>
      <c r="J352" t="s">
        <v>32</v>
      </c>
      <c r="K352" t="s">
        <v>166</v>
      </c>
      <c r="L352" s="37">
        <f t="shared" si="20"/>
        <v>0.83639822447685486</v>
      </c>
      <c r="M352" s="2">
        <f t="shared" si="21"/>
        <v>1319000</v>
      </c>
      <c r="N352" s="37">
        <f t="shared" si="22"/>
        <v>-0.73303741280913126</v>
      </c>
      <c r="O352" s="2">
        <f t="shared" si="23"/>
        <v>-1156000</v>
      </c>
    </row>
    <row r="353" spans="1:15" x14ac:dyDescent="0.3">
      <c r="A353" t="s">
        <v>165</v>
      </c>
      <c r="B353">
        <v>2</v>
      </c>
      <c r="C353">
        <v>2004</v>
      </c>
      <c r="D353" s="1">
        <v>38168</v>
      </c>
      <c r="E353" s="2">
        <v>1514000</v>
      </c>
      <c r="F353" s="2">
        <v>142000</v>
      </c>
      <c r="G353" s="2">
        <v>3940000</v>
      </c>
      <c r="H353" s="2">
        <v>30000</v>
      </c>
      <c r="I353" s="2">
        <v>163000</v>
      </c>
      <c r="J353" t="s">
        <v>32</v>
      </c>
      <c r="K353" t="s">
        <v>166</v>
      </c>
      <c r="L353" s="37">
        <f t="shared" si="20"/>
        <v>0.90620871862615582</v>
      </c>
      <c r="M353" s="2">
        <f t="shared" si="21"/>
        <v>1372000</v>
      </c>
      <c r="N353" s="37">
        <f t="shared" si="22"/>
        <v>-1.8236459709379129</v>
      </c>
      <c r="O353" s="2">
        <f t="shared" si="23"/>
        <v>-2761000</v>
      </c>
    </row>
    <row r="354" spans="1:15" x14ac:dyDescent="0.3">
      <c r="A354" t="s">
        <v>165</v>
      </c>
      <c r="B354">
        <v>3</v>
      </c>
      <c r="C354">
        <v>2006</v>
      </c>
      <c r="D354" s="1">
        <v>38776</v>
      </c>
      <c r="E354" s="2">
        <v>79562000</v>
      </c>
      <c r="F354" s="2">
        <v>75508000</v>
      </c>
      <c r="G354" s="2">
        <v>15359000</v>
      </c>
      <c r="H354">
        <v>0</v>
      </c>
      <c r="I354">
        <v>0</v>
      </c>
      <c r="J354" t="s">
        <v>32</v>
      </c>
      <c r="K354" t="s">
        <v>166</v>
      </c>
      <c r="L354" s="37">
        <f t="shared" si="20"/>
        <v>5.0953973002186959E-2</v>
      </c>
      <c r="M354" s="2">
        <f t="shared" si="21"/>
        <v>4054000</v>
      </c>
      <c r="N354" s="37">
        <f t="shared" si="22"/>
        <v>-0.14209044518740102</v>
      </c>
      <c r="O354" s="2">
        <f t="shared" si="23"/>
        <v>-11305000</v>
      </c>
    </row>
    <row r="355" spans="1:15" x14ac:dyDescent="0.3">
      <c r="A355" t="s">
        <v>165</v>
      </c>
      <c r="B355">
        <v>4</v>
      </c>
      <c r="C355">
        <v>2007</v>
      </c>
      <c r="D355" s="1">
        <v>39141</v>
      </c>
      <c r="E355" s="2">
        <v>99642000</v>
      </c>
      <c r="F355" s="2">
        <v>84477000</v>
      </c>
      <c r="G355" s="2">
        <v>25853000</v>
      </c>
      <c r="H355">
        <v>0</v>
      </c>
      <c r="I355">
        <v>0</v>
      </c>
      <c r="J355" t="s">
        <v>32</v>
      </c>
      <c r="K355" t="s">
        <v>166</v>
      </c>
      <c r="L355" s="37">
        <f t="shared" si="20"/>
        <v>0.15219485759017282</v>
      </c>
      <c r="M355" s="2">
        <f t="shared" si="21"/>
        <v>15165000</v>
      </c>
      <c r="N355" s="37">
        <f t="shared" si="22"/>
        <v>-0.10726400513839546</v>
      </c>
      <c r="O355" s="2">
        <f t="shared" si="23"/>
        <v>-10688000</v>
      </c>
    </row>
    <row r="356" spans="1:15" x14ac:dyDescent="0.3">
      <c r="A356" t="s">
        <v>167</v>
      </c>
      <c r="B356">
        <v>1</v>
      </c>
      <c r="C356">
        <v>2013</v>
      </c>
      <c r="D356" s="1">
        <v>41483</v>
      </c>
      <c r="E356" s="2">
        <v>8052000000</v>
      </c>
      <c r="F356" s="2">
        <v>5140000000</v>
      </c>
      <c r="G356" s="2">
        <v>1653000000</v>
      </c>
      <c r="H356" s="2">
        <v>128000000</v>
      </c>
      <c r="I356">
        <v>0</v>
      </c>
      <c r="J356" t="s">
        <v>32</v>
      </c>
      <c r="K356" t="s">
        <v>120</v>
      </c>
      <c r="L356" s="37">
        <f t="shared" si="20"/>
        <v>0.36164927968206662</v>
      </c>
      <c r="M356" s="2">
        <f t="shared" si="21"/>
        <v>2912000000</v>
      </c>
      <c r="N356" s="37">
        <f t="shared" si="22"/>
        <v>0.14046199701937406</v>
      </c>
      <c r="O356" s="2">
        <f t="shared" si="23"/>
        <v>1131000000</v>
      </c>
    </row>
    <row r="357" spans="1:15" x14ac:dyDescent="0.3">
      <c r="A357" t="s">
        <v>167</v>
      </c>
      <c r="B357">
        <v>2</v>
      </c>
      <c r="C357">
        <v>2014</v>
      </c>
      <c r="D357" s="1">
        <v>41854</v>
      </c>
      <c r="E357" s="2">
        <v>8268000000</v>
      </c>
      <c r="F357" s="2">
        <v>5297000000</v>
      </c>
      <c r="G357" s="2">
        <v>1527000000</v>
      </c>
      <c r="H357" s="2">
        <v>122000000</v>
      </c>
      <c r="I357">
        <v>0</v>
      </c>
      <c r="J357" t="s">
        <v>32</v>
      </c>
      <c r="K357" t="s">
        <v>120</v>
      </c>
      <c r="L357" s="37">
        <f t="shared" si="20"/>
        <v>0.35933720367682631</v>
      </c>
      <c r="M357" s="2">
        <f t="shared" si="21"/>
        <v>2971000000</v>
      </c>
      <c r="N357" s="37">
        <f t="shared" si="22"/>
        <v>0.15989356555394291</v>
      </c>
      <c r="O357" s="2">
        <f t="shared" si="23"/>
        <v>1322000000</v>
      </c>
    </row>
    <row r="358" spans="1:15" x14ac:dyDescent="0.3">
      <c r="A358" t="s">
        <v>167</v>
      </c>
      <c r="B358">
        <v>3</v>
      </c>
      <c r="C358">
        <v>2015</v>
      </c>
      <c r="D358" s="1">
        <v>42218</v>
      </c>
      <c r="E358" s="2">
        <v>8082000000</v>
      </c>
      <c r="F358" s="2">
        <v>5300000000</v>
      </c>
      <c r="G358" s="2">
        <v>1509000000</v>
      </c>
      <c r="H358" s="2">
        <v>117000000</v>
      </c>
      <c r="I358">
        <v>0</v>
      </c>
      <c r="J358" t="s">
        <v>32</v>
      </c>
      <c r="K358" t="s">
        <v>120</v>
      </c>
      <c r="L358" s="37">
        <f t="shared" si="20"/>
        <v>0.34422172729522393</v>
      </c>
      <c r="M358" s="2">
        <f t="shared" si="21"/>
        <v>2782000000</v>
      </c>
      <c r="N358" s="37">
        <f t="shared" si="22"/>
        <v>0.14303390249938133</v>
      </c>
      <c r="O358" s="2">
        <f t="shared" si="23"/>
        <v>1156000000</v>
      </c>
    </row>
    <row r="359" spans="1:15" x14ac:dyDescent="0.3">
      <c r="A359" t="s">
        <v>167</v>
      </c>
      <c r="B359">
        <v>4</v>
      </c>
      <c r="C359">
        <v>2016</v>
      </c>
      <c r="D359" s="1">
        <v>42582</v>
      </c>
      <c r="E359" s="2">
        <v>7961000000</v>
      </c>
      <c r="F359" s="2">
        <v>5181000000</v>
      </c>
      <c r="G359" s="2">
        <v>1665000000</v>
      </c>
      <c r="H359" s="2">
        <v>124000000</v>
      </c>
      <c r="I359">
        <v>0</v>
      </c>
      <c r="J359" t="s">
        <v>32</v>
      </c>
      <c r="K359" t="s">
        <v>120</v>
      </c>
      <c r="L359" s="37">
        <f t="shared" si="20"/>
        <v>0.34920236151237283</v>
      </c>
      <c r="M359" s="2">
        <f t="shared" si="21"/>
        <v>2780000000</v>
      </c>
      <c r="N359" s="37">
        <f t="shared" si="22"/>
        <v>0.12448184901394298</v>
      </c>
      <c r="O359" s="2">
        <f t="shared" si="23"/>
        <v>991000000</v>
      </c>
    </row>
    <row r="360" spans="1:15" x14ac:dyDescent="0.3">
      <c r="A360" t="s">
        <v>168</v>
      </c>
      <c r="B360">
        <v>1</v>
      </c>
      <c r="C360">
        <v>2013</v>
      </c>
      <c r="D360" s="1">
        <v>41305</v>
      </c>
      <c r="E360" s="2">
        <v>3050195000</v>
      </c>
      <c r="F360" s="2">
        <v>683579000</v>
      </c>
      <c r="G360" s="2">
        <v>2047847000</v>
      </c>
      <c r="H360" s="2">
        <v>429479000</v>
      </c>
      <c r="I360">
        <v>0</v>
      </c>
      <c r="J360" t="s">
        <v>18</v>
      </c>
      <c r="K360" t="s">
        <v>53</v>
      </c>
      <c r="L360" s="37">
        <f t="shared" si="20"/>
        <v>0.7758900660449578</v>
      </c>
      <c r="M360" s="2">
        <f t="shared" si="21"/>
        <v>2366616000</v>
      </c>
      <c r="N360" s="37">
        <f t="shared" si="22"/>
        <v>-3.6296040089240193E-2</v>
      </c>
      <c r="O360" s="2">
        <f t="shared" si="23"/>
        <v>-110710000</v>
      </c>
    </row>
    <row r="361" spans="1:15" x14ac:dyDescent="0.3">
      <c r="A361" t="s">
        <v>168</v>
      </c>
      <c r="B361">
        <v>2</v>
      </c>
      <c r="C361">
        <v>2014</v>
      </c>
      <c r="D361" s="1">
        <v>41670</v>
      </c>
      <c r="E361" s="2">
        <v>4071003000</v>
      </c>
      <c r="F361" s="2">
        <v>968428000</v>
      </c>
      <c r="G361" s="2">
        <v>2764851000</v>
      </c>
      <c r="H361" s="2">
        <v>623798000</v>
      </c>
      <c r="I361">
        <v>0</v>
      </c>
      <c r="J361" t="s">
        <v>18</v>
      </c>
      <c r="K361" t="s">
        <v>53</v>
      </c>
      <c r="L361" s="37">
        <f t="shared" si="20"/>
        <v>0.76211562605087735</v>
      </c>
      <c r="M361" s="2">
        <f t="shared" si="21"/>
        <v>3102575000</v>
      </c>
      <c r="N361" s="37">
        <f t="shared" si="22"/>
        <v>-7.0271134656496204E-2</v>
      </c>
      <c r="O361" s="2">
        <f t="shared" si="23"/>
        <v>-286074000</v>
      </c>
    </row>
    <row r="362" spans="1:15" x14ac:dyDescent="0.3">
      <c r="A362" t="s">
        <v>168</v>
      </c>
      <c r="B362">
        <v>3</v>
      </c>
      <c r="C362">
        <v>2015</v>
      </c>
      <c r="D362" s="1">
        <v>42035</v>
      </c>
      <c r="E362" s="2">
        <v>5373586000</v>
      </c>
      <c r="F362" s="2">
        <v>1289270000</v>
      </c>
      <c r="G362" s="2">
        <v>3437032000</v>
      </c>
      <c r="H362" s="2">
        <v>792917000</v>
      </c>
      <c r="I362">
        <v>0</v>
      </c>
      <c r="J362" t="s">
        <v>18</v>
      </c>
      <c r="K362" t="s">
        <v>53</v>
      </c>
      <c r="L362" s="37">
        <f t="shared" si="20"/>
        <v>0.76007269633350982</v>
      </c>
      <c r="M362" s="2">
        <f t="shared" si="21"/>
        <v>4084316000</v>
      </c>
      <c r="N362" s="37">
        <f t="shared" si="22"/>
        <v>-2.7101641250368003E-2</v>
      </c>
      <c r="O362" s="2">
        <f t="shared" si="23"/>
        <v>-145633000</v>
      </c>
    </row>
    <row r="363" spans="1:15" x14ac:dyDescent="0.3">
      <c r="A363" t="s">
        <v>168</v>
      </c>
      <c r="B363">
        <v>4</v>
      </c>
      <c r="C363">
        <v>2016</v>
      </c>
      <c r="D363" s="1">
        <v>42400</v>
      </c>
      <c r="E363" s="2">
        <v>6667216000</v>
      </c>
      <c r="F363" s="2">
        <v>1654548000</v>
      </c>
      <c r="G363" s="2">
        <v>3951445000</v>
      </c>
      <c r="H363" s="2">
        <v>946300000</v>
      </c>
      <c r="I363">
        <v>0</v>
      </c>
      <c r="J363" t="s">
        <v>18</v>
      </c>
      <c r="K363" t="s">
        <v>53</v>
      </c>
      <c r="L363" s="37">
        <f t="shared" si="20"/>
        <v>0.75183824852832126</v>
      </c>
      <c r="M363" s="2">
        <f t="shared" si="21"/>
        <v>5012668000</v>
      </c>
      <c r="N363" s="37">
        <f t="shared" si="22"/>
        <v>1.7237029668755295E-2</v>
      </c>
      <c r="O363" s="2">
        <f t="shared" si="23"/>
        <v>114923000</v>
      </c>
    </row>
    <row r="364" spans="1:15" x14ac:dyDescent="0.3">
      <c r="A364" t="s">
        <v>169</v>
      </c>
      <c r="B364">
        <v>1</v>
      </c>
      <c r="C364">
        <v>2013</v>
      </c>
      <c r="D364" s="1">
        <v>41482</v>
      </c>
      <c r="E364" s="2">
        <v>48607000000</v>
      </c>
      <c r="F364" s="2">
        <v>19167000000</v>
      </c>
      <c r="G364" s="2">
        <v>11802000000</v>
      </c>
      <c r="H364" s="2">
        <v>5942000000</v>
      </c>
      <c r="I364" s="2">
        <v>395000000</v>
      </c>
      <c r="J364" t="s">
        <v>18</v>
      </c>
      <c r="K364" t="s">
        <v>170</v>
      </c>
      <c r="L364" s="37">
        <f t="shared" si="20"/>
        <v>0.60567407986503996</v>
      </c>
      <c r="M364" s="2">
        <f t="shared" si="21"/>
        <v>29440000000</v>
      </c>
      <c r="N364" s="37">
        <f t="shared" si="22"/>
        <v>0.2324973769210196</v>
      </c>
      <c r="O364" s="2">
        <f t="shared" si="23"/>
        <v>11301000000</v>
      </c>
    </row>
    <row r="365" spans="1:15" x14ac:dyDescent="0.3">
      <c r="A365" t="s">
        <v>169</v>
      </c>
      <c r="B365">
        <v>2</v>
      </c>
      <c r="C365">
        <v>2014</v>
      </c>
      <c r="D365" s="1">
        <v>41846</v>
      </c>
      <c r="E365" s="2">
        <v>47142000000</v>
      </c>
      <c r="F365" s="2">
        <v>19373000000</v>
      </c>
      <c r="G365" s="2">
        <v>11437000000</v>
      </c>
      <c r="H365" s="2">
        <v>6294000000</v>
      </c>
      <c r="I365" s="2">
        <v>275000000</v>
      </c>
      <c r="J365" t="s">
        <v>18</v>
      </c>
      <c r="K365" t="s">
        <v>170</v>
      </c>
      <c r="L365" s="37">
        <f t="shared" si="20"/>
        <v>0.58905010394128376</v>
      </c>
      <c r="M365" s="2">
        <f t="shared" si="21"/>
        <v>27769000000</v>
      </c>
      <c r="N365" s="37">
        <f t="shared" si="22"/>
        <v>0.20709770480675407</v>
      </c>
      <c r="O365" s="2">
        <f t="shared" si="23"/>
        <v>9763000000</v>
      </c>
    </row>
    <row r="366" spans="1:15" x14ac:dyDescent="0.3">
      <c r="A366" t="s">
        <v>169</v>
      </c>
      <c r="B366">
        <v>3</v>
      </c>
      <c r="C366">
        <v>2015</v>
      </c>
      <c r="D366" s="1">
        <v>42210</v>
      </c>
      <c r="E366" s="2">
        <v>49161000000</v>
      </c>
      <c r="F366" s="2">
        <v>19480000000</v>
      </c>
      <c r="G366" s="2">
        <v>11861000000</v>
      </c>
      <c r="H366" s="2">
        <v>6207000000</v>
      </c>
      <c r="I366" s="2">
        <v>359000000</v>
      </c>
      <c r="J366" t="s">
        <v>18</v>
      </c>
      <c r="K366" t="s">
        <v>170</v>
      </c>
      <c r="L366" s="37">
        <f t="shared" si="20"/>
        <v>0.60375094078639568</v>
      </c>
      <c r="M366" s="2">
        <f t="shared" si="21"/>
        <v>29681000000</v>
      </c>
      <c r="N366" s="37">
        <f t="shared" si="22"/>
        <v>0.22892129940399911</v>
      </c>
      <c r="O366" s="2">
        <f t="shared" si="23"/>
        <v>11254000000</v>
      </c>
    </row>
    <row r="367" spans="1:15" x14ac:dyDescent="0.3">
      <c r="A367" t="s">
        <v>169</v>
      </c>
      <c r="B367">
        <v>4</v>
      </c>
      <c r="C367">
        <v>2016</v>
      </c>
      <c r="D367" s="1">
        <v>42581</v>
      </c>
      <c r="E367" s="2">
        <v>49247000000</v>
      </c>
      <c r="F367" s="2">
        <v>18287000000</v>
      </c>
      <c r="G367" s="2">
        <v>11433000000</v>
      </c>
      <c r="H367" s="2">
        <v>6296000000</v>
      </c>
      <c r="I367" s="2">
        <v>303000000</v>
      </c>
      <c r="J367" t="s">
        <v>18</v>
      </c>
      <c r="K367" t="s">
        <v>170</v>
      </c>
      <c r="L367" s="37">
        <f t="shared" si="20"/>
        <v>0.62866773610575266</v>
      </c>
      <c r="M367" s="2">
        <f t="shared" si="21"/>
        <v>30960000000</v>
      </c>
      <c r="N367" s="37">
        <f t="shared" si="22"/>
        <v>0.26251345259609721</v>
      </c>
      <c r="O367" s="2">
        <f t="shared" si="23"/>
        <v>12928000000</v>
      </c>
    </row>
    <row r="368" spans="1:15" x14ac:dyDescent="0.3">
      <c r="A368" t="s">
        <v>171</v>
      </c>
      <c r="B368">
        <v>1</v>
      </c>
      <c r="C368">
        <v>2015</v>
      </c>
      <c r="D368" s="1">
        <v>42097</v>
      </c>
      <c r="E368" s="2">
        <v>4069746000</v>
      </c>
      <c r="F368" s="2">
        <v>3282301000</v>
      </c>
      <c r="G368" s="2">
        <v>194207000</v>
      </c>
      <c r="H368">
        <v>0</v>
      </c>
      <c r="I368" s="2">
        <v>137058000</v>
      </c>
      <c r="J368" t="s">
        <v>18</v>
      </c>
      <c r="K368" t="s">
        <v>172</v>
      </c>
      <c r="L368" s="37">
        <f t="shared" si="20"/>
        <v>0.19348750511702695</v>
      </c>
      <c r="M368" s="2">
        <f t="shared" si="21"/>
        <v>787445000</v>
      </c>
      <c r="N368" s="37">
        <f t="shared" si="22"/>
        <v>0.11209053341412462</v>
      </c>
      <c r="O368" s="2">
        <f t="shared" si="23"/>
        <v>456180000</v>
      </c>
    </row>
    <row r="369" spans="1:15" x14ac:dyDescent="0.3">
      <c r="A369" t="s">
        <v>171</v>
      </c>
      <c r="B369">
        <v>2</v>
      </c>
      <c r="C369">
        <v>2016</v>
      </c>
      <c r="D369" s="1">
        <v>42461</v>
      </c>
      <c r="E369" s="2">
        <v>4250447000</v>
      </c>
      <c r="F369" s="2">
        <v>3575631000</v>
      </c>
      <c r="G369" s="2">
        <v>187244000</v>
      </c>
      <c r="H369">
        <v>0</v>
      </c>
      <c r="I369" s="2">
        <v>182242000</v>
      </c>
      <c r="J369" t="s">
        <v>18</v>
      </c>
      <c r="K369" t="s">
        <v>172</v>
      </c>
      <c r="L369" s="37">
        <f t="shared" si="20"/>
        <v>0.15876353710562674</v>
      </c>
      <c r="M369" s="2">
        <f t="shared" si="21"/>
        <v>674816000</v>
      </c>
      <c r="N369" s="37">
        <f t="shared" si="22"/>
        <v>7.1834797610698359E-2</v>
      </c>
      <c r="O369" s="2">
        <f t="shared" si="23"/>
        <v>305330000</v>
      </c>
    </row>
    <row r="370" spans="1:15" x14ac:dyDescent="0.3">
      <c r="A370" t="s">
        <v>173</v>
      </c>
      <c r="B370">
        <v>1</v>
      </c>
      <c r="C370">
        <v>2013</v>
      </c>
      <c r="D370" s="1">
        <v>41639</v>
      </c>
      <c r="E370" s="2">
        <v>12026000000</v>
      </c>
      <c r="F370" s="2">
        <v>3931000000</v>
      </c>
      <c r="G370" s="2">
        <v>3518000000</v>
      </c>
      <c r="H370">
        <v>0</v>
      </c>
      <c r="I370" s="2">
        <v>1104000000</v>
      </c>
      <c r="J370" t="s">
        <v>12</v>
      </c>
      <c r="K370" t="s">
        <v>174</v>
      </c>
      <c r="L370" s="37">
        <f t="shared" si="20"/>
        <v>0.67312489605853987</v>
      </c>
      <c r="M370" s="2">
        <f t="shared" si="21"/>
        <v>8095000000</v>
      </c>
      <c r="N370" s="37">
        <f t="shared" si="22"/>
        <v>0.28879095293530682</v>
      </c>
      <c r="O370" s="2">
        <f t="shared" si="23"/>
        <v>3473000000</v>
      </c>
    </row>
    <row r="371" spans="1:15" x14ac:dyDescent="0.3">
      <c r="A371" t="s">
        <v>173</v>
      </c>
      <c r="B371">
        <v>2</v>
      </c>
      <c r="C371">
        <v>2014</v>
      </c>
      <c r="D371" s="1">
        <v>41999</v>
      </c>
      <c r="E371" s="2">
        <v>12669000000</v>
      </c>
      <c r="F371" s="2">
        <v>4100000000</v>
      </c>
      <c r="G371" s="2">
        <v>3805000000</v>
      </c>
      <c r="H371">
        <v>0</v>
      </c>
      <c r="I371" s="2">
        <v>1151000000</v>
      </c>
      <c r="J371" t="s">
        <v>12</v>
      </c>
      <c r="K371" t="s">
        <v>174</v>
      </c>
      <c r="L371" s="37">
        <f t="shared" si="20"/>
        <v>0.67637540453074441</v>
      </c>
      <c r="M371" s="2">
        <f t="shared" si="21"/>
        <v>8569000000</v>
      </c>
      <c r="N371" s="37">
        <f t="shared" si="22"/>
        <v>0.28518430815376117</v>
      </c>
      <c r="O371" s="2">
        <f t="shared" si="23"/>
        <v>3613000000</v>
      </c>
    </row>
    <row r="372" spans="1:15" x14ac:dyDescent="0.3">
      <c r="A372" t="s">
        <v>173</v>
      </c>
      <c r="B372">
        <v>3</v>
      </c>
      <c r="C372">
        <v>2015</v>
      </c>
      <c r="D372" s="1">
        <v>42363</v>
      </c>
      <c r="E372" s="2">
        <v>11811000000</v>
      </c>
      <c r="F372" s="2">
        <v>3293000000</v>
      </c>
      <c r="G372" s="2">
        <v>3726000000</v>
      </c>
      <c r="H372">
        <v>0</v>
      </c>
      <c r="I372" s="2">
        <v>1208000000</v>
      </c>
      <c r="J372" t="s">
        <v>12</v>
      </c>
      <c r="K372" t="s">
        <v>174</v>
      </c>
      <c r="L372" s="37">
        <f t="shared" si="20"/>
        <v>0.72119210905088482</v>
      </c>
      <c r="M372" s="2">
        <f t="shared" si="21"/>
        <v>8518000000</v>
      </c>
      <c r="N372" s="37">
        <f t="shared" si="22"/>
        <v>0.30344594022521376</v>
      </c>
      <c r="O372" s="2">
        <f t="shared" si="23"/>
        <v>3584000000</v>
      </c>
    </row>
    <row r="373" spans="1:15" x14ac:dyDescent="0.3">
      <c r="A373" t="s">
        <v>173</v>
      </c>
      <c r="B373">
        <v>4</v>
      </c>
      <c r="C373">
        <v>2016</v>
      </c>
      <c r="D373" s="1">
        <v>42734</v>
      </c>
      <c r="E373" s="2">
        <v>11069000000</v>
      </c>
      <c r="F373" s="2">
        <v>2782000000</v>
      </c>
      <c r="G373" s="2">
        <v>3597000000</v>
      </c>
      <c r="H373">
        <v>0</v>
      </c>
      <c r="I373" s="2">
        <v>1301000000</v>
      </c>
      <c r="J373" t="s">
        <v>12</v>
      </c>
      <c r="K373" t="s">
        <v>174</v>
      </c>
      <c r="L373" s="37">
        <f t="shared" si="20"/>
        <v>0.74866744963411325</v>
      </c>
      <c r="M373" s="2">
        <f t="shared" si="21"/>
        <v>8287000000</v>
      </c>
      <c r="N373" s="37">
        <f t="shared" si="22"/>
        <v>0.30617038576203814</v>
      </c>
      <c r="O373" s="2">
        <f t="shared" si="23"/>
        <v>3389000000</v>
      </c>
    </row>
    <row r="374" spans="1:15" x14ac:dyDescent="0.3">
      <c r="A374" t="s">
        <v>175</v>
      </c>
      <c r="B374">
        <v>1</v>
      </c>
      <c r="C374">
        <v>2013</v>
      </c>
      <c r="D374" s="1">
        <v>41425</v>
      </c>
      <c r="E374" s="2">
        <v>4245964000</v>
      </c>
      <c r="F374" s="2">
        <v>2492655000</v>
      </c>
      <c r="G374" s="2">
        <v>1187331000</v>
      </c>
      <c r="H374">
        <v>0</v>
      </c>
      <c r="I374">
        <v>0</v>
      </c>
      <c r="J374" t="s">
        <v>12</v>
      </c>
      <c r="K374" t="s">
        <v>176</v>
      </c>
      <c r="L374" s="37">
        <f t="shared" si="20"/>
        <v>0.41293543704091695</v>
      </c>
      <c r="M374" s="2">
        <f t="shared" si="21"/>
        <v>1753309000</v>
      </c>
      <c r="N374" s="37">
        <f t="shared" si="22"/>
        <v>0.13329788005739096</v>
      </c>
      <c r="O374" s="2">
        <f t="shared" si="23"/>
        <v>565978000</v>
      </c>
    </row>
    <row r="375" spans="1:15" x14ac:dyDescent="0.3">
      <c r="A375" t="s">
        <v>175</v>
      </c>
      <c r="B375">
        <v>2</v>
      </c>
      <c r="C375">
        <v>2014</v>
      </c>
      <c r="D375" s="1">
        <v>41790</v>
      </c>
      <c r="E375" s="2">
        <v>4193844000</v>
      </c>
      <c r="F375" s="2">
        <v>2444085000</v>
      </c>
      <c r="G375" s="2">
        <v>1147039000</v>
      </c>
      <c r="H375">
        <v>0</v>
      </c>
      <c r="I375">
        <v>0</v>
      </c>
      <c r="J375" t="s">
        <v>12</v>
      </c>
      <c r="K375" t="s">
        <v>176</v>
      </c>
      <c r="L375" s="37">
        <f t="shared" si="20"/>
        <v>0.41722081221905249</v>
      </c>
      <c r="M375" s="2">
        <f t="shared" si="21"/>
        <v>1749759000</v>
      </c>
      <c r="N375" s="37">
        <f t="shared" si="22"/>
        <v>0.14371540763080362</v>
      </c>
      <c r="O375" s="2">
        <f t="shared" si="23"/>
        <v>602720000</v>
      </c>
    </row>
    <row r="376" spans="1:15" x14ac:dyDescent="0.3">
      <c r="A376" t="s">
        <v>175</v>
      </c>
      <c r="B376">
        <v>3</v>
      </c>
      <c r="C376">
        <v>2015</v>
      </c>
      <c r="D376" s="1">
        <v>42155</v>
      </c>
      <c r="E376" s="2">
        <v>4476886000</v>
      </c>
      <c r="F376" s="2">
        <v>2555549000</v>
      </c>
      <c r="G376" s="2">
        <v>1224930000</v>
      </c>
      <c r="H376">
        <v>0</v>
      </c>
      <c r="I376">
        <v>0</v>
      </c>
      <c r="J376" t="s">
        <v>12</v>
      </c>
      <c r="K376" t="s">
        <v>176</v>
      </c>
      <c r="L376" s="37">
        <f t="shared" si="20"/>
        <v>0.42916817627252513</v>
      </c>
      <c r="M376" s="2">
        <f t="shared" si="21"/>
        <v>1921337000</v>
      </c>
      <c r="N376" s="37">
        <f t="shared" si="22"/>
        <v>0.15555611646130815</v>
      </c>
      <c r="O376" s="2">
        <f t="shared" si="23"/>
        <v>696407000</v>
      </c>
    </row>
    <row r="377" spans="1:15" x14ac:dyDescent="0.3">
      <c r="A377" t="s">
        <v>175</v>
      </c>
      <c r="B377">
        <v>4</v>
      </c>
      <c r="C377">
        <v>2016</v>
      </c>
      <c r="D377" s="1">
        <v>42521</v>
      </c>
      <c r="E377" s="2">
        <v>4905458000</v>
      </c>
      <c r="F377" s="2">
        <v>2775588000</v>
      </c>
      <c r="G377" s="2">
        <v>1348122000</v>
      </c>
      <c r="H377">
        <v>0</v>
      </c>
      <c r="I377">
        <v>0</v>
      </c>
      <c r="J377" t="s">
        <v>12</v>
      </c>
      <c r="K377" t="s">
        <v>176</v>
      </c>
      <c r="L377" s="37">
        <f t="shared" si="20"/>
        <v>0.43418371944067202</v>
      </c>
      <c r="M377" s="2">
        <f t="shared" si="21"/>
        <v>2129870000</v>
      </c>
      <c r="N377" s="37">
        <f t="shared" si="22"/>
        <v>0.15936289740937543</v>
      </c>
      <c r="O377" s="2">
        <f t="shared" si="23"/>
        <v>781748000</v>
      </c>
    </row>
    <row r="378" spans="1:15" x14ac:dyDescent="0.3">
      <c r="A378" t="s">
        <v>177</v>
      </c>
      <c r="B378">
        <v>1</v>
      </c>
      <c r="C378">
        <v>2012</v>
      </c>
      <c r="D378" s="1">
        <v>41274</v>
      </c>
      <c r="E378" s="2">
        <v>18376000000</v>
      </c>
      <c r="F378" s="2">
        <v>7639000000</v>
      </c>
      <c r="G378" s="2">
        <v>3244000000</v>
      </c>
      <c r="H378">
        <v>0</v>
      </c>
      <c r="I378" s="2">
        <v>4780000000</v>
      </c>
      <c r="J378" t="s">
        <v>178</v>
      </c>
      <c r="K378" t="s">
        <v>179</v>
      </c>
      <c r="L378" s="37">
        <f t="shared" si="20"/>
        <v>0.58429473225946893</v>
      </c>
      <c r="M378" s="2">
        <f t="shared" si="21"/>
        <v>10737000000</v>
      </c>
      <c r="N378" s="37">
        <f t="shared" si="22"/>
        <v>0.14763822377013497</v>
      </c>
      <c r="O378" s="2">
        <f t="shared" si="23"/>
        <v>2713000000</v>
      </c>
    </row>
    <row r="379" spans="1:15" x14ac:dyDescent="0.3">
      <c r="A379" t="s">
        <v>177</v>
      </c>
      <c r="B379">
        <v>2</v>
      </c>
      <c r="C379">
        <v>2013</v>
      </c>
      <c r="D379" s="1">
        <v>41639</v>
      </c>
      <c r="E379" s="2">
        <v>18095000000</v>
      </c>
      <c r="F379" s="2">
        <v>7507000000</v>
      </c>
      <c r="G379" s="2">
        <v>3502000000</v>
      </c>
      <c r="H379">
        <v>0</v>
      </c>
      <c r="I379" s="2">
        <v>4541000000</v>
      </c>
      <c r="J379" t="s">
        <v>178</v>
      </c>
      <c r="K379" t="s">
        <v>179</v>
      </c>
      <c r="L379" s="37">
        <f t="shared" si="20"/>
        <v>0.58513401492124895</v>
      </c>
      <c r="M379" s="2">
        <f t="shared" si="21"/>
        <v>10588000000</v>
      </c>
      <c r="N379" s="37">
        <f t="shared" si="22"/>
        <v>0.14064658745509809</v>
      </c>
      <c r="O379" s="2">
        <f t="shared" si="23"/>
        <v>2545000000</v>
      </c>
    </row>
    <row r="380" spans="1:15" x14ac:dyDescent="0.3">
      <c r="A380" t="s">
        <v>177</v>
      </c>
      <c r="B380">
        <v>3</v>
      </c>
      <c r="C380">
        <v>2014</v>
      </c>
      <c r="D380" s="1">
        <v>42004</v>
      </c>
      <c r="E380" s="2">
        <v>18031000000</v>
      </c>
      <c r="F380" s="2">
        <v>7846000000</v>
      </c>
      <c r="G380" s="2">
        <v>3347000000</v>
      </c>
      <c r="H380">
        <v>0</v>
      </c>
      <c r="I380" s="2">
        <v>4428000000</v>
      </c>
      <c r="J380" t="s">
        <v>178</v>
      </c>
      <c r="K380" t="s">
        <v>179</v>
      </c>
      <c r="L380" s="37">
        <f t="shared" si="20"/>
        <v>0.56486051799678338</v>
      </c>
      <c r="M380" s="2">
        <f t="shared" si="21"/>
        <v>10185000000</v>
      </c>
      <c r="N380" s="37">
        <f t="shared" si="22"/>
        <v>0.1336586989074372</v>
      </c>
      <c r="O380" s="2">
        <f t="shared" si="23"/>
        <v>2410000000</v>
      </c>
    </row>
    <row r="381" spans="1:15" x14ac:dyDescent="0.3">
      <c r="A381" t="s">
        <v>177</v>
      </c>
      <c r="B381">
        <v>4</v>
      </c>
      <c r="C381">
        <v>2015</v>
      </c>
      <c r="D381" s="1">
        <v>42369</v>
      </c>
      <c r="E381" s="2">
        <v>17900000000</v>
      </c>
      <c r="F381" s="2">
        <v>7778000000</v>
      </c>
      <c r="G381" s="2">
        <v>3328000000</v>
      </c>
      <c r="H381">
        <v>0</v>
      </c>
      <c r="I381" s="2">
        <v>4189000000</v>
      </c>
      <c r="J381" t="s">
        <v>178</v>
      </c>
      <c r="K381" t="s">
        <v>179</v>
      </c>
      <c r="L381" s="37">
        <f t="shared" si="20"/>
        <v>0.56547486033519556</v>
      </c>
      <c r="M381" s="2">
        <f t="shared" si="21"/>
        <v>10122000000</v>
      </c>
      <c r="N381" s="37">
        <f t="shared" si="22"/>
        <v>0.14553072625698324</v>
      </c>
      <c r="O381" s="2">
        <f t="shared" si="23"/>
        <v>2605000000</v>
      </c>
    </row>
    <row r="382" spans="1:15" x14ac:dyDescent="0.3">
      <c r="A382" t="s">
        <v>180</v>
      </c>
      <c r="B382">
        <v>1</v>
      </c>
      <c r="C382">
        <v>2012</v>
      </c>
      <c r="D382" s="1">
        <v>41274</v>
      </c>
      <c r="E382" s="2">
        <v>7346472000</v>
      </c>
      <c r="F382" s="2">
        <v>4278241000</v>
      </c>
      <c r="G382" s="2">
        <v>1557646000</v>
      </c>
      <c r="H382">
        <v>0</v>
      </c>
      <c r="I382" s="2">
        <v>149089000</v>
      </c>
      <c r="J382" t="s">
        <v>18</v>
      </c>
      <c r="K382" t="s">
        <v>172</v>
      </c>
      <c r="L382" s="37">
        <f t="shared" si="20"/>
        <v>0.4176468650530486</v>
      </c>
      <c r="M382" s="2">
        <f t="shared" si="21"/>
        <v>3068231000</v>
      </c>
      <c r="N382" s="37">
        <f t="shared" si="22"/>
        <v>0.18532650774412535</v>
      </c>
      <c r="O382" s="2">
        <f t="shared" si="23"/>
        <v>1361496000</v>
      </c>
    </row>
    <row r="383" spans="1:15" x14ac:dyDescent="0.3">
      <c r="A383" t="s">
        <v>180</v>
      </c>
      <c r="B383">
        <v>2</v>
      </c>
      <c r="C383">
        <v>2013</v>
      </c>
      <c r="D383" s="1">
        <v>41639</v>
      </c>
      <c r="E383" s="2">
        <v>8843200000</v>
      </c>
      <c r="F383" s="2">
        <v>5265500000</v>
      </c>
      <c r="G383" s="2">
        <v>1727600000</v>
      </c>
      <c r="H383">
        <v>0</v>
      </c>
      <c r="I383" s="2">
        <v>172200000</v>
      </c>
      <c r="J383" t="s">
        <v>18</v>
      </c>
      <c r="K383" t="s">
        <v>172</v>
      </c>
      <c r="L383" s="37">
        <f t="shared" si="20"/>
        <v>0.40457074362221823</v>
      </c>
      <c r="M383" s="2">
        <f t="shared" si="21"/>
        <v>3577700000</v>
      </c>
      <c r="N383" s="37">
        <f t="shared" si="22"/>
        <v>0.18973900850370906</v>
      </c>
      <c r="O383" s="2">
        <f t="shared" si="23"/>
        <v>1677900000</v>
      </c>
    </row>
    <row r="384" spans="1:15" x14ac:dyDescent="0.3">
      <c r="A384" t="s">
        <v>180</v>
      </c>
      <c r="B384">
        <v>3</v>
      </c>
      <c r="C384">
        <v>2014</v>
      </c>
      <c r="D384" s="1">
        <v>42004</v>
      </c>
      <c r="E384" s="2">
        <v>10262700000</v>
      </c>
      <c r="F384" s="2">
        <v>6141100000</v>
      </c>
      <c r="G384" s="2">
        <v>2037000000</v>
      </c>
      <c r="H384">
        <v>0</v>
      </c>
      <c r="I384" s="2">
        <v>199700000</v>
      </c>
      <c r="J384" t="s">
        <v>18</v>
      </c>
      <c r="K384" t="s">
        <v>172</v>
      </c>
      <c r="L384" s="37">
        <f t="shared" si="20"/>
        <v>0.4016097128435987</v>
      </c>
      <c r="M384" s="2">
        <f t="shared" si="21"/>
        <v>4121600000</v>
      </c>
      <c r="N384" s="37">
        <f t="shared" si="22"/>
        <v>0.18366511736677482</v>
      </c>
      <c r="O384" s="2">
        <f t="shared" si="23"/>
        <v>1884900000</v>
      </c>
    </row>
    <row r="385" spans="1:15" x14ac:dyDescent="0.3">
      <c r="A385" t="s">
        <v>180</v>
      </c>
      <c r="B385">
        <v>4</v>
      </c>
      <c r="C385">
        <v>2015</v>
      </c>
      <c r="D385" s="1">
        <v>42369</v>
      </c>
      <c r="E385" s="2">
        <v>12416000000</v>
      </c>
      <c r="F385" s="2">
        <v>7440200000</v>
      </c>
      <c r="G385" s="2">
        <v>2508600000</v>
      </c>
      <c r="H385">
        <v>0</v>
      </c>
      <c r="I385" s="2">
        <v>325200000</v>
      </c>
      <c r="J385" t="s">
        <v>18</v>
      </c>
      <c r="K385" t="s">
        <v>172</v>
      </c>
      <c r="L385" s="37">
        <f t="shared" si="20"/>
        <v>0.40075708762886597</v>
      </c>
      <c r="M385" s="2">
        <f t="shared" si="21"/>
        <v>4975800000</v>
      </c>
      <c r="N385" s="37">
        <f t="shared" si="22"/>
        <v>0.17251932989690721</v>
      </c>
      <c r="O385" s="2">
        <f t="shared" si="23"/>
        <v>2142000000</v>
      </c>
    </row>
    <row r="386" spans="1:15" x14ac:dyDescent="0.3">
      <c r="A386" t="s">
        <v>181</v>
      </c>
      <c r="B386">
        <v>1</v>
      </c>
      <c r="C386">
        <v>2013</v>
      </c>
      <c r="D386" s="1">
        <v>41639</v>
      </c>
      <c r="E386" s="2">
        <v>2918434000</v>
      </c>
      <c r="F386" s="2">
        <v>502795000</v>
      </c>
      <c r="G386" s="2">
        <v>1476916000</v>
      </c>
      <c r="H386" s="2">
        <v>516338000</v>
      </c>
      <c r="I386" s="2">
        <v>41668000</v>
      </c>
      <c r="J386" t="s">
        <v>18</v>
      </c>
      <c r="K386" t="s">
        <v>53</v>
      </c>
      <c r="L386" s="37">
        <f t="shared" ref="L386:L449" si="24">1-(F386/E386)</f>
        <v>0.82771753618550226</v>
      </c>
      <c r="M386" s="2">
        <f t="shared" ref="M386:M449" si="25">E386-F386</f>
        <v>2415639000</v>
      </c>
      <c r="N386" s="37">
        <f t="shared" ref="N386:N449" si="26">O386/E386</f>
        <v>0.13045249609893525</v>
      </c>
      <c r="O386" s="2">
        <f t="shared" ref="O386:O449" si="27">M386-SUM(G386:I386)</f>
        <v>380717000</v>
      </c>
    </row>
    <row r="387" spans="1:15" x14ac:dyDescent="0.3">
      <c r="A387" t="s">
        <v>181</v>
      </c>
      <c r="B387">
        <v>2</v>
      </c>
      <c r="C387">
        <v>2014</v>
      </c>
      <c r="D387" s="1">
        <v>42004</v>
      </c>
      <c r="E387" s="2">
        <v>3142856000</v>
      </c>
      <c r="F387" s="2">
        <v>620219000</v>
      </c>
      <c r="G387" s="2">
        <v>1600187000</v>
      </c>
      <c r="H387" s="2">
        <v>553817000</v>
      </c>
      <c r="I387" s="2">
        <v>39577000</v>
      </c>
      <c r="J387" t="s">
        <v>18</v>
      </c>
      <c r="K387" t="s">
        <v>53</v>
      </c>
      <c r="L387" s="37">
        <f t="shared" si="24"/>
        <v>0.80265751914818884</v>
      </c>
      <c r="M387" s="2">
        <f t="shared" si="25"/>
        <v>2522637000</v>
      </c>
      <c r="N387" s="37">
        <f t="shared" si="26"/>
        <v>0.10469967443624525</v>
      </c>
      <c r="O387" s="2">
        <f t="shared" si="27"/>
        <v>329056000</v>
      </c>
    </row>
    <row r="388" spans="1:15" x14ac:dyDescent="0.3">
      <c r="A388" t="s">
        <v>181</v>
      </c>
      <c r="B388">
        <v>3</v>
      </c>
      <c r="C388">
        <v>2015</v>
      </c>
      <c r="D388" s="1">
        <v>42369</v>
      </c>
      <c r="E388" s="2">
        <v>3275594000</v>
      </c>
      <c r="F388" s="2">
        <v>614364000</v>
      </c>
      <c r="G388" s="2">
        <v>1538027000</v>
      </c>
      <c r="H388" s="2">
        <v>563975000</v>
      </c>
      <c r="I388" s="2">
        <v>41595000</v>
      </c>
      <c r="J388" t="s">
        <v>18</v>
      </c>
      <c r="K388" t="s">
        <v>53</v>
      </c>
      <c r="L388" s="37">
        <f t="shared" si="24"/>
        <v>0.81244195709236244</v>
      </c>
      <c r="M388" s="2">
        <f t="shared" si="25"/>
        <v>2661230000</v>
      </c>
      <c r="N388" s="37">
        <f t="shared" si="26"/>
        <v>0.1580272158271141</v>
      </c>
      <c r="O388" s="2">
        <f t="shared" si="27"/>
        <v>517633000</v>
      </c>
    </row>
    <row r="389" spans="1:15" x14ac:dyDescent="0.3">
      <c r="A389" t="s">
        <v>181</v>
      </c>
      <c r="B389">
        <v>4</v>
      </c>
      <c r="C389">
        <v>2016</v>
      </c>
      <c r="D389" s="1">
        <v>42735</v>
      </c>
      <c r="E389" s="2">
        <v>3418265000</v>
      </c>
      <c r="F389" s="2">
        <v>559541000</v>
      </c>
      <c r="G389" s="2">
        <v>1620006000</v>
      </c>
      <c r="H389" s="2">
        <v>489265000</v>
      </c>
      <c r="I389" s="2">
        <v>29173000</v>
      </c>
      <c r="J389" t="s">
        <v>18</v>
      </c>
      <c r="K389" t="s">
        <v>53</v>
      </c>
      <c r="L389" s="37">
        <f t="shared" si="24"/>
        <v>0.83630847813144971</v>
      </c>
      <c r="M389" s="2">
        <f t="shared" si="25"/>
        <v>2858724000</v>
      </c>
      <c r="N389" s="37">
        <f t="shared" si="26"/>
        <v>0.21071508499194766</v>
      </c>
      <c r="O389" s="2">
        <f t="shared" si="27"/>
        <v>720280000</v>
      </c>
    </row>
    <row r="390" spans="1:15" x14ac:dyDescent="0.3">
      <c r="A390" t="s">
        <v>182</v>
      </c>
      <c r="B390">
        <v>1</v>
      </c>
      <c r="C390">
        <v>2013</v>
      </c>
      <c r="D390" s="1">
        <v>41639</v>
      </c>
      <c r="E390" s="2">
        <v>126761000000</v>
      </c>
      <c r="F390" s="2">
        <v>102978000000</v>
      </c>
      <c r="G390">
        <v>0</v>
      </c>
      <c r="H390">
        <v>0</v>
      </c>
      <c r="I390">
        <v>0</v>
      </c>
      <c r="J390" t="s">
        <v>32</v>
      </c>
      <c r="K390" t="s">
        <v>183</v>
      </c>
      <c r="L390" s="37">
        <f t="shared" si="24"/>
        <v>0.18762079819502842</v>
      </c>
      <c r="M390" s="2">
        <f t="shared" si="25"/>
        <v>23783000000</v>
      </c>
      <c r="N390" s="37">
        <f t="shared" si="26"/>
        <v>0.18762079819502844</v>
      </c>
      <c r="O390" s="2">
        <f t="shared" si="27"/>
        <v>23783000000</v>
      </c>
    </row>
    <row r="391" spans="1:15" x14ac:dyDescent="0.3">
      <c r="A391" t="s">
        <v>182</v>
      </c>
      <c r="B391">
        <v>2</v>
      </c>
      <c r="C391">
        <v>2014</v>
      </c>
      <c r="D391" s="1">
        <v>42004</v>
      </c>
      <c r="E391" s="2">
        <v>139367000000</v>
      </c>
      <c r="F391" s="2">
        <v>114000000000</v>
      </c>
      <c r="G391">
        <v>0</v>
      </c>
      <c r="H391">
        <v>0</v>
      </c>
      <c r="I391">
        <v>0</v>
      </c>
      <c r="J391" t="s">
        <v>32</v>
      </c>
      <c r="K391" t="s">
        <v>183</v>
      </c>
      <c r="L391" s="37">
        <f t="shared" si="24"/>
        <v>0.18201582871124444</v>
      </c>
      <c r="M391" s="2">
        <f t="shared" si="25"/>
        <v>25367000000</v>
      </c>
      <c r="N391" s="37">
        <f t="shared" si="26"/>
        <v>0.18201582871124442</v>
      </c>
      <c r="O391" s="2">
        <f t="shared" si="27"/>
        <v>25367000000</v>
      </c>
    </row>
    <row r="392" spans="1:15" x14ac:dyDescent="0.3">
      <c r="A392" t="s">
        <v>182</v>
      </c>
      <c r="B392">
        <v>3</v>
      </c>
      <c r="C392">
        <v>2015</v>
      </c>
      <c r="D392" s="1">
        <v>42369</v>
      </c>
      <c r="E392" s="2">
        <v>153290000000</v>
      </c>
      <c r="F392" s="2">
        <v>126762000000</v>
      </c>
      <c r="G392">
        <v>0</v>
      </c>
      <c r="H392">
        <v>0</v>
      </c>
      <c r="I392">
        <v>0</v>
      </c>
      <c r="J392" t="s">
        <v>32</v>
      </c>
      <c r="K392" t="s">
        <v>183</v>
      </c>
      <c r="L392" s="37">
        <f t="shared" si="24"/>
        <v>0.17305760323569708</v>
      </c>
      <c r="M392" s="2">
        <f t="shared" si="25"/>
        <v>26528000000</v>
      </c>
      <c r="N392" s="37">
        <f t="shared" si="26"/>
        <v>0.17305760323569705</v>
      </c>
      <c r="O392" s="2">
        <f t="shared" si="27"/>
        <v>26528000000</v>
      </c>
    </row>
    <row r="393" spans="1:15" x14ac:dyDescent="0.3">
      <c r="A393" t="s">
        <v>182</v>
      </c>
      <c r="B393">
        <v>4</v>
      </c>
      <c r="C393">
        <v>2016</v>
      </c>
      <c r="D393" s="1">
        <v>42735</v>
      </c>
      <c r="E393" s="2">
        <v>177526000000</v>
      </c>
      <c r="F393" s="2">
        <v>148669000000</v>
      </c>
      <c r="G393">
        <v>0</v>
      </c>
      <c r="H393">
        <v>0</v>
      </c>
      <c r="I393">
        <v>0</v>
      </c>
      <c r="J393" t="s">
        <v>32</v>
      </c>
      <c r="K393" t="s">
        <v>183</v>
      </c>
      <c r="L393" s="37">
        <f t="shared" si="24"/>
        <v>0.16255083762378464</v>
      </c>
      <c r="M393" s="2">
        <f t="shared" si="25"/>
        <v>28857000000</v>
      </c>
      <c r="N393" s="37">
        <f t="shared" si="26"/>
        <v>0.16255083762378469</v>
      </c>
      <c r="O393" s="2">
        <f t="shared" si="27"/>
        <v>28857000000</v>
      </c>
    </row>
    <row r="394" spans="1:15" x14ac:dyDescent="0.3">
      <c r="A394" t="s">
        <v>184</v>
      </c>
      <c r="B394">
        <v>1</v>
      </c>
      <c r="C394">
        <v>2012</v>
      </c>
      <c r="D394" s="1">
        <v>41274</v>
      </c>
      <c r="E394" s="2">
        <v>230590000000</v>
      </c>
      <c r="F394" s="2">
        <v>163336000000</v>
      </c>
      <c r="G394" s="2">
        <v>17100000000</v>
      </c>
      <c r="H394">
        <v>0</v>
      </c>
      <c r="I394" s="2">
        <v>13413000000</v>
      </c>
      <c r="J394" t="s">
        <v>79</v>
      </c>
      <c r="K394" t="s">
        <v>140</v>
      </c>
      <c r="L394" s="37">
        <f t="shared" si="24"/>
        <v>0.29166052300620149</v>
      </c>
      <c r="M394" s="2">
        <f t="shared" si="25"/>
        <v>67254000000</v>
      </c>
      <c r="N394" s="37">
        <f t="shared" si="26"/>
        <v>0.15933474998915825</v>
      </c>
      <c r="O394" s="2">
        <f t="shared" si="27"/>
        <v>36741000000</v>
      </c>
    </row>
    <row r="395" spans="1:15" x14ac:dyDescent="0.3">
      <c r="A395" t="s">
        <v>184</v>
      </c>
      <c r="B395">
        <v>2</v>
      </c>
      <c r="C395">
        <v>2013</v>
      </c>
      <c r="D395" s="1">
        <v>41639</v>
      </c>
      <c r="E395" s="2">
        <v>220156000000</v>
      </c>
      <c r="F395" s="2">
        <v>159323000000</v>
      </c>
      <c r="G395" s="2">
        <v>17573000000</v>
      </c>
      <c r="H395">
        <v>0</v>
      </c>
      <c r="I395" s="2">
        <v>14186000000</v>
      </c>
      <c r="J395" t="s">
        <v>79</v>
      </c>
      <c r="K395" t="s">
        <v>140</v>
      </c>
      <c r="L395" s="37">
        <f t="shared" si="24"/>
        <v>0.2763177019931321</v>
      </c>
      <c r="M395" s="2">
        <f t="shared" si="25"/>
        <v>60833000000</v>
      </c>
      <c r="N395" s="37">
        <f t="shared" si="26"/>
        <v>0.13206090226929995</v>
      </c>
      <c r="O395" s="2">
        <f t="shared" si="27"/>
        <v>29074000000</v>
      </c>
    </row>
    <row r="396" spans="1:15" x14ac:dyDescent="0.3">
      <c r="A396" t="s">
        <v>184</v>
      </c>
      <c r="B396">
        <v>3</v>
      </c>
      <c r="C396">
        <v>2014</v>
      </c>
      <c r="D396" s="1">
        <v>42004</v>
      </c>
      <c r="E396" s="2">
        <v>200494000000</v>
      </c>
      <c r="F396" s="2">
        <v>144956000000</v>
      </c>
      <c r="G396" s="2">
        <v>17034000000</v>
      </c>
      <c r="H396">
        <v>0</v>
      </c>
      <c r="I396" s="2">
        <v>16793000000</v>
      </c>
      <c r="J396" t="s">
        <v>79</v>
      </c>
      <c r="K396" t="s">
        <v>140</v>
      </c>
      <c r="L396" s="37">
        <f t="shared" si="24"/>
        <v>0.27700579568465888</v>
      </c>
      <c r="M396" s="2">
        <f t="shared" si="25"/>
        <v>55538000000</v>
      </c>
      <c r="N396" s="37">
        <f t="shared" si="26"/>
        <v>0.10828752980139056</v>
      </c>
      <c r="O396" s="2">
        <f t="shared" si="27"/>
        <v>21711000000</v>
      </c>
    </row>
    <row r="397" spans="1:15" x14ac:dyDescent="0.3">
      <c r="A397" t="s">
        <v>184</v>
      </c>
      <c r="B397">
        <v>4</v>
      </c>
      <c r="C397">
        <v>2015</v>
      </c>
      <c r="D397" s="1">
        <v>42369</v>
      </c>
      <c r="E397" s="2">
        <v>129925000000</v>
      </c>
      <c r="F397" s="2">
        <v>92785000000</v>
      </c>
      <c r="G397" s="2">
        <v>16473000000</v>
      </c>
      <c r="H397">
        <v>0</v>
      </c>
      <c r="I397" s="2">
        <v>21037000000</v>
      </c>
      <c r="J397" t="s">
        <v>79</v>
      </c>
      <c r="K397" t="s">
        <v>140</v>
      </c>
      <c r="L397" s="37">
        <f t="shared" si="24"/>
        <v>0.28585722532230129</v>
      </c>
      <c r="M397" s="2">
        <f t="shared" si="25"/>
        <v>37140000000</v>
      </c>
      <c r="N397" s="37">
        <f t="shared" si="26"/>
        <v>-2.8477968058495287E-3</v>
      </c>
      <c r="O397" s="2">
        <f t="shared" si="27"/>
        <v>-370000000</v>
      </c>
    </row>
    <row r="398" spans="1:15" x14ac:dyDescent="0.3">
      <c r="A398" t="s">
        <v>185</v>
      </c>
      <c r="B398">
        <v>1</v>
      </c>
      <c r="C398">
        <v>2012</v>
      </c>
      <c r="D398" s="1">
        <v>41274</v>
      </c>
      <c r="E398" s="2">
        <v>1819814000</v>
      </c>
      <c r="F398" s="2">
        <v>343743000</v>
      </c>
      <c r="G398" s="2">
        <v>133796000</v>
      </c>
      <c r="H398">
        <v>0</v>
      </c>
      <c r="I398" s="2">
        <v>579315000</v>
      </c>
      <c r="J398" t="s">
        <v>79</v>
      </c>
      <c r="K398" t="s">
        <v>80</v>
      </c>
      <c r="L398" s="37">
        <f t="shared" si="24"/>
        <v>0.81111091573094829</v>
      </c>
      <c r="M398" s="2">
        <f t="shared" si="25"/>
        <v>1476071000</v>
      </c>
      <c r="N398" s="37">
        <f t="shared" si="26"/>
        <v>0.41925163780474267</v>
      </c>
      <c r="O398" s="2">
        <f t="shared" si="27"/>
        <v>762960000</v>
      </c>
    </row>
    <row r="399" spans="1:15" x14ac:dyDescent="0.3">
      <c r="A399" t="s">
        <v>185</v>
      </c>
      <c r="B399">
        <v>2</v>
      </c>
      <c r="C399">
        <v>2013</v>
      </c>
      <c r="D399" s="1">
        <v>41639</v>
      </c>
      <c r="E399" s="2">
        <v>2319919000</v>
      </c>
      <c r="F399" s="2">
        <v>455436000</v>
      </c>
      <c r="G399" s="2">
        <v>169815000</v>
      </c>
      <c r="H399">
        <v>0</v>
      </c>
      <c r="I399" s="2">
        <v>778655000</v>
      </c>
      <c r="J399" t="s">
        <v>79</v>
      </c>
      <c r="K399" t="s">
        <v>80</v>
      </c>
      <c r="L399" s="37">
        <f t="shared" si="24"/>
        <v>0.80368452519247435</v>
      </c>
      <c r="M399" s="2">
        <f t="shared" si="25"/>
        <v>1864483000</v>
      </c>
      <c r="N399" s="37">
        <f t="shared" si="26"/>
        <v>0.39484697526077417</v>
      </c>
      <c r="O399" s="2">
        <f t="shared" si="27"/>
        <v>916013000</v>
      </c>
    </row>
    <row r="400" spans="1:15" x14ac:dyDescent="0.3">
      <c r="A400" t="s">
        <v>185</v>
      </c>
      <c r="B400">
        <v>3</v>
      </c>
      <c r="C400">
        <v>2014</v>
      </c>
      <c r="D400" s="1">
        <v>42004</v>
      </c>
      <c r="E400" s="2">
        <v>2660147000</v>
      </c>
      <c r="F400" s="2">
        <v>538374000</v>
      </c>
      <c r="G400" s="2">
        <v>204161000</v>
      </c>
      <c r="H400">
        <v>0</v>
      </c>
      <c r="I400" s="2">
        <v>986812000</v>
      </c>
      <c r="J400" t="s">
        <v>79</v>
      </c>
      <c r="K400" t="s">
        <v>80</v>
      </c>
      <c r="L400" s="37">
        <f t="shared" si="24"/>
        <v>0.79761494383581055</v>
      </c>
      <c r="M400" s="2">
        <f t="shared" si="25"/>
        <v>2121773000</v>
      </c>
      <c r="N400" s="37">
        <f t="shared" si="26"/>
        <v>0.3499054751485538</v>
      </c>
      <c r="O400" s="2">
        <f t="shared" si="27"/>
        <v>930800000</v>
      </c>
    </row>
    <row r="401" spans="1:15" x14ac:dyDescent="0.3">
      <c r="A401" t="s">
        <v>185</v>
      </c>
      <c r="B401">
        <v>4</v>
      </c>
      <c r="C401">
        <v>2015</v>
      </c>
      <c r="D401" s="1">
        <v>42369</v>
      </c>
      <c r="E401" s="2">
        <v>1803573000</v>
      </c>
      <c r="F401" s="2">
        <v>541359000</v>
      </c>
      <c r="G401" s="2">
        <v>230734000</v>
      </c>
      <c r="H401">
        <v>0</v>
      </c>
      <c r="I401" s="2">
        <v>1230853000</v>
      </c>
      <c r="J401" t="s">
        <v>79</v>
      </c>
      <c r="K401" t="s">
        <v>80</v>
      </c>
      <c r="L401" s="37">
        <f t="shared" si="24"/>
        <v>0.69984081598027914</v>
      </c>
      <c r="M401" s="2">
        <f t="shared" si="25"/>
        <v>1262214000</v>
      </c>
      <c r="N401" s="37">
        <f t="shared" si="26"/>
        <v>-0.11054334922955711</v>
      </c>
      <c r="O401" s="2">
        <f t="shared" si="27"/>
        <v>-199373000</v>
      </c>
    </row>
    <row r="402" spans="1:15" x14ac:dyDescent="0.3">
      <c r="A402" t="s">
        <v>186</v>
      </c>
      <c r="B402">
        <v>1</v>
      </c>
      <c r="C402">
        <v>2012</v>
      </c>
      <c r="D402" s="1">
        <v>41274</v>
      </c>
      <c r="E402" s="2">
        <v>12835000000</v>
      </c>
      <c r="F402" s="2">
        <v>8300000000</v>
      </c>
      <c r="G402" s="2">
        <v>550000000</v>
      </c>
      <c r="H402">
        <v>0</v>
      </c>
      <c r="I402" s="2">
        <v>1127000000</v>
      </c>
      <c r="J402" t="s">
        <v>38</v>
      </c>
      <c r="K402" t="s">
        <v>41</v>
      </c>
      <c r="L402" s="37">
        <f t="shared" si="24"/>
        <v>0.35333073626801714</v>
      </c>
      <c r="M402" s="2">
        <f t="shared" si="25"/>
        <v>4535000000</v>
      </c>
      <c r="N402" s="37">
        <f t="shared" si="26"/>
        <v>0.22267238021036229</v>
      </c>
      <c r="O402" s="2">
        <f t="shared" si="27"/>
        <v>2858000000</v>
      </c>
    </row>
    <row r="403" spans="1:15" x14ac:dyDescent="0.3">
      <c r="A403" t="s">
        <v>186</v>
      </c>
      <c r="B403">
        <v>2</v>
      </c>
      <c r="C403">
        <v>2013</v>
      </c>
      <c r="D403" s="1">
        <v>41639</v>
      </c>
      <c r="E403" s="2">
        <v>13120000000</v>
      </c>
      <c r="F403" s="2">
        <v>8033000000</v>
      </c>
      <c r="G403" s="2">
        <v>563000000</v>
      </c>
      <c r="H403">
        <v>0</v>
      </c>
      <c r="I403" s="2">
        <v>1208000000</v>
      </c>
      <c r="J403" t="s">
        <v>38</v>
      </c>
      <c r="K403" t="s">
        <v>41</v>
      </c>
      <c r="L403" s="37">
        <f t="shared" si="24"/>
        <v>0.38772865853658534</v>
      </c>
      <c r="M403" s="2">
        <f t="shared" si="25"/>
        <v>5087000000</v>
      </c>
      <c r="N403" s="37">
        <f t="shared" si="26"/>
        <v>0.25274390243902439</v>
      </c>
      <c r="O403" s="2">
        <f t="shared" si="27"/>
        <v>3316000000</v>
      </c>
    </row>
    <row r="404" spans="1:15" x14ac:dyDescent="0.3">
      <c r="A404" t="s">
        <v>186</v>
      </c>
      <c r="B404">
        <v>3</v>
      </c>
      <c r="C404">
        <v>2014</v>
      </c>
      <c r="D404" s="1">
        <v>42004</v>
      </c>
      <c r="E404" s="2">
        <v>12436000000</v>
      </c>
      <c r="F404" s="2">
        <v>7881000000</v>
      </c>
      <c r="G404" s="2">
        <v>542000000</v>
      </c>
      <c r="H404">
        <v>0</v>
      </c>
      <c r="I404" s="2">
        <v>1292000000</v>
      </c>
      <c r="J404" t="s">
        <v>38</v>
      </c>
      <c r="K404" t="s">
        <v>41</v>
      </c>
      <c r="L404" s="37">
        <f t="shared" si="24"/>
        <v>0.36627532968800258</v>
      </c>
      <c r="M404" s="2">
        <f t="shared" si="25"/>
        <v>4555000000</v>
      </c>
      <c r="N404" s="37">
        <f t="shared" si="26"/>
        <v>0.21880025731746541</v>
      </c>
      <c r="O404" s="2">
        <f t="shared" si="27"/>
        <v>2721000000</v>
      </c>
    </row>
    <row r="405" spans="1:15" x14ac:dyDescent="0.3">
      <c r="A405" t="s">
        <v>186</v>
      </c>
      <c r="B405">
        <v>4</v>
      </c>
      <c r="C405">
        <v>2015</v>
      </c>
      <c r="D405" s="1">
        <v>42369</v>
      </c>
      <c r="E405" s="2">
        <v>11683000000</v>
      </c>
      <c r="F405" s="2">
        <v>6201000000</v>
      </c>
      <c r="G405" s="2">
        <v>551000000</v>
      </c>
      <c r="H405">
        <v>0</v>
      </c>
      <c r="I405" s="2">
        <v>1395000000</v>
      </c>
      <c r="J405" t="s">
        <v>38</v>
      </c>
      <c r="K405" t="s">
        <v>41</v>
      </c>
      <c r="L405" s="37">
        <f t="shared" si="24"/>
        <v>0.46922879397415052</v>
      </c>
      <c r="M405" s="2">
        <f t="shared" si="25"/>
        <v>5482000000</v>
      </c>
      <c r="N405" s="37">
        <f t="shared" si="26"/>
        <v>0.30266198750320977</v>
      </c>
      <c r="O405" s="2">
        <f t="shared" si="27"/>
        <v>3536000000</v>
      </c>
    </row>
    <row r="406" spans="1:15" x14ac:dyDescent="0.3">
      <c r="A406" t="s">
        <v>187</v>
      </c>
      <c r="B406">
        <v>1</v>
      </c>
      <c r="C406">
        <v>2013</v>
      </c>
      <c r="D406" s="1">
        <v>41639</v>
      </c>
      <c r="E406" s="2">
        <v>37773000000</v>
      </c>
      <c r="F406" s="2">
        <v>20964000000</v>
      </c>
      <c r="G406" s="2">
        <v>11349000000</v>
      </c>
      <c r="H406">
        <v>0</v>
      </c>
      <c r="I406" s="2">
        <v>1658000000</v>
      </c>
      <c r="J406" t="s">
        <v>12</v>
      </c>
      <c r="K406" t="s">
        <v>13</v>
      </c>
      <c r="L406" s="37">
        <f t="shared" si="24"/>
        <v>0.44500039710904615</v>
      </c>
      <c r="M406" s="2">
        <f t="shared" si="25"/>
        <v>16809000000</v>
      </c>
      <c r="N406" s="37">
        <f t="shared" si="26"/>
        <v>0.10065390622931723</v>
      </c>
      <c r="O406" s="2">
        <f t="shared" si="27"/>
        <v>3802000000</v>
      </c>
    </row>
    <row r="407" spans="1:15" x14ac:dyDescent="0.3">
      <c r="A407" t="s">
        <v>187</v>
      </c>
      <c r="B407">
        <v>2</v>
      </c>
      <c r="C407">
        <v>2014</v>
      </c>
      <c r="D407" s="1">
        <v>42004</v>
      </c>
      <c r="E407" s="2">
        <v>40362000000</v>
      </c>
      <c r="F407" s="2">
        <v>22967000000</v>
      </c>
      <c r="G407" s="2">
        <v>12702000000</v>
      </c>
      <c r="H407">
        <v>0</v>
      </c>
      <c r="I407" s="2">
        <v>1771000000</v>
      </c>
      <c r="J407" t="s">
        <v>12</v>
      </c>
      <c r="K407" t="s">
        <v>13</v>
      </c>
      <c r="L407" s="37">
        <f t="shared" si="24"/>
        <v>0.43097467915365939</v>
      </c>
      <c r="M407" s="2">
        <f t="shared" si="25"/>
        <v>17395000000</v>
      </c>
      <c r="N407" s="37">
        <f t="shared" si="26"/>
        <v>7.2394826817303401E-2</v>
      </c>
      <c r="O407" s="2">
        <f t="shared" si="27"/>
        <v>2922000000</v>
      </c>
    </row>
    <row r="408" spans="1:15" x14ac:dyDescent="0.3">
      <c r="A408" t="s">
        <v>187</v>
      </c>
      <c r="B408">
        <v>3</v>
      </c>
      <c r="C408">
        <v>2015</v>
      </c>
      <c r="D408" s="1">
        <v>42369</v>
      </c>
      <c r="E408" s="2">
        <v>40704000000</v>
      </c>
      <c r="F408" s="2">
        <v>17096000000</v>
      </c>
      <c r="G408" s="2">
        <v>13936000000</v>
      </c>
      <c r="H408">
        <v>0</v>
      </c>
      <c r="I408" s="2">
        <v>1835000000</v>
      </c>
      <c r="J408" t="s">
        <v>12</v>
      </c>
      <c r="K408" t="s">
        <v>13</v>
      </c>
      <c r="L408" s="37">
        <f t="shared" si="24"/>
        <v>0.57999213836477992</v>
      </c>
      <c r="M408" s="2">
        <f t="shared" si="25"/>
        <v>23608000000</v>
      </c>
      <c r="N408" s="37">
        <f t="shared" si="26"/>
        <v>0.19253636006289307</v>
      </c>
      <c r="O408" s="2">
        <f t="shared" si="27"/>
        <v>7837000000</v>
      </c>
    </row>
    <row r="409" spans="1:15" x14ac:dyDescent="0.3">
      <c r="A409" t="s">
        <v>187</v>
      </c>
      <c r="B409">
        <v>4</v>
      </c>
      <c r="C409">
        <v>2016</v>
      </c>
      <c r="D409" s="1">
        <v>42735</v>
      </c>
      <c r="E409" s="2">
        <v>39639000000</v>
      </c>
      <c r="F409" s="2">
        <v>15940000000</v>
      </c>
      <c r="G409" s="2">
        <v>14845000000</v>
      </c>
      <c r="H409">
        <v>0</v>
      </c>
      <c r="I409" s="2">
        <v>1902000000</v>
      </c>
      <c r="J409" t="s">
        <v>12</v>
      </c>
      <c r="K409" t="s">
        <v>13</v>
      </c>
      <c r="L409" s="37">
        <f t="shared" si="24"/>
        <v>0.59787078382401171</v>
      </c>
      <c r="M409" s="2">
        <f t="shared" si="25"/>
        <v>23699000000</v>
      </c>
      <c r="N409" s="37">
        <f t="shared" si="26"/>
        <v>0.17538283004112112</v>
      </c>
      <c r="O409" s="2">
        <f t="shared" si="27"/>
        <v>6952000000</v>
      </c>
    </row>
    <row r="410" spans="1:15" x14ac:dyDescent="0.3">
      <c r="A410" t="s">
        <v>188</v>
      </c>
      <c r="B410">
        <v>1</v>
      </c>
      <c r="C410">
        <v>2013</v>
      </c>
      <c r="D410" s="1">
        <v>41639</v>
      </c>
      <c r="E410" s="2">
        <v>28998000000</v>
      </c>
      <c r="F410" s="2">
        <v>17642000000</v>
      </c>
      <c r="G410" s="2">
        <v>6564000000</v>
      </c>
      <c r="H410" s="2">
        <v>2037000000</v>
      </c>
      <c r="I410">
        <v>0</v>
      </c>
      <c r="J410" t="s">
        <v>55</v>
      </c>
      <c r="K410" t="s">
        <v>189</v>
      </c>
      <c r="L410" s="37">
        <f t="shared" si="24"/>
        <v>0.39161321470446242</v>
      </c>
      <c r="M410" s="2">
        <f t="shared" si="25"/>
        <v>11356000000</v>
      </c>
      <c r="N410" s="37">
        <f t="shared" si="26"/>
        <v>9.5006552176012143E-2</v>
      </c>
      <c r="O410" s="2">
        <f t="shared" si="27"/>
        <v>2755000000</v>
      </c>
    </row>
    <row r="411" spans="1:15" x14ac:dyDescent="0.3">
      <c r="A411" t="s">
        <v>188</v>
      </c>
      <c r="B411">
        <v>2</v>
      </c>
      <c r="C411">
        <v>2014</v>
      </c>
      <c r="D411" s="1">
        <v>42004</v>
      </c>
      <c r="E411" s="2">
        <v>28406000000</v>
      </c>
      <c r="F411" s="2">
        <v>17023000000</v>
      </c>
      <c r="G411" s="2">
        <v>5536000000</v>
      </c>
      <c r="H411" s="2">
        <v>1958000000</v>
      </c>
      <c r="I411">
        <v>0</v>
      </c>
      <c r="J411" t="s">
        <v>55</v>
      </c>
      <c r="K411" t="s">
        <v>189</v>
      </c>
      <c r="L411" s="37">
        <f t="shared" si="24"/>
        <v>0.40072519890164049</v>
      </c>
      <c r="M411" s="2">
        <f t="shared" si="25"/>
        <v>11383000000</v>
      </c>
      <c r="N411" s="37">
        <f t="shared" si="26"/>
        <v>0.13690769555727664</v>
      </c>
      <c r="O411" s="2">
        <f t="shared" si="27"/>
        <v>3889000000</v>
      </c>
    </row>
    <row r="412" spans="1:15" x14ac:dyDescent="0.3">
      <c r="A412" t="s">
        <v>188</v>
      </c>
      <c r="B412">
        <v>3</v>
      </c>
      <c r="C412">
        <v>2015</v>
      </c>
      <c r="D412" s="1">
        <v>42369</v>
      </c>
      <c r="E412" s="2">
        <v>25130000000</v>
      </c>
      <c r="F412" s="2">
        <v>15112000000</v>
      </c>
      <c r="G412" s="2">
        <v>5074000000</v>
      </c>
      <c r="H412" s="2">
        <v>1898000000</v>
      </c>
      <c r="I412">
        <v>0</v>
      </c>
      <c r="J412" t="s">
        <v>55</v>
      </c>
      <c r="K412" t="s">
        <v>189</v>
      </c>
      <c r="L412" s="37">
        <f t="shared" si="24"/>
        <v>0.39864703541583768</v>
      </c>
      <c r="M412" s="2">
        <f t="shared" si="25"/>
        <v>10018000000</v>
      </c>
      <c r="N412" s="37">
        <f t="shared" si="26"/>
        <v>0.12120970951054516</v>
      </c>
      <c r="O412" s="2">
        <f t="shared" si="27"/>
        <v>3046000000</v>
      </c>
    </row>
    <row r="413" spans="1:15" x14ac:dyDescent="0.3">
      <c r="A413" t="s">
        <v>188</v>
      </c>
      <c r="B413">
        <v>4</v>
      </c>
      <c r="C413">
        <v>2016</v>
      </c>
      <c r="D413" s="1">
        <v>42735</v>
      </c>
      <c r="E413" s="2">
        <v>24594000000</v>
      </c>
      <c r="F413" s="2">
        <v>14469000000</v>
      </c>
      <c r="G413" s="2">
        <v>5005000000</v>
      </c>
      <c r="H413" s="2">
        <v>1641000000</v>
      </c>
      <c r="I413">
        <v>0</v>
      </c>
      <c r="J413" t="s">
        <v>55</v>
      </c>
      <c r="K413" t="s">
        <v>189</v>
      </c>
      <c r="L413" s="37">
        <f t="shared" si="24"/>
        <v>0.41168577701878506</v>
      </c>
      <c r="M413" s="2">
        <f t="shared" si="25"/>
        <v>10125000000</v>
      </c>
      <c r="N413" s="37">
        <f t="shared" si="26"/>
        <v>0.14145726599983735</v>
      </c>
      <c r="O413" s="2">
        <f t="shared" si="27"/>
        <v>3479000000</v>
      </c>
    </row>
    <row r="414" spans="1:15" x14ac:dyDescent="0.3">
      <c r="A414" t="s">
        <v>190</v>
      </c>
      <c r="B414">
        <v>1</v>
      </c>
      <c r="C414">
        <v>2013</v>
      </c>
      <c r="D414" s="1">
        <v>41578</v>
      </c>
      <c r="E414" s="2">
        <v>37795400000</v>
      </c>
      <c r="F414" s="2">
        <v>25667300000</v>
      </c>
      <c r="G414" s="2">
        <v>4426100000</v>
      </c>
      <c r="H414" s="2">
        <v>1477300000</v>
      </c>
      <c r="I414">
        <v>0</v>
      </c>
      <c r="J414" t="s">
        <v>12</v>
      </c>
      <c r="K414" t="s">
        <v>123</v>
      </c>
      <c r="L414" s="37">
        <f t="shared" si="24"/>
        <v>0.32088825624282324</v>
      </c>
      <c r="M414" s="2">
        <f t="shared" si="25"/>
        <v>12128100000</v>
      </c>
      <c r="N414" s="37">
        <f t="shared" si="26"/>
        <v>0.16469464538012563</v>
      </c>
      <c r="O414" s="2">
        <f t="shared" si="27"/>
        <v>6224700000</v>
      </c>
    </row>
    <row r="415" spans="1:15" x14ac:dyDescent="0.3">
      <c r="A415" t="s">
        <v>190</v>
      </c>
      <c r="B415">
        <v>2</v>
      </c>
      <c r="C415">
        <v>2014</v>
      </c>
      <c r="D415" s="1">
        <v>41943</v>
      </c>
      <c r="E415" s="2">
        <v>36066900000</v>
      </c>
      <c r="F415" s="2">
        <v>24775800000</v>
      </c>
      <c r="G415" s="2">
        <v>4377700000</v>
      </c>
      <c r="H415" s="2">
        <v>1452000000</v>
      </c>
      <c r="I415">
        <v>0</v>
      </c>
      <c r="J415" t="s">
        <v>12</v>
      </c>
      <c r="K415" t="s">
        <v>123</v>
      </c>
      <c r="L415" s="37">
        <f t="shared" si="24"/>
        <v>0.31305989702469572</v>
      </c>
      <c r="M415" s="2">
        <f t="shared" si="25"/>
        <v>11291100000</v>
      </c>
      <c r="N415" s="37">
        <f t="shared" si="26"/>
        <v>0.15142415899342609</v>
      </c>
      <c r="O415" s="2">
        <f t="shared" si="27"/>
        <v>5461400000</v>
      </c>
    </row>
    <row r="416" spans="1:15" x14ac:dyDescent="0.3">
      <c r="A416" t="s">
        <v>190</v>
      </c>
      <c r="B416">
        <v>3</v>
      </c>
      <c r="C416">
        <v>2015</v>
      </c>
      <c r="D416" s="1">
        <v>42308</v>
      </c>
      <c r="E416" s="2">
        <v>28862800000</v>
      </c>
      <c r="F416" s="2">
        <v>20143200000</v>
      </c>
      <c r="G416" s="2">
        <v>3834400000</v>
      </c>
      <c r="H416" s="2">
        <v>1425100000</v>
      </c>
      <c r="I416">
        <v>0</v>
      </c>
      <c r="J416" t="s">
        <v>12</v>
      </c>
      <c r="K416" t="s">
        <v>123</v>
      </c>
      <c r="L416" s="37">
        <f t="shared" si="24"/>
        <v>0.30210513186523835</v>
      </c>
      <c r="M416" s="2">
        <f t="shared" si="25"/>
        <v>8719600000</v>
      </c>
      <c r="N416" s="37">
        <f t="shared" si="26"/>
        <v>0.11988095403079396</v>
      </c>
      <c r="O416" s="2">
        <f t="shared" si="27"/>
        <v>3460100000</v>
      </c>
    </row>
    <row r="417" spans="1:15" x14ac:dyDescent="0.3">
      <c r="A417" t="s">
        <v>190</v>
      </c>
      <c r="B417">
        <v>4</v>
      </c>
      <c r="C417">
        <v>2016</v>
      </c>
      <c r="D417" s="1">
        <v>42674</v>
      </c>
      <c r="E417" s="2">
        <v>26644000000</v>
      </c>
      <c r="F417" s="2">
        <v>18248900000</v>
      </c>
      <c r="G417" s="2">
        <v>4018300000</v>
      </c>
      <c r="H417" s="2">
        <v>1389100000</v>
      </c>
      <c r="I417">
        <v>0</v>
      </c>
      <c r="J417" t="s">
        <v>12</v>
      </c>
      <c r="K417" t="s">
        <v>123</v>
      </c>
      <c r="L417" s="37">
        <f t="shared" si="24"/>
        <v>0.31508407146074158</v>
      </c>
      <c r="M417" s="2">
        <f t="shared" si="25"/>
        <v>8395100000</v>
      </c>
      <c r="N417" s="37">
        <f t="shared" si="26"/>
        <v>0.11213406395436121</v>
      </c>
      <c r="O417" s="2">
        <f t="shared" si="27"/>
        <v>2987700000</v>
      </c>
    </row>
    <row r="418" spans="1:15" x14ac:dyDescent="0.3">
      <c r="A418" t="s">
        <v>447</v>
      </c>
      <c r="B418">
        <v>1</v>
      </c>
      <c r="C418">
        <v>2012</v>
      </c>
      <c r="D418" s="1">
        <v>41274</v>
      </c>
      <c r="E418" s="2">
        <v>84847000000</v>
      </c>
      <c r="F418" s="2">
        <v>66635000000</v>
      </c>
      <c r="G418" s="2">
        <v>17504000000</v>
      </c>
      <c r="H418">
        <v>0</v>
      </c>
      <c r="I418">
        <v>0</v>
      </c>
      <c r="J418" t="s">
        <v>43</v>
      </c>
      <c r="K418" t="s">
        <v>375</v>
      </c>
      <c r="L418" s="37">
        <f t="shared" si="24"/>
        <v>0.21464518486216366</v>
      </c>
      <c r="M418" s="2">
        <f t="shared" si="25"/>
        <v>18212000000</v>
      </c>
      <c r="N418" s="37">
        <f t="shared" si="26"/>
        <v>8.3444317418411972E-3</v>
      </c>
      <c r="O418" s="2">
        <f t="shared" si="27"/>
        <v>708000000</v>
      </c>
    </row>
    <row r="419" spans="1:15" x14ac:dyDescent="0.3">
      <c r="A419" t="s">
        <v>447</v>
      </c>
      <c r="B419">
        <v>2</v>
      </c>
      <c r="C419">
        <v>2013</v>
      </c>
      <c r="D419" s="1">
        <v>41639</v>
      </c>
      <c r="E419" s="2">
        <v>41461000000</v>
      </c>
      <c r="F419" s="2">
        <v>26973000000</v>
      </c>
      <c r="G419" s="2">
        <v>16172000000</v>
      </c>
      <c r="H419">
        <v>0</v>
      </c>
      <c r="I419">
        <v>0</v>
      </c>
      <c r="J419" t="s">
        <v>43</v>
      </c>
      <c r="K419" t="s">
        <v>375</v>
      </c>
      <c r="L419" s="37">
        <f t="shared" si="24"/>
        <v>0.34943682014423194</v>
      </c>
      <c r="M419" s="2">
        <f t="shared" si="25"/>
        <v>14488000000</v>
      </c>
      <c r="N419" s="37">
        <f t="shared" si="26"/>
        <v>-4.0616482959890017E-2</v>
      </c>
      <c r="O419" s="2">
        <f t="shared" si="27"/>
        <v>-1684000000</v>
      </c>
    </row>
    <row r="420" spans="1:15" x14ac:dyDescent="0.3">
      <c r="A420" t="s">
        <v>447</v>
      </c>
      <c r="B420">
        <v>3</v>
      </c>
      <c r="C420">
        <v>2014</v>
      </c>
      <c r="D420" s="1">
        <v>42004</v>
      </c>
      <c r="E420" s="2">
        <v>54105000000</v>
      </c>
      <c r="F420" s="2">
        <v>33560000000</v>
      </c>
      <c r="G420" s="2">
        <v>18786000000</v>
      </c>
      <c r="H420">
        <v>0</v>
      </c>
      <c r="I420">
        <v>0</v>
      </c>
      <c r="J420" t="s">
        <v>43</v>
      </c>
      <c r="K420" t="s">
        <v>375</v>
      </c>
      <c r="L420" s="37">
        <f t="shared" si="24"/>
        <v>0.37972460955549392</v>
      </c>
      <c r="M420" s="2">
        <f t="shared" si="25"/>
        <v>20545000000</v>
      </c>
      <c r="N420" s="37">
        <f t="shared" si="26"/>
        <v>3.2510858515848812E-2</v>
      </c>
      <c r="O420" s="2">
        <f t="shared" si="27"/>
        <v>1759000000</v>
      </c>
    </row>
    <row r="421" spans="1:15" x14ac:dyDescent="0.3">
      <c r="A421" t="s">
        <v>447</v>
      </c>
      <c r="B421">
        <v>4</v>
      </c>
      <c r="C421">
        <v>2015</v>
      </c>
      <c r="D421" s="1">
        <v>42369</v>
      </c>
      <c r="E421" s="2">
        <v>57119000000</v>
      </c>
      <c r="F421" s="2">
        <v>32747000000</v>
      </c>
      <c r="G421" s="2">
        <v>16603000000</v>
      </c>
      <c r="H421">
        <v>0</v>
      </c>
      <c r="I421">
        <v>0</v>
      </c>
      <c r="J421" t="s">
        <v>43</v>
      </c>
      <c r="K421" t="s">
        <v>375</v>
      </c>
      <c r="L421" s="37">
        <f t="shared" si="24"/>
        <v>0.42668814229940999</v>
      </c>
      <c r="M421" s="2">
        <f t="shared" si="25"/>
        <v>24372000000</v>
      </c>
      <c r="N421" s="37">
        <f t="shared" si="26"/>
        <v>0.13601428596439014</v>
      </c>
      <c r="O421" s="2">
        <f t="shared" si="27"/>
        <v>7769000000</v>
      </c>
    </row>
    <row r="422" spans="1:15" x14ac:dyDescent="0.3">
      <c r="A422" t="s">
        <v>192</v>
      </c>
      <c r="B422">
        <v>1</v>
      </c>
      <c r="C422">
        <v>2013</v>
      </c>
      <c r="D422" s="1">
        <v>41306</v>
      </c>
      <c r="E422" s="2">
        <v>16022128000</v>
      </c>
      <c r="F422" s="2">
        <v>10936727000</v>
      </c>
      <c r="G422" s="2">
        <v>3430125000</v>
      </c>
      <c r="H422">
        <v>0</v>
      </c>
      <c r="I422">
        <v>0</v>
      </c>
      <c r="J422" t="s">
        <v>15</v>
      </c>
      <c r="K422" t="s">
        <v>193</v>
      </c>
      <c r="L422" s="37">
        <f t="shared" si="24"/>
        <v>0.31739860023587374</v>
      </c>
      <c r="M422" s="2">
        <f t="shared" si="25"/>
        <v>5085401000</v>
      </c>
      <c r="N422" s="37">
        <f t="shared" si="26"/>
        <v>0.10331186968422672</v>
      </c>
      <c r="O422" s="2">
        <f t="shared" si="27"/>
        <v>1655276000</v>
      </c>
    </row>
    <row r="423" spans="1:15" x14ac:dyDescent="0.3">
      <c r="A423" t="s">
        <v>192</v>
      </c>
      <c r="B423">
        <v>2</v>
      </c>
      <c r="C423">
        <v>2014</v>
      </c>
      <c r="D423" s="1">
        <v>41670</v>
      </c>
      <c r="E423" s="2">
        <v>17504167000</v>
      </c>
      <c r="F423" s="2">
        <v>12068425000</v>
      </c>
      <c r="G423" s="2">
        <v>3699557000</v>
      </c>
      <c r="H423">
        <v>0</v>
      </c>
      <c r="I423">
        <v>0</v>
      </c>
      <c r="J423" t="s">
        <v>15</v>
      </c>
      <c r="K423" t="s">
        <v>193</v>
      </c>
      <c r="L423" s="37">
        <f t="shared" si="24"/>
        <v>0.31053988458862392</v>
      </c>
      <c r="M423" s="2">
        <f t="shared" si="25"/>
        <v>5435742000</v>
      </c>
      <c r="N423" s="37">
        <f t="shared" si="26"/>
        <v>9.918695359796327E-2</v>
      </c>
      <c r="O423" s="2">
        <f t="shared" si="27"/>
        <v>1736185000</v>
      </c>
    </row>
    <row r="424" spans="1:15" x14ac:dyDescent="0.3">
      <c r="A424" t="s">
        <v>192</v>
      </c>
      <c r="B424">
        <v>3</v>
      </c>
      <c r="C424">
        <v>2015</v>
      </c>
      <c r="D424" s="1">
        <v>42034</v>
      </c>
      <c r="E424" s="2">
        <v>18909588000</v>
      </c>
      <c r="F424" s="2">
        <v>13107081000</v>
      </c>
      <c r="G424" s="2">
        <v>4033414000</v>
      </c>
      <c r="H424">
        <v>0</v>
      </c>
      <c r="I424">
        <v>0</v>
      </c>
      <c r="J424" t="s">
        <v>15</v>
      </c>
      <c r="K424" t="s">
        <v>193</v>
      </c>
      <c r="L424" s="37">
        <f t="shared" si="24"/>
        <v>0.30685528420820163</v>
      </c>
      <c r="M424" s="2">
        <f t="shared" si="25"/>
        <v>5802507000</v>
      </c>
      <c r="N424" s="37">
        <f t="shared" si="26"/>
        <v>9.3555343458567156E-2</v>
      </c>
      <c r="O424" s="2">
        <f t="shared" si="27"/>
        <v>1769093000</v>
      </c>
    </row>
    <row r="425" spans="1:15" x14ac:dyDescent="0.3">
      <c r="A425" t="s">
        <v>192</v>
      </c>
      <c r="B425">
        <v>4</v>
      </c>
      <c r="C425">
        <v>2016</v>
      </c>
      <c r="D425" s="1">
        <v>42398</v>
      </c>
      <c r="E425" s="2">
        <v>20368562000</v>
      </c>
      <c r="F425" s="2">
        <v>14062471000</v>
      </c>
      <c r="G425" s="2">
        <v>4365797000</v>
      </c>
      <c r="H425">
        <v>0</v>
      </c>
      <c r="I425">
        <v>0</v>
      </c>
      <c r="J425" t="s">
        <v>15</v>
      </c>
      <c r="K425" t="s">
        <v>193</v>
      </c>
      <c r="L425" s="37">
        <f t="shared" si="24"/>
        <v>0.30959922453043076</v>
      </c>
      <c r="M425" s="2">
        <f t="shared" si="25"/>
        <v>6306091000</v>
      </c>
      <c r="N425" s="37">
        <f t="shared" si="26"/>
        <v>9.5259252960518279E-2</v>
      </c>
      <c r="O425" s="2">
        <f t="shared" si="27"/>
        <v>1940294000</v>
      </c>
    </row>
    <row r="426" spans="1:15" x14ac:dyDescent="0.3">
      <c r="A426" t="s">
        <v>483</v>
      </c>
      <c r="B426">
        <v>1</v>
      </c>
      <c r="C426">
        <v>2012</v>
      </c>
      <c r="D426" s="1">
        <v>41274</v>
      </c>
      <c r="E426" s="2">
        <v>11240000000</v>
      </c>
      <c r="F426" s="2">
        <v>429000000</v>
      </c>
      <c r="G426" s="2">
        <v>6073000000</v>
      </c>
      <c r="H426">
        <v>0</v>
      </c>
      <c r="I426" s="2">
        <v>1441000000</v>
      </c>
      <c r="J426" t="s">
        <v>43</v>
      </c>
      <c r="K426" t="s">
        <v>101</v>
      </c>
      <c r="L426" s="37">
        <f t="shared" si="24"/>
        <v>0.96183274021352316</v>
      </c>
      <c r="M426" s="2">
        <f t="shared" si="25"/>
        <v>10811000000</v>
      </c>
      <c r="N426" s="37">
        <f t="shared" si="26"/>
        <v>0.29332740213523134</v>
      </c>
      <c r="O426" s="2">
        <f t="shared" si="27"/>
        <v>3297000000</v>
      </c>
    </row>
    <row r="427" spans="1:15" x14ac:dyDescent="0.3">
      <c r="A427" t="s">
        <v>483</v>
      </c>
      <c r="B427">
        <v>2</v>
      </c>
      <c r="C427">
        <v>2013</v>
      </c>
      <c r="D427" s="1">
        <v>41639</v>
      </c>
      <c r="E427" s="2">
        <v>8602000000</v>
      </c>
      <c r="F427" s="2">
        <v>291000000</v>
      </c>
      <c r="G427" s="2">
        <v>5808000000</v>
      </c>
      <c r="H427">
        <v>0</v>
      </c>
      <c r="I427" s="2">
        <v>576000000</v>
      </c>
      <c r="J427" t="s">
        <v>43</v>
      </c>
      <c r="K427" t="s">
        <v>101</v>
      </c>
      <c r="L427" s="37">
        <f t="shared" si="24"/>
        <v>0.9661706579865148</v>
      </c>
      <c r="M427" s="2">
        <f t="shared" si="25"/>
        <v>8311000000</v>
      </c>
      <c r="N427" s="37">
        <f t="shared" si="26"/>
        <v>0.22401767030923042</v>
      </c>
      <c r="O427" s="2">
        <f t="shared" si="27"/>
        <v>1927000000</v>
      </c>
    </row>
    <row r="428" spans="1:15" x14ac:dyDescent="0.3">
      <c r="A428" t="s">
        <v>483</v>
      </c>
      <c r="B428">
        <v>3</v>
      </c>
      <c r="C428">
        <v>2014</v>
      </c>
      <c r="D428" s="1">
        <v>42004</v>
      </c>
      <c r="E428" s="2">
        <v>8707000000</v>
      </c>
      <c r="F428" s="2">
        <v>235000000</v>
      </c>
      <c r="G428" s="2">
        <v>5518000000</v>
      </c>
      <c r="H428">
        <v>0</v>
      </c>
      <c r="I428" s="2">
        <v>367000000</v>
      </c>
      <c r="J428" t="s">
        <v>43</v>
      </c>
      <c r="K428" t="s">
        <v>101</v>
      </c>
      <c r="L428" s="37">
        <f t="shared" si="24"/>
        <v>0.9730102216607327</v>
      </c>
      <c r="M428" s="2">
        <f t="shared" si="25"/>
        <v>8472000000</v>
      </c>
      <c r="N428" s="37">
        <f t="shared" si="26"/>
        <v>0.29711726197312505</v>
      </c>
      <c r="O428" s="2">
        <f t="shared" si="27"/>
        <v>2587000000</v>
      </c>
    </row>
    <row r="429" spans="1:15" x14ac:dyDescent="0.3">
      <c r="A429" t="s">
        <v>483</v>
      </c>
      <c r="B429">
        <v>4</v>
      </c>
      <c r="C429">
        <v>2015</v>
      </c>
      <c r="D429" s="1">
        <v>42369</v>
      </c>
      <c r="E429" s="2">
        <v>8533000000</v>
      </c>
      <c r="F429" s="2">
        <v>219000000</v>
      </c>
      <c r="G429" s="2">
        <v>5120000000</v>
      </c>
      <c r="H429">
        <v>0</v>
      </c>
      <c r="I429" s="2">
        <v>205000000</v>
      </c>
      <c r="J429" t="s">
        <v>43</v>
      </c>
      <c r="K429" t="s">
        <v>101</v>
      </c>
      <c r="L429" s="37">
        <f t="shared" si="24"/>
        <v>0.97433493495839685</v>
      </c>
      <c r="M429" s="2">
        <f t="shared" si="25"/>
        <v>8314000000</v>
      </c>
      <c r="N429" s="37">
        <f t="shared" si="26"/>
        <v>0.35028712059064809</v>
      </c>
      <c r="O429" s="2">
        <f t="shared" si="27"/>
        <v>2989000000</v>
      </c>
    </row>
    <row r="430" spans="1:15" x14ac:dyDescent="0.3">
      <c r="A430" t="s">
        <v>196</v>
      </c>
      <c r="B430">
        <v>1</v>
      </c>
      <c r="C430">
        <v>2013</v>
      </c>
      <c r="D430" s="1">
        <v>41547</v>
      </c>
      <c r="E430" s="2">
        <v>6259300000</v>
      </c>
      <c r="F430" s="2">
        <v>4853500000</v>
      </c>
      <c r="G430" s="2">
        <v>649900000</v>
      </c>
      <c r="H430">
        <v>0</v>
      </c>
      <c r="I430">
        <v>0</v>
      </c>
      <c r="J430" t="s">
        <v>15</v>
      </c>
      <c r="K430" t="s">
        <v>197</v>
      </c>
      <c r="L430" s="37">
        <f t="shared" si="24"/>
        <v>0.22459380441902455</v>
      </c>
      <c r="M430" s="2">
        <f t="shared" si="25"/>
        <v>1405800000</v>
      </c>
      <c r="N430" s="37">
        <f t="shared" si="26"/>
        <v>0.12076430271755628</v>
      </c>
      <c r="O430" s="2">
        <f t="shared" si="27"/>
        <v>755900000</v>
      </c>
    </row>
    <row r="431" spans="1:15" x14ac:dyDescent="0.3">
      <c r="A431" t="s">
        <v>196</v>
      </c>
      <c r="B431">
        <v>2</v>
      </c>
      <c r="C431">
        <v>2014</v>
      </c>
      <c r="D431" s="1">
        <v>41912</v>
      </c>
      <c r="E431" s="2">
        <v>8024900000</v>
      </c>
      <c r="F431" s="2">
        <v>6268600000</v>
      </c>
      <c r="G431" s="2">
        <v>826900000</v>
      </c>
      <c r="H431">
        <v>0</v>
      </c>
      <c r="I431">
        <v>0</v>
      </c>
      <c r="J431" t="s">
        <v>15</v>
      </c>
      <c r="K431" t="s">
        <v>197</v>
      </c>
      <c r="L431" s="37">
        <f t="shared" si="24"/>
        <v>0.21885630973594683</v>
      </c>
      <c r="M431" s="2">
        <f t="shared" si="25"/>
        <v>1756300000</v>
      </c>
      <c r="N431" s="37">
        <f t="shared" si="26"/>
        <v>0.11581452728382909</v>
      </c>
      <c r="O431" s="2">
        <f t="shared" si="27"/>
        <v>929400000</v>
      </c>
    </row>
    <row r="432" spans="1:15" x14ac:dyDescent="0.3">
      <c r="A432" t="s">
        <v>196</v>
      </c>
      <c r="B432">
        <v>3</v>
      </c>
      <c r="C432">
        <v>2015</v>
      </c>
      <c r="D432" s="1">
        <v>42277</v>
      </c>
      <c r="E432" s="2">
        <v>10824000000</v>
      </c>
      <c r="F432" s="2">
        <v>8535700000</v>
      </c>
      <c r="G432" s="2">
        <v>1003000000</v>
      </c>
      <c r="H432">
        <v>0</v>
      </c>
      <c r="I432">
        <v>0</v>
      </c>
      <c r="J432" t="s">
        <v>15</v>
      </c>
      <c r="K432" t="s">
        <v>197</v>
      </c>
      <c r="L432" s="37">
        <f t="shared" si="24"/>
        <v>0.211409830007391</v>
      </c>
      <c r="M432" s="2">
        <f t="shared" si="25"/>
        <v>2288300000</v>
      </c>
      <c r="N432" s="37">
        <f t="shared" si="26"/>
        <v>0.11874538063562454</v>
      </c>
      <c r="O432" s="2">
        <f t="shared" si="27"/>
        <v>1285300000</v>
      </c>
    </row>
    <row r="433" spans="1:15" x14ac:dyDescent="0.3">
      <c r="A433" t="s">
        <v>196</v>
      </c>
      <c r="B433">
        <v>4</v>
      </c>
      <c r="C433">
        <v>2016</v>
      </c>
      <c r="D433" s="1">
        <v>42643</v>
      </c>
      <c r="E433" s="2">
        <v>12157400000</v>
      </c>
      <c r="F433" s="2">
        <v>9502600000</v>
      </c>
      <c r="G433" s="2">
        <v>1100300000</v>
      </c>
      <c r="H433">
        <v>0</v>
      </c>
      <c r="I433">
        <v>0</v>
      </c>
      <c r="J433" t="s">
        <v>15</v>
      </c>
      <c r="K433" t="s">
        <v>197</v>
      </c>
      <c r="L433" s="37">
        <f t="shared" si="24"/>
        <v>0.21836905917383653</v>
      </c>
      <c r="M433" s="2">
        <f t="shared" si="25"/>
        <v>2654800000</v>
      </c>
      <c r="N433" s="37">
        <f t="shared" si="26"/>
        <v>0.12786451050389064</v>
      </c>
      <c r="O433" s="2">
        <f t="shared" si="27"/>
        <v>1554500000</v>
      </c>
    </row>
    <row r="434" spans="1:15" x14ac:dyDescent="0.3">
      <c r="A434" t="s">
        <v>198</v>
      </c>
      <c r="B434">
        <v>1</v>
      </c>
      <c r="C434">
        <v>2012</v>
      </c>
      <c r="D434" s="1">
        <v>41274</v>
      </c>
      <c r="E434" s="2">
        <v>18260400000</v>
      </c>
      <c r="F434" s="2">
        <v>8846100000</v>
      </c>
      <c r="G434" s="2">
        <v>5181200000</v>
      </c>
      <c r="H434" s="2">
        <v>1137900000</v>
      </c>
      <c r="I434">
        <v>0</v>
      </c>
      <c r="J434" t="s">
        <v>12</v>
      </c>
      <c r="K434" t="s">
        <v>160</v>
      </c>
      <c r="L434" s="37">
        <f t="shared" si="24"/>
        <v>0.51555825721232829</v>
      </c>
      <c r="M434" s="2">
        <f t="shared" si="25"/>
        <v>9414300000</v>
      </c>
      <c r="N434" s="37">
        <f t="shared" si="26"/>
        <v>0.1695034062780662</v>
      </c>
      <c r="O434" s="2">
        <f t="shared" si="27"/>
        <v>3095200000</v>
      </c>
    </row>
    <row r="435" spans="1:15" x14ac:dyDescent="0.3">
      <c r="A435" t="s">
        <v>198</v>
      </c>
      <c r="B435">
        <v>2</v>
      </c>
      <c r="C435">
        <v>2013</v>
      </c>
      <c r="D435" s="1">
        <v>41639</v>
      </c>
      <c r="E435" s="2">
        <v>18283100000</v>
      </c>
      <c r="F435" s="2">
        <v>8941100000</v>
      </c>
      <c r="G435" s="2">
        <v>5117100000</v>
      </c>
      <c r="H435" s="2">
        <v>1104400000</v>
      </c>
      <c r="I435">
        <v>0</v>
      </c>
      <c r="J435" t="s">
        <v>12</v>
      </c>
      <c r="K435" t="s">
        <v>160</v>
      </c>
      <c r="L435" s="37">
        <f t="shared" si="24"/>
        <v>0.5109636768381729</v>
      </c>
      <c r="M435" s="2">
        <f t="shared" si="25"/>
        <v>9342000000</v>
      </c>
      <c r="N435" s="37">
        <f t="shared" si="26"/>
        <v>0.17067674519091403</v>
      </c>
      <c r="O435" s="2">
        <f t="shared" si="27"/>
        <v>3120500000</v>
      </c>
    </row>
    <row r="436" spans="1:15" x14ac:dyDescent="0.3">
      <c r="A436" t="s">
        <v>198</v>
      </c>
      <c r="B436">
        <v>3</v>
      </c>
      <c r="C436">
        <v>2014</v>
      </c>
      <c r="D436" s="1">
        <v>42004</v>
      </c>
      <c r="E436" s="2">
        <v>19154000000</v>
      </c>
      <c r="F436" s="2">
        <v>9261400000</v>
      </c>
      <c r="G436" s="2">
        <v>5389000000</v>
      </c>
      <c r="H436" s="2">
        <v>1157000000</v>
      </c>
      <c r="I436">
        <v>0</v>
      </c>
      <c r="J436" t="s">
        <v>12</v>
      </c>
      <c r="K436" t="s">
        <v>160</v>
      </c>
      <c r="L436" s="37">
        <f t="shared" si="24"/>
        <v>0.51647697608854548</v>
      </c>
      <c r="M436" s="2">
        <f t="shared" si="25"/>
        <v>9892600000</v>
      </c>
      <c r="N436" s="37">
        <f t="shared" si="26"/>
        <v>0.17472068497441787</v>
      </c>
      <c r="O436" s="2">
        <f t="shared" si="27"/>
        <v>3346600000</v>
      </c>
    </row>
    <row r="437" spans="1:15" x14ac:dyDescent="0.3">
      <c r="A437" t="s">
        <v>198</v>
      </c>
      <c r="B437">
        <v>4</v>
      </c>
      <c r="C437">
        <v>2015</v>
      </c>
      <c r="D437" s="1">
        <v>42369</v>
      </c>
      <c r="E437" s="2">
        <v>20563100000</v>
      </c>
      <c r="F437" s="2">
        <v>9800600000</v>
      </c>
      <c r="G437" s="2">
        <v>6054300000</v>
      </c>
      <c r="H437" s="2">
        <v>1239100000</v>
      </c>
      <c r="I437">
        <v>0</v>
      </c>
      <c r="J437" t="s">
        <v>12</v>
      </c>
      <c r="K437" t="s">
        <v>160</v>
      </c>
      <c r="L437" s="37">
        <f t="shared" si="24"/>
        <v>0.52338898317860627</v>
      </c>
      <c r="M437" s="2">
        <f t="shared" si="25"/>
        <v>10762500000</v>
      </c>
      <c r="N437" s="37">
        <f t="shared" si="26"/>
        <v>0.16870510769290623</v>
      </c>
      <c r="O437" s="2">
        <f t="shared" si="27"/>
        <v>3469100000</v>
      </c>
    </row>
    <row r="438" spans="1:15" x14ac:dyDescent="0.3">
      <c r="A438" t="s">
        <v>199</v>
      </c>
      <c r="B438">
        <v>1</v>
      </c>
      <c r="C438">
        <v>2013</v>
      </c>
      <c r="D438" s="1">
        <v>41545</v>
      </c>
      <c r="E438" s="2">
        <v>45041000000</v>
      </c>
      <c r="F438" s="2">
        <v>25034000000</v>
      </c>
      <c r="G438" s="2">
        <v>8365000000</v>
      </c>
      <c r="H438">
        <v>0</v>
      </c>
      <c r="I438" s="2">
        <v>2192000000</v>
      </c>
      <c r="J438" t="s">
        <v>15</v>
      </c>
      <c r="K438" t="s">
        <v>200</v>
      </c>
      <c r="L438" s="37">
        <f t="shared" si="24"/>
        <v>0.4441952887369286</v>
      </c>
      <c r="M438" s="2">
        <f t="shared" si="25"/>
        <v>20007000000</v>
      </c>
      <c r="N438" s="37">
        <f t="shared" si="26"/>
        <v>0.20980884083390688</v>
      </c>
      <c r="O438" s="2">
        <f t="shared" si="27"/>
        <v>9450000000</v>
      </c>
    </row>
    <row r="439" spans="1:15" x14ac:dyDescent="0.3">
      <c r="A439" t="s">
        <v>199</v>
      </c>
      <c r="B439">
        <v>2</v>
      </c>
      <c r="C439">
        <v>2014</v>
      </c>
      <c r="D439" s="1">
        <v>41909</v>
      </c>
      <c r="E439" s="2">
        <v>48813000000</v>
      </c>
      <c r="F439" s="2">
        <v>26420000000</v>
      </c>
      <c r="G439" s="2">
        <v>8565000000</v>
      </c>
      <c r="H439">
        <v>0</v>
      </c>
      <c r="I439" s="2">
        <v>2288000000</v>
      </c>
      <c r="J439" t="s">
        <v>15</v>
      </c>
      <c r="K439" t="s">
        <v>200</v>
      </c>
      <c r="L439" s="37">
        <f t="shared" si="24"/>
        <v>0.45875074263003712</v>
      </c>
      <c r="M439" s="2">
        <f t="shared" si="25"/>
        <v>22393000000</v>
      </c>
      <c r="N439" s="37">
        <f t="shared" si="26"/>
        <v>0.23641243111466209</v>
      </c>
      <c r="O439" s="2">
        <f t="shared" si="27"/>
        <v>11540000000</v>
      </c>
    </row>
    <row r="440" spans="1:15" x14ac:dyDescent="0.3">
      <c r="A440" t="s">
        <v>199</v>
      </c>
      <c r="B440">
        <v>3</v>
      </c>
      <c r="C440">
        <v>2015</v>
      </c>
      <c r="D440" s="1">
        <v>42280</v>
      </c>
      <c r="E440" s="2">
        <v>52465000000</v>
      </c>
      <c r="F440" s="2">
        <v>28364000000</v>
      </c>
      <c r="G440" s="2">
        <v>8523000000</v>
      </c>
      <c r="H440">
        <v>0</v>
      </c>
      <c r="I440" s="2">
        <v>2354000000</v>
      </c>
      <c r="J440" t="s">
        <v>15</v>
      </c>
      <c r="K440" t="s">
        <v>200</v>
      </c>
      <c r="L440" s="37">
        <f t="shared" si="24"/>
        <v>0.4593729152768512</v>
      </c>
      <c r="M440" s="2">
        <f t="shared" si="25"/>
        <v>24101000000</v>
      </c>
      <c r="N440" s="37">
        <f t="shared" si="26"/>
        <v>0.25205375011912706</v>
      </c>
      <c r="O440" s="2">
        <f t="shared" si="27"/>
        <v>13224000000</v>
      </c>
    </row>
    <row r="441" spans="1:15" x14ac:dyDescent="0.3">
      <c r="A441" t="s">
        <v>199</v>
      </c>
      <c r="B441">
        <v>4</v>
      </c>
      <c r="C441">
        <v>2016</v>
      </c>
      <c r="D441" s="1">
        <v>42644</v>
      </c>
      <c r="E441" s="2">
        <v>55632000000</v>
      </c>
      <c r="F441" s="2">
        <v>29993000000</v>
      </c>
      <c r="G441" s="2">
        <v>8754000000</v>
      </c>
      <c r="H441">
        <v>0</v>
      </c>
      <c r="I441" s="2">
        <v>2527000000</v>
      </c>
      <c r="J441" t="s">
        <v>15</v>
      </c>
      <c r="K441" t="s">
        <v>200</v>
      </c>
      <c r="L441" s="37">
        <f t="shared" si="24"/>
        <v>0.46086784584411844</v>
      </c>
      <c r="M441" s="2">
        <f t="shared" si="25"/>
        <v>25639000000</v>
      </c>
      <c r="N441" s="37">
        <f t="shared" si="26"/>
        <v>0.25808886971527178</v>
      </c>
      <c r="O441" s="2">
        <f t="shared" si="27"/>
        <v>14358000000</v>
      </c>
    </row>
    <row r="442" spans="1:15" x14ac:dyDescent="0.3">
      <c r="A442" t="s">
        <v>201</v>
      </c>
      <c r="B442">
        <v>1</v>
      </c>
      <c r="C442">
        <v>2013</v>
      </c>
      <c r="D442" s="1">
        <v>41639</v>
      </c>
      <c r="E442" s="2">
        <v>5535000000</v>
      </c>
      <c r="F442" s="2">
        <v>1689000000</v>
      </c>
      <c r="G442" s="2">
        <v>1598000000</v>
      </c>
      <c r="H442">
        <v>0</v>
      </c>
      <c r="I442" s="2">
        <v>276000000</v>
      </c>
      <c r="J442" t="s">
        <v>15</v>
      </c>
      <c r="K442" t="s">
        <v>144</v>
      </c>
      <c r="L442" s="37">
        <f t="shared" si="24"/>
        <v>0.69485094850948514</v>
      </c>
      <c r="M442" s="2">
        <f t="shared" si="25"/>
        <v>3846000000</v>
      </c>
      <c r="N442" s="37">
        <f t="shared" si="26"/>
        <v>0.35627822944896115</v>
      </c>
      <c r="O442" s="2">
        <f t="shared" si="27"/>
        <v>1972000000</v>
      </c>
    </row>
    <row r="443" spans="1:15" x14ac:dyDescent="0.3">
      <c r="A443" t="s">
        <v>201</v>
      </c>
      <c r="B443">
        <v>2</v>
      </c>
      <c r="C443">
        <v>2014</v>
      </c>
      <c r="D443" s="1">
        <v>42004</v>
      </c>
      <c r="E443" s="2">
        <v>6265000000</v>
      </c>
      <c r="F443" s="2">
        <v>2124000000</v>
      </c>
      <c r="G443" s="2">
        <v>1692000000</v>
      </c>
      <c r="H443">
        <v>0</v>
      </c>
      <c r="I443" s="2">
        <v>329000000</v>
      </c>
      <c r="J443" t="s">
        <v>15</v>
      </c>
      <c r="K443" t="s">
        <v>144</v>
      </c>
      <c r="L443" s="37">
        <f t="shared" si="24"/>
        <v>0.66097366320830009</v>
      </c>
      <c r="M443" s="2">
        <f t="shared" si="25"/>
        <v>4141000000</v>
      </c>
      <c r="N443" s="37">
        <f t="shared" si="26"/>
        <v>0.33838786911412611</v>
      </c>
      <c r="O443" s="2">
        <f t="shared" si="27"/>
        <v>2120000000</v>
      </c>
    </row>
    <row r="444" spans="1:15" x14ac:dyDescent="0.3">
      <c r="A444" t="s">
        <v>201</v>
      </c>
      <c r="B444">
        <v>3</v>
      </c>
      <c r="C444">
        <v>2015</v>
      </c>
      <c r="D444" s="1">
        <v>42369</v>
      </c>
      <c r="E444" s="2">
        <v>6394000000</v>
      </c>
      <c r="F444" s="2">
        <v>2343000000</v>
      </c>
      <c r="G444" s="2">
        <v>1669000000</v>
      </c>
      <c r="H444">
        <v>0</v>
      </c>
      <c r="I444" s="2">
        <v>330000000</v>
      </c>
      <c r="J444" t="s">
        <v>15</v>
      </c>
      <c r="K444" t="s">
        <v>144</v>
      </c>
      <c r="L444" s="37">
        <f t="shared" si="24"/>
        <v>0.633562715045355</v>
      </c>
      <c r="M444" s="2">
        <f t="shared" si="25"/>
        <v>4051000000</v>
      </c>
      <c r="N444" s="37">
        <f t="shared" si="26"/>
        <v>0.32092586800125117</v>
      </c>
      <c r="O444" s="2">
        <f t="shared" si="27"/>
        <v>2052000000</v>
      </c>
    </row>
    <row r="445" spans="1:15" x14ac:dyDescent="0.3">
      <c r="A445" t="s">
        <v>201</v>
      </c>
      <c r="B445">
        <v>4</v>
      </c>
      <c r="C445">
        <v>2016</v>
      </c>
      <c r="D445" s="1">
        <v>42735</v>
      </c>
      <c r="E445" s="2">
        <v>6497000000</v>
      </c>
      <c r="F445" s="2">
        <v>2432000000</v>
      </c>
      <c r="G445" s="2">
        <v>1690000000</v>
      </c>
      <c r="H445">
        <v>0</v>
      </c>
      <c r="I445" s="2">
        <v>322000000</v>
      </c>
      <c r="J445" t="s">
        <v>15</v>
      </c>
      <c r="K445" t="s">
        <v>144</v>
      </c>
      <c r="L445" s="37">
        <f t="shared" si="24"/>
        <v>0.6256733877174081</v>
      </c>
      <c r="M445" s="2">
        <f t="shared" si="25"/>
        <v>4065000000</v>
      </c>
      <c r="N445" s="37">
        <f t="shared" si="26"/>
        <v>0.3159919963059874</v>
      </c>
      <c r="O445" s="2">
        <f t="shared" si="27"/>
        <v>2053000000</v>
      </c>
    </row>
    <row r="446" spans="1:15" x14ac:dyDescent="0.3">
      <c r="A446" t="s">
        <v>202</v>
      </c>
      <c r="B446">
        <v>1</v>
      </c>
      <c r="C446">
        <v>2013</v>
      </c>
      <c r="D446" s="1">
        <v>41639</v>
      </c>
      <c r="E446" s="2">
        <v>5535000000</v>
      </c>
      <c r="F446" s="2">
        <v>1689000000</v>
      </c>
      <c r="G446" s="2">
        <v>1598000000</v>
      </c>
      <c r="H446">
        <v>0</v>
      </c>
      <c r="I446" s="2">
        <v>276000000</v>
      </c>
      <c r="J446" t="s">
        <v>15</v>
      </c>
      <c r="K446" t="s">
        <v>144</v>
      </c>
      <c r="L446" s="37">
        <f t="shared" si="24"/>
        <v>0.69485094850948514</v>
      </c>
      <c r="M446" s="2">
        <f t="shared" si="25"/>
        <v>3846000000</v>
      </c>
      <c r="N446" s="37">
        <f t="shared" si="26"/>
        <v>0.35627822944896115</v>
      </c>
      <c r="O446" s="2">
        <f t="shared" si="27"/>
        <v>1972000000</v>
      </c>
    </row>
    <row r="447" spans="1:15" x14ac:dyDescent="0.3">
      <c r="A447" t="s">
        <v>202</v>
      </c>
      <c r="B447">
        <v>2</v>
      </c>
      <c r="C447">
        <v>2014</v>
      </c>
      <c r="D447" s="1">
        <v>42004</v>
      </c>
      <c r="E447" s="2">
        <v>6265000000</v>
      </c>
      <c r="F447" s="2">
        <v>2124000000</v>
      </c>
      <c r="G447" s="2">
        <v>1692000000</v>
      </c>
      <c r="H447">
        <v>0</v>
      </c>
      <c r="I447" s="2">
        <v>329000000</v>
      </c>
      <c r="J447" t="s">
        <v>15</v>
      </c>
      <c r="K447" t="s">
        <v>144</v>
      </c>
      <c r="L447" s="37">
        <f t="shared" si="24"/>
        <v>0.66097366320830009</v>
      </c>
      <c r="M447" s="2">
        <f t="shared" si="25"/>
        <v>4141000000</v>
      </c>
      <c r="N447" s="37">
        <f t="shared" si="26"/>
        <v>0.33838786911412611</v>
      </c>
      <c r="O447" s="2">
        <f t="shared" si="27"/>
        <v>2120000000</v>
      </c>
    </row>
    <row r="448" spans="1:15" x14ac:dyDescent="0.3">
      <c r="A448" t="s">
        <v>202</v>
      </c>
      <c r="B448">
        <v>3</v>
      </c>
      <c r="C448">
        <v>2015</v>
      </c>
      <c r="D448" s="1">
        <v>42369</v>
      </c>
      <c r="E448" s="2">
        <v>6394000000</v>
      </c>
      <c r="F448" s="2">
        <v>2343000000</v>
      </c>
      <c r="G448" s="2">
        <v>1669000000</v>
      </c>
      <c r="H448">
        <v>0</v>
      </c>
      <c r="I448" s="2">
        <v>330000000</v>
      </c>
      <c r="J448" t="s">
        <v>15</v>
      </c>
      <c r="K448" t="s">
        <v>144</v>
      </c>
      <c r="L448" s="37">
        <f t="shared" si="24"/>
        <v>0.633562715045355</v>
      </c>
      <c r="M448" s="2">
        <f t="shared" si="25"/>
        <v>4051000000</v>
      </c>
      <c r="N448" s="37">
        <f t="shared" si="26"/>
        <v>0.32092586800125117</v>
      </c>
      <c r="O448" s="2">
        <f t="shared" si="27"/>
        <v>2052000000</v>
      </c>
    </row>
    <row r="449" spans="1:15" x14ac:dyDescent="0.3">
      <c r="A449" t="s">
        <v>202</v>
      </c>
      <c r="B449">
        <v>4</v>
      </c>
      <c r="C449">
        <v>2016</v>
      </c>
      <c r="D449" s="1">
        <v>42735</v>
      </c>
      <c r="E449" s="2">
        <v>6497000000</v>
      </c>
      <c r="F449" s="2">
        <v>2432000000</v>
      </c>
      <c r="G449" s="2">
        <v>1690000000</v>
      </c>
      <c r="H449">
        <v>0</v>
      </c>
      <c r="I449" s="2">
        <v>322000000</v>
      </c>
      <c r="J449" t="s">
        <v>15</v>
      </c>
      <c r="K449" t="s">
        <v>144</v>
      </c>
      <c r="L449" s="37">
        <f t="shared" si="24"/>
        <v>0.6256733877174081</v>
      </c>
      <c r="M449" s="2">
        <f t="shared" si="25"/>
        <v>4065000000</v>
      </c>
      <c r="N449" s="37">
        <f t="shared" si="26"/>
        <v>0.3159919963059874</v>
      </c>
      <c r="O449" s="2">
        <f t="shared" si="27"/>
        <v>2053000000</v>
      </c>
    </row>
    <row r="450" spans="1:15" x14ac:dyDescent="0.3">
      <c r="A450" t="s">
        <v>203</v>
      </c>
      <c r="B450">
        <v>1</v>
      </c>
      <c r="C450">
        <v>2013</v>
      </c>
      <c r="D450" s="1">
        <v>41639</v>
      </c>
      <c r="E450" s="2">
        <v>15051000000</v>
      </c>
      <c r="F450" s="2">
        <v>12274000000</v>
      </c>
      <c r="G450" s="2">
        <v>916000000</v>
      </c>
      <c r="H450">
        <v>0</v>
      </c>
      <c r="I450" s="2">
        <v>97000000</v>
      </c>
      <c r="J450" t="s">
        <v>15</v>
      </c>
      <c r="K450" t="s">
        <v>117</v>
      </c>
      <c r="L450" s="37">
        <f t="shared" ref="L450:L513" si="28">1-(F450/E450)</f>
        <v>0.18450601288950896</v>
      </c>
      <c r="M450" s="2">
        <f t="shared" ref="M450:M513" si="29">E450-F450</f>
        <v>2777000000</v>
      </c>
      <c r="N450" s="37">
        <f t="shared" ref="N450:N513" si="30">O450/E450</f>
        <v>0.11720151484951166</v>
      </c>
      <c r="O450" s="2">
        <f t="shared" ref="O450:O513" si="31">M450-SUM(G450:I450)</f>
        <v>1764000000</v>
      </c>
    </row>
    <row r="451" spans="1:15" x14ac:dyDescent="0.3">
      <c r="A451" t="s">
        <v>203</v>
      </c>
      <c r="B451">
        <v>2</v>
      </c>
      <c r="C451">
        <v>2014</v>
      </c>
      <c r="D451" s="1">
        <v>42004</v>
      </c>
      <c r="E451" s="2">
        <v>15499000000</v>
      </c>
      <c r="F451" s="2">
        <v>12471000000</v>
      </c>
      <c r="G451" s="2">
        <v>1036000000</v>
      </c>
      <c r="H451">
        <v>0</v>
      </c>
      <c r="I451" s="2">
        <v>94000000</v>
      </c>
      <c r="J451" t="s">
        <v>15</v>
      </c>
      <c r="K451" t="s">
        <v>117</v>
      </c>
      <c r="L451" s="37">
        <f t="shared" si="28"/>
        <v>0.19536744306084264</v>
      </c>
      <c r="M451" s="2">
        <f t="shared" si="29"/>
        <v>3028000000</v>
      </c>
      <c r="N451" s="37">
        <f t="shared" si="30"/>
        <v>0.1224595135170011</v>
      </c>
      <c r="O451" s="2">
        <f t="shared" si="31"/>
        <v>1898000000</v>
      </c>
    </row>
    <row r="452" spans="1:15" x14ac:dyDescent="0.3">
      <c r="A452" t="s">
        <v>203</v>
      </c>
      <c r="B452">
        <v>3</v>
      </c>
      <c r="C452">
        <v>2015</v>
      </c>
      <c r="D452" s="1">
        <v>42369</v>
      </c>
      <c r="E452" s="2">
        <v>15165000000</v>
      </c>
      <c r="F452" s="2">
        <v>12155000000</v>
      </c>
      <c r="G452" s="2">
        <v>1017000000</v>
      </c>
      <c r="H452">
        <v>0</v>
      </c>
      <c r="I452" s="2">
        <v>93000000</v>
      </c>
      <c r="J452" t="s">
        <v>15</v>
      </c>
      <c r="K452" t="s">
        <v>117</v>
      </c>
      <c r="L452" s="37">
        <f t="shared" si="28"/>
        <v>0.19848334981866134</v>
      </c>
      <c r="M452" s="2">
        <f t="shared" si="29"/>
        <v>3010000000</v>
      </c>
      <c r="N452" s="37">
        <f t="shared" si="30"/>
        <v>0.12528849324101549</v>
      </c>
      <c r="O452" s="2">
        <f t="shared" si="31"/>
        <v>1900000000</v>
      </c>
    </row>
    <row r="453" spans="1:15" x14ac:dyDescent="0.3">
      <c r="A453" t="s">
        <v>203</v>
      </c>
      <c r="B453">
        <v>4</v>
      </c>
      <c r="C453">
        <v>2016</v>
      </c>
      <c r="D453" s="1">
        <v>42735</v>
      </c>
      <c r="E453" s="2">
        <v>16661000000</v>
      </c>
      <c r="F453" s="2">
        <v>13107000000</v>
      </c>
      <c r="G453" s="2">
        <v>1145000000</v>
      </c>
      <c r="H453">
        <v>0</v>
      </c>
      <c r="I453" s="2">
        <v>134000000</v>
      </c>
      <c r="J453" t="s">
        <v>15</v>
      </c>
      <c r="K453" t="s">
        <v>117</v>
      </c>
      <c r="L453" s="37">
        <f t="shared" si="28"/>
        <v>0.21331252625892805</v>
      </c>
      <c r="M453" s="2">
        <f t="shared" si="29"/>
        <v>3554000000</v>
      </c>
      <c r="N453" s="37">
        <f t="shared" si="30"/>
        <v>0.13654642578476683</v>
      </c>
      <c r="O453" s="2">
        <f t="shared" si="31"/>
        <v>2275000000</v>
      </c>
    </row>
    <row r="454" spans="1:15" x14ac:dyDescent="0.3">
      <c r="A454" t="s">
        <v>204</v>
      </c>
      <c r="B454">
        <v>1</v>
      </c>
      <c r="C454">
        <v>2012</v>
      </c>
      <c r="D454" s="1">
        <v>41274</v>
      </c>
      <c r="E454" s="2">
        <v>1279067000</v>
      </c>
      <c r="F454" s="2">
        <v>461898000</v>
      </c>
      <c r="G454" s="2">
        <v>68538000</v>
      </c>
      <c r="H454">
        <v>0</v>
      </c>
      <c r="I454" s="2">
        <v>382553000</v>
      </c>
      <c r="J454" t="s">
        <v>48</v>
      </c>
      <c r="K454" t="s">
        <v>71</v>
      </c>
      <c r="L454" s="37">
        <f t="shared" si="28"/>
        <v>0.63887896411994061</v>
      </c>
      <c r="M454" s="2">
        <f t="shared" si="29"/>
        <v>817169000</v>
      </c>
      <c r="N454" s="37">
        <f t="shared" si="30"/>
        <v>0.2862070556116294</v>
      </c>
      <c r="O454" s="2">
        <f t="shared" si="31"/>
        <v>366078000</v>
      </c>
    </row>
    <row r="455" spans="1:15" x14ac:dyDescent="0.3">
      <c r="A455" t="s">
        <v>204</v>
      </c>
      <c r="B455">
        <v>2</v>
      </c>
      <c r="C455">
        <v>2013</v>
      </c>
      <c r="D455" s="1">
        <v>41639</v>
      </c>
      <c r="E455" s="2">
        <v>1482259000</v>
      </c>
      <c r="F455" s="2">
        <v>555660000</v>
      </c>
      <c r="G455" s="2">
        <v>69323000</v>
      </c>
      <c r="H455">
        <v>0</v>
      </c>
      <c r="I455" s="2">
        <v>475464000</v>
      </c>
      <c r="J455" t="s">
        <v>48</v>
      </c>
      <c r="K455" t="s">
        <v>71</v>
      </c>
      <c r="L455" s="37">
        <f t="shared" si="28"/>
        <v>0.62512624311945486</v>
      </c>
      <c r="M455" s="2">
        <f t="shared" si="29"/>
        <v>926599000</v>
      </c>
      <c r="N455" s="37">
        <f t="shared" si="30"/>
        <v>0.2575879114243867</v>
      </c>
      <c r="O455" s="2">
        <f t="shared" si="31"/>
        <v>381812000</v>
      </c>
    </row>
    <row r="456" spans="1:15" x14ac:dyDescent="0.3">
      <c r="A456" t="s">
        <v>204</v>
      </c>
      <c r="B456">
        <v>3</v>
      </c>
      <c r="C456">
        <v>2014</v>
      </c>
      <c r="D456" s="1">
        <v>42004</v>
      </c>
      <c r="E456" s="2">
        <v>1616438000</v>
      </c>
      <c r="F456" s="2">
        <v>603321000</v>
      </c>
      <c r="G456" s="2">
        <v>89468000</v>
      </c>
      <c r="H456">
        <v>0</v>
      </c>
      <c r="I456" s="2">
        <v>538513000</v>
      </c>
      <c r="J456" t="s">
        <v>48</v>
      </c>
      <c r="K456" t="s">
        <v>71</v>
      </c>
      <c r="L456" s="37">
        <f t="shared" si="28"/>
        <v>0.62675896013333021</v>
      </c>
      <c r="M456" s="2">
        <f t="shared" si="29"/>
        <v>1013117000</v>
      </c>
      <c r="N456" s="37">
        <f t="shared" si="30"/>
        <v>0.238262154193356</v>
      </c>
      <c r="O456" s="2">
        <f t="shared" si="31"/>
        <v>385136000</v>
      </c>
    </row>
    <row r="457" spans="1:15" x14ac:dyDescent="0.3">
      <c r="A457" t="s">
        <v>204</v>
      </c>
      <c r="B457">
        <v>4</v>
      </c>
      <c r="C457">
        <v>2015</v>
      </c>
      <c r="D457" s="1">
        <v>42369</v>
      </c>
      <c r="E457" s="2">
        <v>1763336000</v>
      </c>
      <c r="F457" s="2">
        <v>651282000</v>
      </c>
      <c r="G457" s="2">
        <v>139616000</v>
      </c>
      <c r="H457">
        <v>0</v>
      </c>
      <c r="I457" s="2">
        <v>570527000</v>
      </c>
      <c r="J457" t="s">
        <v>48</v>
      </c>
      <c r="K457" t="s">
        <v>71</v>
      </c>
      <c r="L457" s="37">
        <f t="shared" si="28"/>
        <v>0.630653488614762</v>
      </c>
      <c r="M457" s="2">
        <f t="shared" si="29"/>
        <v>1112054000</v>
      </c>
      <c r="N457" s="37">
        <f t="shared" si="30"/>
        <v>0.22792649840983228</v>
      </c>
      <c r="O457" s="2">
        <f t="shared" si="31"/>
        <v>401911000</v>
      </c>
    </row>
    <row r="458" spans="1:15" x14ac:dyDescent="0.3">
      <c r="A458" t="s">
        <v>205</v>
      </c>
      <c r="B458">
        <v>1</v>
      </c>
      <c r="C458">
        <v>2013</v>
      </c>
      <c r="D458" s="1">
        <v>41307</v>
      </c>
      <c r="E458" s="2">
        <v>7394500000</v>
      </c>
      <c r="F458" s="2">
        <v>4741800000</v>
      </c>
      <c r="G458" s="2">
        <v>1732600000</v>
      </c>
      <c r="H458">
        <v>0</v>
      </c>
      <c r="I458">
        <v>0</v>
      </c>
      <c r="J458" t="s">
        <v>15</v>
      </c>
      <c r="K458" t="s">
        <v>193</v>
      </c>
      <c r="L458" s="37">
        <f t="shared" si="28"/>
        <v>0.35873960375955105</v>
      </c>
      <c r="M458" s="2">
        <f t="shared" si="29"/>
        <v>2652700000</v>
      </c>
      <c r="N458" s="37">
        <f t="shared" si="30"/>
        <v>0.12443031983230779</v>
      </c>
      <c r="O458" s="2">
        <f t="shared" si="31"/>
        <v>920100000</v>
      </c>
    </row>
    <row r="459" spans="1:15" x14ac:dyDescent="0.3">
      <c r="A459" t="s">
        <v>205</v>
      </c>
      <c r="B459">
        <v>2</v>
      </c>
      <c r="C459">
        <v>2014</v>
      </c>
      <c r="D459" s="1">
        <v>41671</v>
      </c>
      <c r="E459" s="2">
        <v>7840300000</v>
      </c>
      <c r="F459" s="2">
        <v>5050500000</v>
      </c>
      <c r="G459" s="2">
        <v>1819500000</v>
      </c>
      <c r="H459">
        <v>0</v>
      </c>
      <c r="I459">
        <v>0</v>
      </c>
      <c r="J459" t="s">
        <v>15</v>
      </c>
      <c r="K459" t="s">
        <v>193</v>
      </c>
      <c r="L459" s="37">
        <f t="shared" si="28"/>
        <v>0.35582822085889576</v>
      </c>
      <c r="M459" s="2">
        <f t="shared" si="29"/>
        <v>2789800000</v>
      </c>
      <c r="N459" s="37">
        <f t="shared" si="30"/>
        <v>0.12375801946354094</v>
      </c>
      <c r="O459" s="2">
        <f t="shared" si="31"/>
        <v>970300000</v>
      </c>
    </row>
    <row r="460" spans="1:15" x14ac:dyDescent="0.3">
      <c r="A460" t="s">
        <v>205</v>
      </c>
      <c r="B460">
        <v>3</v>
      </c>
      <c r="C460">
        <v>2015</v>
      </c>
      <c r="D460" s="1">
        <v>42035</v>
      </c>
      <c r="E460" s="2">
        <v>8602200000</v>
      </c>
      <c r="F460" s="2">
        <v>5568200000</v>
      </c>
      <c r="G460" s="2">
        <v>1993800000</v>
      </c>
      <c r="H460">
        <v>0</v>
      </c>
      <c r="I460">
        <v>0</v>
      </c>
      <c r="J460" t="s">
        <v>15</v>
      </c>
      <c r="K460" t="s">
        <v>193</v>
      </c>
      <c r="L460" s="37">
        <f t="shared" si="28"/>
        <v>0.35270047197228616</v>
      </c>
      <c r="M460" s="2">
        <f t="shared" si="29"/>
        <v>3034000000</v>
      </c>
      <c r="N460" s="37">
        <f t="shared" si="30"/>
        <v>0.12092255469531051</v>
      </c>
      <c r="O460" s="2">
        <f t="shared" si="31"/>
        <v>1040200000</v>
      </c>
    </row>
    <row r="461" spans="1:15" x14ac:dyDescent="0.3">
      <c r="A461" t="s">
        <v>205</v>
      </c>
      <c r="B461">
        <v>4</v>
      </c>
      <c r="C461">
        <v>2016</v>
      </c>
      <c r="D461" s="1">
        <v>42399</v>
      </c>
      <c r="E461" s="2">
        <v>15498400000</v>
      </c>
      <c r="F461" s="2">
        <v>10841700000</v>
      </c>
      <c r="G461" s="2">
        <v>3607000000</v>
      </c>
      <c r="H461">
        <v>0</v>
      </c>
      <c r="I461">
        <v>0</v>
      </c>
      <c r="J461" t="s">
        <v>15</v>
      </c>
      <c r="K461" t="s">
        <v>193</v>
      </c>
      <c r="L461" s="37">
        <f t="shared" si="28"/>
        <v>0.30046327362824554</v>
      </c>
      <c r="M461" s="2">
        <f t="shared" si="29"/>
        <v>4656700000</v>
      </c>
      <c r="N461" s="37">
        <f t="shared" si="30"/>
        <v>6.7729572084860371E-2</v>
      </c>
      <c r="O461" s="2">
        <f t="shared" si="31"/>
        <v>1049700000</v>
      </c>
    </row>
    <row r="462" spans="1:15" x14ac:dyDescent="0.3">
      <c r="A462" t="s">
        <v>206</v>
      </c>
      <c r="B462">
        <v>1</v>
      </c>
      <c r="C462">
        <v>2012</v>
      </c>
      <c r="D462" s="1">
        <v>41274</v>
      </c>
      <c r="E462" s="2">
        <v>1663000000</v>
      </c>
      <c r="F462">
        <v>0</v>
      </c>
      <c r="G462" s="2">
        <v>1123200000</v>
      </c>
      <c r="H462">
        <v>0</v>
      </c>
      <c r="I462" s="2">
        <v>78300000</v>
      </c>
      <c r="J462" t="s">
        <v>12</v>
      </c>
      <c r="K462" t="s">
        <v>207</v>
      </c>
      <c r="L462" s="37">
        <f t="shared" si="28"/>
        <v>1</v>
      </c>
      <c r="M462" s="2">
        <f t="shared" si="29"/>
        <v>1663000000</v>
      </c>
      <c r="N462" s="37">
        <f t="shared" si="30"/>
        <v>0.27751052315093205</v>
      </c>
      <c r="O462" s="2">
        <f t="shared" si="31"/>
        <v>461500000</v>
      </c>
    </row>
    <row r="463" spans="1:15" x14ac:dyDescent="0.3">
      <c r="A463" t="s">
        <v>206</v>
      </c>
      <c r="B463">
        <v>2</v>
      </c>
      <c r="C463">
        <v>2013</v>
      </c>
      <c r="D463" s="1">
        <v>41639</v>
      </c>
      <c r="E463" s="2">
        <v>1558400000</v>
      </c>
      <c r="F463">
        <v>0</v>
      </c>
      <c r="G463" s="2">
        <v>1058000000</v>
      </c>
      <c r="H463">
        <v>0</v>
      </c>
      <c r="I463" s="2">
        <v>60400000</v>
      </c>
      <c r="J463" t="s">
        <v>12</v>
      </c>
      <c r="K463" t="s">
        <v>207</v>
      </c>
      <c r="L463" s="37">
        <f t="shared" si="28"/>
        <v>1</v>
      </c>
      <c r="M463" s="2">
        <f t="shared" si="29"/>
        <v>1558400000</v>
      </c>
      <c r="N463" s="37">
        <f t="shared" si="30"/>
        <v>0.28234086242299794</v>
      </c>
      <c r="O463" s="2">
        <f t="shared" si="31"/>
        <v>440000000</v>
      </c>
    </row>
    <row r="464" spans="1:15" x14ac:dyDescent="0.3">
      <c r="A464" t="s">
        <v>206</v>
      </c>
      <c r="B464">
        <v>3</v>
      </c>
      <c r="C464">
        <v>2014</v>
      </c>
      <c r="D464" s="1">
        <v>42004</v>
      </c>
      <c r="E464" s="2">
        <v>1584500000</v>
      </c>
      <c r="F464">
        <v>0</v>
      </c>
      <c r="G464" s="2">
        <v>1105700000</v>
      </c>
      <c r="H464">
        <v>0</v>
      </c>
      <c r="I464" s="2">
        <v>52500000</v>
      </c>
      <c r="J464" t="s">
        <v>12</v>
      </c>
      <c r="K464" t="s">
        <v>207</v>
      </c>
      <c r="L464" s="37">
        <f t="shared" si="28"/>
        <v>1</v>
      </c>
      <c r="M464" s="2">
        <f t="shared" si="29"/>
        <v>1584500000</v>
      </c>
      <c r="N464" s="37">
        <f t="shared" si="30"/>
        <v>0.26904386241716632</v>
      </c>
      <c r="O464" s="2">
        <f t="shared" si="31"/>
        <v>426300000</v>
      </c>
    </row>
    <row r="465" spans="1:15" x14ac:dyDescent="0.3">
      <c r="A465" t="s">
        <v>206</v>
      </c>
      <c r="B465">
        <v>4</v>
      </c>
      <c r="C465">
        <v>2015</v>
      </c>
      <c r="D465" s="1">
        <v>42369</v>
      </c>
      <c r="E465" s="2">
        <v>1637100000</v>
      </c>
      <c r="F465">
        <v>0</v>
      </c>
      <c r="G465" s="2">
        <v>1209100000</v>
      </c>
      <c r="H465">
        <v>0</v>
      </c>
      <c r="I465" s="2">
        <v>58700000</v>
      </c>
      <c r="J465" t="s">
        <v>12</v>
      </c>
      <c r="K465" t="s">
        <v>207</v>
      </c>
      <c r="L465" s="37">
        <f t="shared" si="28"/>
        <v>1</v>
      </c>
      <c r="M465" s="2">
        <f t="shared" si="29"/>
        <v>1637100000</v>
      </c>
      <c r="N465" s="37">
        <f t="shared" si="30"/>
        <v>0.22558182151365219</v>
      </c>
      <c r="O465" s="2">
        <f t="shared" si="31"/>
        <v>369300000</v>
      </c>
    </row>
    <row r="466" spans="1:15" x14ac:dyDescent="0.3">
      <c r="A466" t="s">
        <v>208</v>
      </c>
      <c r="B466">
        <v>1</v>
      </c>
      <c r="C466">
        <v>2013</v>
      </c>
      <c r="D466" s="1">
        <v>41639</v>
      </c>
      <c r="E466" s="2">
        <v>7155096000</v>
      </c>
      <c r="F466" s="2">
        <v>4376505000</v>
      </c>
      <c r="G466" s="2">
        <v>1616921000</v>
      </c>
      <c r="H466">
        <v>0</v>
      </c>
      <c r="I466">
        <v>0</v>
      </c>
      <c r="J466" t="s">
        <v>12</v>
      </c>
      <c r="K466" t="s">
        <v>153</v>
      </c>
      <c r="L466" s="37">
        <f t="shared" si="28"/>
        <v>0.38833734725571811</v>
      </c>
      <c r="M466" s="2">
        <f t="shared" si="29"/>
        <v>2778591000</v>
      </c>
      <c r="N466" s="37">
        <f t="shared" si="30"/>
        <v>0.16235561339777971</v>
      </c>
      <c r="O466" s="2">
        <f t="shared" si="31"/>
        <v>1161670000</v>
      </c>
    </row>
    <row r="467" spans="1:15" x14ac:dyDescent="0.3">
      <c r="A467" t="s">
        <v>208</v>
      </c>
      <c r="B467">
        <v>2</v>
      </c>
      <c r="C467">
        <v>2014</v>
      </c>
      <c r="D467" s="1">
        <v>42004</v>
      </c>
      <c r="E467" s="2">
        <v>7752728000</v>
      </c>
      <c r="F467" s="2">
        <v>4778479000</v>
      </c>
      <c r="G467" s="2">
        <v>1758765000</v>
      </c>
      <c r="H467">
        <v>0</v>
      </c>
      <c r="I467">
        <v>0</v>
      </c>
      <c r="J467" t="s">
        <v>12</v>
      </c>
      <c r="K467" t="s">
        <v>153</v>
      </c>
      <c r="L467" s="37">
        <f t="shared" si="28"/>
        <v>0.38363902357982893</v>
      </c>
      <c r="M467" s="2">
        <f t="shared" si="29"/>
        <v>2974249000</v>
      </c>
      <c r="N467" s="37">
        <f t="shared" si="30"/>
        <v>0.15678145808804334</v>
      </c>
      <c r="O467" s="2">
        <f t="shared" si="31"/>
        <v>1215484000</v>
      </c>
    </row>
    <row r="468" spans="1:15" x14ac:dyDescent="0.3">
      <c r="A468" t="s">
        <v>208</v>
      </c>
      <c r="B468">
        <v>3</v>
      </c>
      <c r="C468">
        <v>2015</v>
      </c>
      <c r="D468" s="1">
        <v>42369</v>
      </c>
      <c r="E468" s="2">
        <v>6956311000</v>
      </c>
      <c r="F468" s="2">
        <v>4388167000</v>
      </c>
      <c r="G468" s="2">
        <v>1647382000</v>
      </c>
      <c r="H468">
        <v>0</v>
      </c>
      <c r="I468">
        <v>0</v>
      </c>
      <c r="J468" t="s">
        <v>12</v>
      </c>
      <c r="K468" t="s">
        <v>153</v>
      </c>
      <c r="L468" s="37">
        <f t="shared" si="28"/>
        <v>0.36918188390369555</v>
      </c>
      <c r="M468" s="2">
        <f t="shared" si="29"/>
        <v>2568144000</v>
      </c>
      <c r="N468" s="37">
        <f t="shared" si="30"/>
        <v>0.13236354728821068</v>
      </c>
      <c r="O468" s="2">
        <f t="shared" si="31"/>
        <v>920762000</v>
      </c>
    </row>
    <row r="469" spans="1:15" x14ac:dyDescent="0.3">
      <c r="A469" t="s">
        <v>208</v>
      </c>
      <c r="B469">
        <v>4</v>
      </c>
      <c r="C469">
        <v>2016</v>
      </c>
      <c r="D469" s="1">
        <v>42735</v>
      </c>
      <c r="E469" s="2">
        <v>6794342000</v>
      </c>
      <c r="F469" s="2">
        <v>4322373000</v>
      </c>
      <c r="G469" s="2">
        <v>1757523000</v>
      </c>
      <c r="H469">
        <v>0</v>
      </c>
      <c r="I469">
        <v>0</v>
      </c>
      <c r="J469" t="s">
        <v>12</v>
      </c>
      <c r="K469" t="s">
        <v>153</v>
      </c>
      <c r="L469" s="37">
        <f t="shared" si="28"/>
        <v>0.36382757888843398</v>
      </c>
      <c r="M469" s="2">
        <f t="shared" si="29"/>
        <v>2471969000</v>
      </c>
      <c r="N469" s="37">
        <f t="shared" si="30"/>
        <v>0.10515308178481449</v>
      </c>
      <c r="O469" s="2">
        <f t="shared" si="31"/>
        <v>714446000</v>
      </c>
    </row>
    <row r="470" spans="1:15" x14ac:dyDescent="0.3">
      <c r="A470" t="s">
        <v>209</v>
      </c>
      <c r="B470">
        <v>1</v>
      </c>
      <c r="C470">
        <v>2013</v>
      </c>
      <c r="D470" s="1">
        <v>41639</v>
      </c>
      <c r="E470" s="2">
        <v>5997000000</v>
      </c>
      <c r="F470" s="2">
        <v>2499000000</v>
      </c>
      <c r="G470" s="2">
        <v>2337000000</v>
      </c>
      <c r="H470">
        <v>0</v>
      </c>
      <c r="I470" s="2">
        <v>115000000</v>
      </c>
      <c r="J470" t="s">
        <v>32</v>
      </c>
      <c r="K470" t="s">
        <v>210</v>
      </c>
      <c r="L470" s="37">
        <f t="shared" si="28"/>
        <v>0.58329164582291138</v>
      </c>
      <c r="M470" s="2">
        <f t="shared" si="29"/>
        <v>3498000000</v>
      </c>
      <c r="N470" s="37">
        <f t="shared" si="30"/>
        <v>0.1744205436051359</v>
      </c>
      <c r="O470" s="2">
        <f t="shared" si="31"/>
        <v>1046000000</v>
      </c>
    </row>
    <row r="471" spans="1:15" x14ac:dyDescent="0.3">
      <c r="A471" t="s">
        <v>209</v>
      </c>
      <c r="B471">
        <v>2</v>
      </c>
      <c r="C471">
        <v>2014</v>
      </c>
      <c r="D471" s="1">
        <v>42004</v>
      </c>
      <c r="E471" s="2">
        <v>6121000000</v>
      </c>
      <c r="F471" s="2">
        <v>2491000000</v>
      </c>
      <c r="G471" s="2">
        <v>2335000000</v>
      </c>
      <c r="H471">
        <v>0</v>
      </c>
      <c r="I471" s="2">
        <v>115000000</v>
      </c>
      <c r="J471" t="s">
        <v>32</v>
      </c>
      <c r="K471" t="s">
        <v>210</v>
      </c>
      <c r="L471" s="37">
        <f t="shared" si="28"/>
        <v>0.59304035288351575</v>
      </c>
      <c r="M471" s="2">
        <f t="shared" si="29"/>
        <v>3630000000</v>
      </c>
      <c r="N471" s="37">
        <f t="shared" si="30"/>
        <v>0.19277895768665251</v>
      </c>
      <c r="O471" s="2">
        <f t="shared" si="31"/>
        <v>1180000000</v>
      </c>
    </row>
    <row r="472" spans="1:15" x14ac:dyDescent="0.3">
      <c r="A472" t="s">
        <v>209</v>
      </c>
      <c r="B472">
        <v>3</v>
      </c>
      <c r="C472">
        <v>2015</v>
      </c>
      <c r="D472" s="1">
        <v>42369</v>
      </c>
      <c r="E472" s="2">
        <v>6282000000</v>
      </c>
      <c r="F472" s="2">
        <v>2559000000</v>
      </c>
      <c r="G472" s="2">
        <v>2320000000</v>
      </c>
      <c r="H472">
        <v>0</v>
      </c>
      <c r="I472" s="2">
        <v>105000000</v>
      </c>
      <c r="J472" t="s">
        <v>32</v>
      </c>
      <c r="K472" t="s">
        <v>210</v>
      </c>
      <c r="L472" s="37">
        <f t="shared" si="28"/>
        <v>0.59264565425023874</v>
      </c>
      <c r="M472" s="2">
        <f t="shared" si="29"/>
        <v>3723000000</v>
      </c>
      <c r="N472" s="37">
        <f t="shared" si="30"/>
        <v>0.20662209487424388</v>
      </c>
      <c r="O472" s="2">
        <f t="shared" si="31"/>
        <v>1298000000</v>
      </c>
    </row>
    <row r="473" spans="1:15" x14ac:dyDescent="0.3">
      <c r="A473" t="s">
        <v>209</v>
      </c>
      <c r="B473">
        <v>4</v>
      </c>
      <c r="C473">
        <v>2016</v>
      </c>
      <c r="D473" s="1">
        <v>42735</v>
      </c>
      <c r="E473" s="2">
        <v>6440000000</v>
      </c>
      <c r="F473" s="2">
        <v>2582000000</v>
      </c>
      <c r="G473" s="2">
        <v>2326000000</v>
      </c>
      <c r="H473">
        <v>0</v>
      </c>
      <c r="I473" s="2">
        <v>99000000</v>
      </c>
      <c r="J473" t="s">
        <v>32</v>
      </c>
      <c r="K473" t="s">
        <v>210</v>
      </c>
      <c r="L473" s="37">
        <f t="shared" si="28"/>
        <v>0.59906832298136647</v>
      </c>
      <c r="M473" s="2">
        <f t="shared" si="29"/>
        <v>3858000000</v>
      </c>
      <c r="N473" s="37">
        <f t="shared" si="30"/>
        <v>0.22251552795031057</v>
      </c>
      <c r="O473" s="2">
        <f t="shared" si="31"/>
        <v>1433000000</v>
      </c>
    </row>
    <row r="474" spans="1:15" x14ac:dyDescent="0.3">
      <c r="A474" t="s">
        <v>211</v>
      </c>
      <c r="B474">
        <v>1</v>
      </c>
      <c r="C474">
        <v>2013</v>
      </c>
      <c r="D474" s="1">
        <v>41420</v>
      </c>
      <c r="E474" s="2">
        <v>5921000000</v>
      </c>
      <c r="F474" s="2">
        <v>4616600000</v>
      </c>
      <c r="G474" s="2">
        <v>625200000</v>
      </c>
      <c r="H474">
        <v>0</v>
      </c>
      <c r="I474" s="2">
        <v>278300000</v>
      </c>
      <c r="J474" t="s">
        <v>15</v>
      </c>
      <c r="K474" t="s">
        <v>151</v>
      </c>
      <c r="L474" s="37">
        <f t="shared" si="28"/>
        <v>0.22030062489444346</v>
      </c>
      <c r="M474" s="2">
        <f t="shared" si="29"/>
        <v>1304400000</v>
      </c>
      <c r="N474" s="37">
        <f t="shared" si="30"/>
        <v>6.7708157405843614E-2</v>
      </c>
      <c r="O474" s="2">
        <f t="shared" si="31"/>
        <v>400900000</v>
      </c>
    </row>
    <row r="475" spans="1:15" x14ac:dyDescent="0.3">
      <c r="A475" t="s">
        <v>211</v>
      </c>
      <c r="B475">
        <v>2</v>
      </c>
      <c r="C475">
        <v>2014</v>
      </c>
      <c r="D475" s="1">
        <v>41784</v>
      </c>
      <c r="E475" s="2">
        <v>6285600000</v>
      </c>
      <c r="F475" s="2">
        <v>4990500000</v>
      </c>
      <c r="G475" s="2">
        <v>665400000</v>
      </c>
      <c r="H475">
        <v>0</v>
      </c>
      <c r="I475" s="2">
        <v>304400000</v>
      </c>
      <c r="J475" t="s">
        <v>15</v>
      </c>
      <c r="K475" t="s">
        <v>151</v>
      </c>
      <c r="L475" s="37">
        <f t="shared" si="28"/>
        <v>0.20604238258877439</v>
      </c>
      <c r="M475" s="2">
        <f t="shared" si="29"/>
        <v>1295100000</v>
      </c>
      <c r="N475" s="37">
        <f t="shared" si="30"/>
        <v>5.175321369479445E-2</v>
      </c>
      <c r="O475" s="2">
        <f t="shared" si="31"/>
        <v>325300000</v>
      </c>
    </row>
    <row r="476" spans="1:15" x14ac:dyDescent="0.3">
      <c r="A476" t="s">
        <v>211</v>
      </c>
      <c r="B476">
        <v>3</v>
      </c>
      <c r="C476">
        <v>2015</v>
      </c>
      <c r="D476" s="1">
        <v>42155</v>
      </c>
      <c r="E476" s="2">
        <v>6764000000</v>
      </c>
      <c r="F476" s="2">
        <v>5341500000</v>
      </c>
      <c r="G476" s="2">
        <v>673500000</v>
      </c>
      <c r="H476">
        <v>0</v>
      </c>
      <c r="I476" s="2">
        <v>319300000</v>
      </c>
      <c r="J476" t="s">
        <v>15</v>
      </c>
      <c r="K476" t="s">
        <v>151</v>
      </c>
      <c r="L476" s="37">
        <f t="shared" si="28"/>
        <v>0.21030455351862798</v>
      </c>
      <c r="M476" s="2">
        <f t="shared" si="29"/>
        <v>1422500000</v>
      </c>
      <c r="N476" s="37">
        <f t="shared" si="30"/>
        <v>6.352749852158486E-2</v>
      </c>
      <c r="O476" s="2">
        <f t="shared" si="31"/>
        <v>429700000</v>
      </c>
    </row>
    <row r="477" spans="1:15" x14ac:dyDescent="0.3">
      <c r="A477" t="s">
        <v>211</v>
      </c>
      <c r="B477">
        <v>4</v>
      </c>
      <c r="C477">
        <v>2016</v>
      </c>
      <c r="D477" s="1">
        <v>42519</v>
      </c>
      <c r="E477" s="2">
        <v>6933500000</v>
      </c>
      <c r="F477" s="2">
        <v>5392400000</v>
      </c>
      <c r="G477" s="2">
        <v>622900000</v>
      </c>
      <c r="H477">
        <v>0</v>
      </c>
      <c r="I477" s="2">
        <v>290200000</v>
      </c>
      <c r="J477" t="s">
        <v>15</v>
      </c>
      <c r="K477" t="s">
        <v>151</v>
      </c>
      <c r="L477" s="37">
        <f t="shared" si="28"/>
        <v>0.22226869546405137</v>
      </c>
      <c r="M477" s="2">
        <f t="shared" si="29"/>
        <v>1541100000</v>
      </c>
      <c r="N477" s="37">
        <f t="shared" si="30"/>
        <v>9.0574745799379824E-2</v>
      </c>
      <c r="O477" s="2">
        <f t="shared" si="31"/>
        <v>628000000</v>
      </c>
    </row>
    <row r="478" spans="1:15" x14ac:dyDescent="0.3">
      <c r="A478" t="s">
        <v>212</v>
      </c>
      <c r="B478">
        <v>1</v>
      </c>
      <c r="C478">
        <v>2012</v>
      </c>
      <c r="D478" s="1">
        <v>41274</v>
      </c>
      <c r="E478" s="2">
        <v>17912000000</v>
      </c>
      <c r="F478" s="2">
        <v>11235000000</v>
      </c>
      <c r="G478" s="2">
        <v>965000000</v>
      </c>
      <c r="H478">
        <v>0</v>
      </c>
      <c r="I478" s="2">
        <v>2145000000</v>
      </c>
      <c r="J478" t="s">
        <v>38</v>
      </c>
      <c r="K478" t="s">
        <v>41</v>
      </c>
      <c r="L478" s="37">
        <f t="shared" si="28"/>
        <v>0.37276686020544891</v>
      </c>
      <c r="M478" s="2">
        <f t="shared" si="29"/>
        <v>6677000000</v>
      </c>
      <c r="N478" s="37">
        <f t="shared" si="30"/>
        <v>0.19914024117909782</v>
      </c>
      <c r="O478" s="2">
        <f t="shared" si="31"/>
        <v>3567000000</v>
      </c>
    </row>
    <row r="479" spans="1:15" x14ac:dyDescent="0.3">
      <c r="A479" t="s">
        <v>212</v>
      </c>
      <c r="B479">
        <v>2</v>
      </c>
      <c r="C479">
        <v>2013</v>
      </c>
      <c r="D479" s="1">
        <v>41639</v>
      </c>
      <c r="E479" s="2">
        <v>22756000000</v>
      </c>
      <c r="F479" s="2">
        <v>13545000000</v>
      </c>
      <c r="G479" s="2">
        <v>1274000000</v>
      </c>
      <c r="H479">
        <v>0</v>
      </c>
      <c r="I479" s="2">
        <v>2668000000</v>
      </c>
      <c r="J479" t="s">
        <v>38</v>
      </c>
      <c r="K479" t="s">
        <v>41</v>
      </c>
      <c r="L479" s="37">
        <f t="shared" si="28"/>
        <v>0.40477236772719283</v>
      </c>
      <c r="M479" s="2">
        <f t="shared" si="29"/>
        <v>9211000000</v>
      </c>
      <c r="N479" s="37">
        <f t="shared" si="30"/>
        <v>0.23154332923185095</v>
      </c>
      <c r="O479" s="2">
        <f t="shared" si="31"/>
        <v>5269000000</v>
      </c>
    </row>
    <row r="480" spans="1:15" x14ac:dyDescent="0.3">
      <c r="A480" t="s">
        <v>212</v>
      </c>
      <c r="B480">
        <v>3</v>
      </c>
      <c r="C480">
        <v>2014</v>
      </c>
      <c r="D480" s="1">
        <v>42004</v>
      </c>
      <c r="E480" s="2">
        <v>23925000000</v>
      </c>
      <c r="F480" s="2">
        <v>14323000000</v>
      </c>
      <c r="G480" s="2">
        <v>1213000000</v>
      </c>
      <c r="H480">
        <v>0</v>
      </c>
      <c r="I480" s="2">
        <v>3066000000</v>
      </c>
      <c r="J480" t="s">
        <v>38</v>
      </c>
      <c r="K480" t="s">
        <v>41</v>
      </c>
      <c r="L480" s="37">
        <f t="shared" si="28"/>
        <v>0.401337513061651</v>
      </c>
      <c r="M480" s="2">
        <f t="shared" si="29"/>
        <v>9602000000</v>
      </c>
      <c r="N480" s="37">
        <f t="shared" si="30"/>
        <v>0.22248693834900732</v>
      </c>
      <c r="O480" s="2">
        <f t="shared" si="31"/>
        <v>5323000000</v>
      </c>
    </row>
    <row r="481" spans="1:15" x14ac:dyDescent="0.3">
      <c r="A481" t="s">
        <v>212</v>
      </c>
      <c r="B481">
        <v>4</v>
      </c>
      <c r="C481">
        <v>2015</v>
      </c>
      <c r="D481" s="1">
        <v>42369</v>
      </c>
      <c r="E481" s="2">
        <v>23459000000</v>
      </c>
      <c r="F481" s="2">
        <v>13728000000</v>
      </c>
      <c r="G481" s="2">
        <v>1135000000</v>
      </c>
      <c r="H481">
        <v>0</v>
      </c>
      <c r="I481" s="2">
        <v>3144000000</v>
      </c>
      <c r="J481" t="s">
        <v>38</v>
      </c>
      <c r="K481" t="s">
        <v>41</v>
      </c>
      <c r="L481" s="37">
        <f t="shared" si="28"/>
        <v>0.41480881538002468</v>
      </c>
      <c r="M481" s="2">
        <f t="shared" si="29"/>
        <v>9731000000</v>
      </c>
      <c r="N481" s="37">
        <f t="shared" si="30"/>
        <v>0.23240547337908693</v>
      </c>
      <c r="O481" s="2">
        <f t="shared" si="31"/>
        <v>5452000000</v>
      </c>
    </row>
    <row r="482" spans="1:15" x14ac:dyDescent="0.3">
      <c r="A482" t="s">
        <v>491</v>
      </c>
      <c r="B482">
        <v>1</v>
      </c>
      <c r="C482">
        <v>2012</v>
      </c>
      <c r="D482" s="1">
        <v>41274</v>
      </c>
      <c r="E482" s="2">
        <v>10793000000</v>
      </c>
      <c r="F482" s="2">
        <v>362000000</v>
      </c>
      <c r="G482" s="2">
        <v>2123000000</v>
      </c>
      <c r="H482">
        <v>0</v>
      </c>
      <c r="I482" s="2">
        <v>4549000000</v>
      </c>
      <c r="J482" t="s">
        <v>43</v>
      </c>
      <c r="K482" t="s">
        <v>96</v>
      </c>
      <c r="L482" s="37">
        <f t="shared" si="28"/>
        <v>0.96645974242564625</v>
      </c>
      <c r="M482" s="2">
        <f t="shared" si="29"/>
        <v>10431000000</v>
      </c>
      <c r="N482" s="37">
        <f t="shared" si="30"/>
        <v>0.34828129343092745</v>
      </c>
      <c r="O482" s="2">
        <f t="shared" si="31"/>
        <v>3759000000</v>
      </c>
    </row>
    <row r="483" spans="1:15" x14ac:dyDescent="0.3">
      <c r="A483" t="s">
        <v>491</v>
      </c>
      <c r="B483">
        <v>2</v>
      </c>
      <c r="C483">
        <v>2013</v>
      </c>
      <c r="D483" s="1">
        <v>41639</v>
      </c>
      <c r="E483" s="2">
        <v>11813000000</v>
      </c>
      <c r="F483" s="2">
        <v>374000000</v>
      </c>
      <c r="G483" s="2">
        <v>2484000000</v>
      </c>
      <c r="H483">
        <v>0</v>
      </c>
      <c r="I483" s="2">
        <v>5445000000</v>
      </c>
      <c r="J483" t="s">
        <v>43</v>
      </c>
      <c r="K483" t="s">
        <v>96</v>
      </c>
      <c r="L483" s="37">
        <f t="shared" si="28"/>
        <v>0.96833996444594939</v>
      </c>
      <c r="M483" s="2">
        <f t="shared" si="29"/>
        <v>11439000000</v>
      </c>
      <c r="N483" s="37">
        <f t="shared" si="30"/>
        <v>0.29713028019977988</v>
      </c>
      <c r="O483" s="2">
        <f t="shared" si="31"/>
        <v>3510000000</v>
      </c>
    </row>
    <row r="484" spans="1:15" x14ac:dyDescent="0.3">
      <c r="A484" t="s">
        <v>491</v>
      </c>
      <c r="B484">
        <v>3</v>
      </c>
      <c r="C484">
        <v>2014</v>
      </c>
      <c r="D484" s="1">
        <v>42004</v>
      </c>
      <c r="E484" s="2">
        <v>12727000000</v>
      </c>
      <c r="F484" s="2">
        <v>470000000</v>
      </c>
      <c r="G484" s="2">
        <v>2927000000</v>
      </c>
      <c r="H484">
        <v>0</v>
      </c>
      <c r="I484" s="2">
        <v>5492000000</v>
      </c>
      <c r="J484" t="s">
        <v>43</v>
      </c>
      <c r="K484" t="s">
        <v>96</v>
      </c>
      <c r="L484" s="37">
        <f t="shared" si="28"/>
        <v>0.96307063722794062</v>
      </c>
      <c r="M484" s="2">
        <f t="shared" si="29"/>
        <v>12257000000</v>
      </c>
      <c r="N484" s="37">
        <f t="shared" si="30"/>
        <v>0.30156360493439144</v>
      </c>
      <c r="O484" s="2">
        <f t="shared" si="31"/>
        <v>3838000000</v>
      </c>
    </row>
    <row r="485" spans="1:15" x14ac:dyDescent="0.3">
      <c r="A485" t="s">
        <v>491</v>
      </c>
      <c r="B485">
        <v>4</v>
      </c>
      <c r="C485">
        <v>2015</v>
      </c>
      <c r="D485" s="1">
        <v>42369</v>
      </c>
      <c r="E485" s="2">
        <v>13620000000</v>
      </c>
      <c r="F485" s="2">
        <v>607000000</v>
      </c>
      <c r="G485" s="2">
        <v>3264000000</v>
      </c>
      <c r="H485">
        <v>0</v>
      </c>
      <c r="I485" s="2">
        <v>5690000000</v>
      </c>
      <c r="J485" t="s">
        <v>43</v>
      </c>
      <c r="K485" t="s">
        <v>96</v>
      </c>
      <c r="L485" s="37">
        <f t="shared" si="28"/>
        <v>0.95543318649045517</v>
      </c>
      <c r="M485" s="2">
        <f t="shared" si="29"/>
        <v>13013000000</v>
      </c>
      <c r="N485" s="37">
        <f t="shared" si="30"/>
        <v>0.29801762114537445</v>
      </c>
      <c r="O485" s="2">
        <f t="shared" si="31"/>
        <v>4059000000</v>
      </c>
    </row>
    <row r="486" spans="1:15" x14ac:dyDescent="0.3">
      <c r="A486" t="s">
        <v>214</v>
      </c>
      <c r="B486">
        <v>1</v>
      </c>
      <c r="C486">
        <v>2013</v>
      </c>
      <c r="D486" s="1">
        <v>41639</v>
      </c>
      <c r="E486" s="2">
        <v>10397000000</v>
      </c>
      <c r="F486" s="2">
        <v>2268000000</v>
      </c>
      <c r="G486" s="2">
        <v>2743000000</v>
      </c>
      <c r="H486">
        <v>0</v>
      </c>
      <c r="I486" s="2">
        <v>2780000000</v>
      </c>
      <c r="J486" t="s">
        <v>79</v>
      </c>
      <c r="K486" t="s">
        <v>80</v>
      </c>
      <c r="L486" s="37">
        <f t="shared" si="28"/>
        <v>0.7818601519669135</v>
      </c>
      <c r="M486" s="2">
        <f t="shared" si="29"/>
        <v>8129000000</v>
      </c>
      <c r="N486" s="37">
        <f t="shared" si="30"/>
        <v>0.2506492257381937</v>
      </c>
      <c r="O486" s="2">
        <f t="shared" si="31"/>
        <v>2606000000</v>
      </c>
    </row>
    <row r="487" spans="1:15" x14ac:dyDescent="0.3">
      <c r="A487" t="s">
        <v>214</v>
      </c>
      <c r="B487">
        <v>2</v>
      </c>
      <c r="C487">
        <v>2014</v>
      </c>
      <c r="D487" s="1">
        <v>42004</v>
      </c>
      <c r="E487" s="2">
        <v>20638000000</v>
      </c>
      <c r="F487" s="2">
        <v>2332000000</v>
      </c>
      <c r="G487" s="2">
        <v>8290000000</v>
      </c>
      <c r="H487">
        <v>0</v>
      </c>
      <c r="I487" s="2">
        <v>3319000000</v>
      </c>
      <c r="J487" t="s">
        <v>79</v>
      </c>
      <c r="K487" t="s">
        <v>80</v>
      </c>
      <c r="L487" s="37">
        <f t="shared" si="28"/>
        <v>0.88700455470491324</v>
      </c>
      <c r="M487" s="2">
        <f t="shared" si="29"/>
        <v>18306000000</v>
      </c>
      <c r="N487" s="37">
        <f t="shared" si="30"/>
        <v>0.32449849791646479</v>
      </c>
      <c r="O487" s="2">
        <f t="shared" si="31"/>
        <v>6697000000</v>
      </c>
    </row>
    <row r="488" spans="1:15" x14ac:dyDescent="0.3">
      <c r="A488" t="s">
        <v>214</v>
      </c>
      <c r="B488">
        <v>3</v>
      </c>
      <c r="C488">
        <v>2015</v>
      </c>
      <c r="D488" s="1">
        <v>42369</v>
      </c>
      <c r="E488" s="2">
        <v>13145000000</v>
      </c>
      <c r="F488" s="2">
        <v>2104000000</v>
      </c>
      <c r="G488" s="2">
        <v>7741000000</v>
      </c>
      <c r="H488">
        <v>0</v>
      </c>
      <c r="I488" s="2">
        <v>3129000000</v>
      </c>
      <c r="J488" t="s">
        <v>79</v>
      </c>
      <c r="K488" t="s">
        <v>80</v>
      </c>
      <c r="L488" s="37">
        <f t="shared" si="28"/>
        <v>0.83993914035755046</v>
      </c>
      <c r="M488" s="2">
        <f t="shared" si="29"/>
        <v>11041000000</v>
      </c>
      <c r="N488" s="37">
        <f t="shared" si="30"/>
        <v>1.300874857360213E-2</v>
      </c>
      <c r="O488" s="2">
        <f t="shared" si="31"/>
        <v>171000000</v>
      </c>
    </row>
    <row r="489" spans="1:15" x14ac:dyDescent="0.3">
      <c r="A489" t="s">
        <v>214</v>
      </c>
      <c r="B489">
        <v>4</v>
      </c>
      <c r="C489">
        <v>2016</v>
      </c>
      <c r="D489" s="1">
        <v>42735</v>
      </c>
      <c r="E489" s="2">
        <v>12197000000</v>
      </c>
      <c r="F489" s="2">
        <v>1582000000</v>
      </c>
      <c r="G489" s="2">
        <v>6476000000</v>
      </c>
      <c r="H489">
        <v>0</v>
      </c>
      <c r="I489" s="2">
        <v>1792000000</v>
      </c>
      <c r="J489" t="s">
        <v>79</v>
      </c>
      <c r="K489" t="s">
        <v>80</v>
      </c>
      <c r="L489" s="37">
        <f t="shared" si="28"/>
        <v>0.87029597441993933</v>
      </c>
      <c r="M489" s="2">
        <f t="shared" si="29"/>
        <v>10615000000</v>
      </c>
      <c r="N489" s="37">
        <f t="shared" si="30"/>
        <v>0.19242436664753629</v>
      </c>
      <c r="O489" s="2">
        <f t="shared" si="31"/>
        <v>2347000000</v>
      </c>
    </row>
    <row r="490" spans="1:15" x14ac:dyDescent="0.3">
      <c r="A490" t="s">
        <v>215</v>
      </c>
      <c r="B490">
        <v>1</v>
      </c>
      <c r="C490">
        <v>2013</v>
      </c>
      <c r="D490" s="1">
        <v>41364</v>
      </c>
      <c r="E490" s="2">
        <v>3797000000</v>
      </c>
      <c r="F490" s="2">
        <v>1388000000</v>
      </c>
      <c r="G490" s="2">
        <v>1078000000</v>
      </c>
      <c r="H490" s="2">
        <v>1153000000</v>
      </c>
      <c r="I490" s="2">
        <v>30000000</v>
      </c>
      <c r="J490" t="s">
        <v>18</v>
      </c>
      <c r="K490" t="s">
        <v>89</v>
      </c>
      <c r="L490" s="37">
        <f t="shared" si="28"/>
        <v>0.63444824861732951</v>
      </c>
      <c r="M490" s="2">
        <f t="shared" si="29"/>
        <v>2409000000</v>
      </c>
      <c r="N490" s="37">
        <f t="shared" si="30"/>
        <v>3.8978140637345275E-2</v>
      </c>
      <c r="O490" s="2">
        <f t="shared" si="31"/>
        <v>148000000</v>
      </c>
    </row>
    <row r="491" spans="1:15" x14ac:dyDescent="0.3">
      <c r="A491" t="s">
        <v>215</v>
      </c>
      <c r="B491">
        <v>2</v>
      </c>
      <c r="C491">
        <v>2014</v>
      </c>
      <c r="D491" s="1">
        <v>41729</v>
      </c>
      <c r="E491" s="2">
        <v>3575000000</v>
      </c>
      <c r="F491" s="2">
        <v>1347000000</v>
      </c>
      <c r="G491" s="2">
        <v>1055000000</v>
      </c>
      <c r="H491" s="2">
        <v>1125000000</v>
      </c>
      <c r="I491" s="2">
        <v>16000000</v>
      </c>
      <c r="J491" t="s">
        <v>18</v>
      </c>
      <c r="K491" t="s">
        <v>89</v>
      </c>
      <c r="L491" s="37">
        <f t="shared" si="28"/>
        <v>0.6232167832167832</v>
      </c>
      <c r="M491" s="2">
        <f t="shared" si="29"/>
        <v>2228000000</v>
      </c>
      <c r="N491" s="37">
        <f t="shared" si="30"/>
        <v>8.951048951048951E-3</v>
      </c>
      <c r="O491" s="2">
        <f t="shared" si="31"/>
        <v>32000000</v>
      </c>
    </row>
    <row r="492" spans="1:15" x14ac:dyDescent="0.3">
      <c r="A492" t="s">
        <v>215</v>
      </c>
      <c r="B492">
        <v>3</v>
      </c>
      <c r="C492">
        <v>2015</v>
      </c>
      <c r="D492" s="1">
        <v>42094</v>
      </c>
      <c r="E492" s="2">
        <v>4515000000</v>
      </c>
      <c r="F492" s="2">
        <v>1429000000</v>
      </c>
      <c r="G492" s="2">
        <v>1030000000</v>
      </c>
      <c r="H492" s="2">
        <v>1094000000</v>
      </c>
      <c r="I492" s="2">
        <v>14000000</v>
      </c>
      <c r="J492" t="s">
        <v>18</v>
      </c>
      <c r="K492" t="s">
        <v>89</v>
      </c>
      <c r="L492" s="37">
        <f t="shared" si="28"/>
        <v>0.68349944629014403</v>
      </c>
      <c r="M492" s="2">
        <f t="shared" si="29"/>
        <v>3086000000</v>
      </c>
      <c r="N492" s="37">
        <f t="shared" si="30"/>
        <v>0.20996677740863787</v>
      </c>
      <c r="O492" s="2">
        <f t="shared" si="31"/>
        <v>948000000</v>
      </c>
    </row>
    <row r="493" spans="1:15" x14ac:dyDescent="0.3">
      <c r="A493" t="s">
        <v>215</v>
      </c>
      <c r="B493">
        <v>4</v>
      </c>
      <c r="C493">
        <v>2016</v>
      </c>
      <c r="D493" s="1">
        <v>42460</v>
      </c>
      <c r="E493" s="2">
        <v>4396000000</v>
      </c>
      <c r="F493" s="2">
        <v>1354000000</v>
      </c>
      <c r="G493" s="2">
        <v>1028000000</v>
      </c>
      <c r="H493" s="2">
        <v>1109000000</v>
      </c>
      <c r="I493" s="2">
        <v>7000000</v>
      </c>
      <c r="J493" t="s">
        <v>18</v>
      </c>
      <c r="K493" t="s">
        <v>89</v>
      </c>
      <c r="L493" s="37">
        <f t="shared" si="28"/>
        <v>0.69199272065514106</v>
      </c>
      <c r="M493" s="2">
        <f t="shared" si="29"/>
        <v>3042000000</v>
      </c>
      <c r="N493" s="37">
        <f t="shared" si="30"/>
        <v>0.20427661510464057</v>
      </c>
      <c r="O493" s="2">
        <f t="shared" si="31"/>
        <v>898000000</v>
      </c>
    </row>
    <row r="494" spans="1:15" x14ac:dyDescent="0.3">
      <c r="A494" t="s">
        <v>216</v>
      </c>
      <c r="B494">
        <v>1</v>
      </c>
      <c r="C494">
        <v>2013</v>
      </c>
      <c r="D494" s="1">
        <v>41639</v>
      </c>
      <c r="E494" s="2">
        <v>8257000000</v>
      </c>
      <c r="F494" s="2">
        <v>1492000000</v>
      </c>
      <c r="G494" s="2">
        <v>3260000000</v>
      </c>
      <c r="H494" s="2">
        <v>915000000</v>
      </c>
      <c r="I494" s="2">
        <v>136000000</v>
      </c>
      <c r="J494" t="s">
        <v>18</v>
      </c>
      <c r="K494" t="s">
        <v>53</v>
      </c>
      <c r="L494" s="37">
        <f t="shared" si="28"/>
        <v>0.81930483226353401</v>
      </c>
      <c r="M494" s="2">
        <f t="shared" si="29"/>
        <v>6765000000</v>
      </c>
      <c r="N494" s="37">
        <f t="shared" si="30"/>
        <v>0.29720237374349034</v>
      </c>
      <c r="O494" s="2">
        <f t="shared" si="31"/>
        <v>2454000000</v>
      </c>
    </row>
    <row r="495" spans="1:15" x14ac:dyDescent="0.3">
      <c r="A495" t="s">
        <v>216</v>
      </c>
      <c r="B495">
        <v>2</v>
      </c>
      <c r="C495">
        <v>2014</v>
      </c>
      <c r="D495" s="1">
        <v>42004</v>
      </c>
      <c r="E495" s="2">
        <v>8790000000</v>
      </c>
      <c r="F495" s="2">
        <v>1663000000</v>
      </c>
      <c r="G495" s="2">
        <v>3593000000</v>
      </c>
      <c r="H495" s="2">
        <v>983000000</v>
      </c>
      <c r="I495" s="2">
        <v>75000000</v>
      </c>
      <c r="J495" t="s">
        <v>18</v>
      </c>
      <c r="K495" t="s">
        <v>53</v>
      </c>
      <c r="L495" s="37">
        <f t="shared" si="28"/>
        <v>0.81080773606370871</v>
      </c>
      <c r="M495" s="2">
        <f t="shared" si="29"/>
        <v>7127000000</v>
      </c>
      <c r="N495" s="37">
        <f t="shared" si="30"/>
        <v>0.28168373151308307</v>
      </c>
      <c r="O495" s="2">
        <f t="shared" si="31"/>
        <v>2476000000</v>
      </c>
    </row>
    <row r="496" spans="1:15" x14ac:dyDescent="0.3">
      <c r="A496" t="s">
        <v>216</v>
      </c>
      <c r="B496">
        <v>3</v>
      </c>
      <c r="C496">
        <v>2015</v>
      </c>
      <c r="D496" s="1">
        <v>42369</v>
      </c>
      <c r="E496" s="2">
        <v>8592000000</v>
      </c>
      <c r="F496" s="2">
        <v>1771000000</v>
      </c>
      <c r="G496" s="2">
        <v>3660000000</v>
      </c>
      <c r="H496" s="2">
        <v>923000000</v>
      </c>
      <c r="I496" s="2">
        <v>41000000</v>
      </c>
      <c r="J496" t="s">
        <v>18</v>
      </c>
      <c r="K496" t="s">
        <v>53</v>
      </c>
      <c r="L496" s="37">
        <f t="shared" si="28"/>
        <v>0.79387802607076352</v>
      </c>
      <c r="M496" s="2">
        <f t="shared" si="29"/>
        <v>6821000000</v>
      </c>
      <c r="N496" s="37">
        <f t="shared" si="30"/>
        <v>0.25570297951582865</v>
      </c>
      <c r="O496" s="2">
        <f t="shared" si="31"/>
        <v>2197000000</v>
      </c>
    </row>
    <row r="497" spans="1:15" x14ac:dyDescent="0.3">
      <c r="A497" t="s">
        <v>216</v>
      </c>
      <c r="B497">
        <v>4</v>
      </c>
      <c r="C497">
        <v>2016</v>
      </c>
      <c r="D497" s="1">
        <v>42735</v>
      </c>
      <c r="E497" s="2">
        <v>8979000000</v>
      </c>
      <c r="F497" s="2">
        <v>2007000000</v>
      </c>
      <c r="G497" s="2">
        <v>3499000000</v>
      </c>
      <c r="H497" s="2">
        <v>1114000000</v>
      </c>
      <c r="I497" s="2">
        <v>34000000</v>
      </c>
      <c r="J497" t="s">
        <v>18</v>
      </c>
      <c r="K497" t="s">
        <v>53</v>
      </c>
      <c r="L497" s="37">
        <f t="shared" si="28"/>
        <v>0.77647844971600399</v>
      </c>
      <c r="M497" s="2">
        <f t="shared" si="29"/>
        <v>6972000000</v>
      </c>
      <c r="N497" s="37">
        <f t="shared" si="30"/>
        <v>0.25893752088205813</v>
      </c>
      <c r="O497" s="2">
        <f t="shared" si="31"/>
        <v>2325000000</v>
      </c>
    </row>
    <row r="498" spans="1:15" x14ac:dyDescent="0.3">
      <c r="A498" t="s">
        <v>217</v>
      </c>
      <c r="B498">
        <v>1</v>
      </c>
      <c r="C498">
        <v>2012</v>
      </c>
      <c r="D498" s="1">
        <v>41274</v>
      </c>
      <c r="E498" s="2">
        <v>11838700000</v>
      </c>
      <c r="F498" s="2">
        <v>6385400000</v>
      </c>
      <c r="G498" s="2">
        <v>4018300000</v>
      </c>
      <c r="H498">
        <v>0</v>
      </c>
      <c r="I498">
        <v>0</v>
      </c>
      <c r="J498" t="s">
        <v>55</v>
      </c>
      <c r="K498" t="s">
        <v>56</v>
      </c>
      <c r="L498" s="37">
        <f t="shared" si="28"/>
        <v>0.46063334656676835</v>
      </c>
      <c r="M498" s="2">
        <f t="shared" si="29"/>
        <v>5453300000</v>
      </c>
      <c r="N498" s="37">
        <f t="shared" si="30"/>
        <v>0.12121263314384181</v>
      </c>
      <c r="O498" s="2">
        <f t="shared" si="31"/>
        <v>1435000000</v>
      </c>
    </row>
    <row r="499" spans="1:15" x14ac:dyDescent="0.3">
      <c r="A499" t="s">
        <v>217</v>
      </c>
      <c r="B499">
        <v>2</v>
      </c>
      <c r="C499">
        <v>2013</v>
      </c>
      <c r="D499" s="1">
        <v>41639</v>
      </c>
      <c r="E499" s="2">
        <v>13253400000</v>
      </c>
      <c r="F499" s="2">
        <v>7161200000</v>
      </c>
      <c r="G499" s="2">
        <v>4360300000</v>
      </c>
      <c r="H499">
        <v>0</v>
      </c>
      <c r="I499">
        <v>0</v>
      </c>
      <c r="J499" t="s">
        <v>55</v>
      </c>
      <c r="K499" t="s">
        <v>56</v>
      </c>
      <c r="L499" s="37">
        <f t="shared" si="28"/>
        <v>0.45967072600238434</v>
      </c>
      <c r="M499" s="2">
        <f t="shared" si="29"/>
        <v>6092200000</v>
      </c>
      <c r="N499" s="37">
        <f t="shared" si="30"/>
        <v>0.13067590203268595</v>
      </c>
      <c r="O499" s="2">
        <f t="shared" si="31"/>
        <v>1731900000</v>
      </c>
    </row>
    <row r="500" spans="1:15" x14ac:dyDescent="0.3">
      <c r="A500" t="s">
        <v>217</v>
      </c>
      <c r="B500">
        <v>3</v>
      </c>
      <c r="C500">
        <v>2014</v>
      </c>
      <c r="D500" s="1">
        <v>42004</v>
      </c>
      <c r="E500" s="2">
        <v>14280500000</v>
      </c>
      <c r="F500" s="2">
        <v>7679100000</v>
      </c>
      <c r="G500" s="2">
        <v>4577600000</v>
      </c>
      <c r="H500">
        <v>0</v>
      </c>
      <c r="I500">
        <v>0</v>
      </c>
      <c r="J500" t="s">
        <v>55</v>
      </c>
      <c r="K500" t="s">
        <v>56</v>
      </c>
      <c r="L500" s="37">
        <f t="shared" si="28"/>
        <v>0.4622667273554848</v>
      </c>
      <c r="M500" s="2">
        <f t="shared" si="29"/>
        <v>6601400000</v>
      </c>
      <c r="N500" s="37">
        <f t="shared" si="30"/>
        <v>0.14171772697034418</v>
      </c>
      <c r="O500" s="2">
        <f t="shared" si="31"/>
        <v>2023800000</v>
      </c>
    </row>
    <row r="501" spans="1:15" x14ac:dyDescent="0.3">
      <c r="A501" t="s">
        <v>217</v>
      </c>
      <c r="B501">
        <v>4</v>
      </c>
      <c r="C501">
        <v>2015</v>
      </c>
      <c r="D501" s="1">
        <v>42369</v>
      </c>
      <c r="E501" s="2">
        <v>13545100000</v>
      </c>
      <c r="F501" s="2">
        <v>7223500000</v>
      </c>
      <c r="G501" s="2">
        <v>4345500000</v>
      </c>
      <c r="H501">
        <v>0</v>
      </c>
      <c r="I501">
        <v>0</v>
      </c>
      <c r="J501" t="s">
        <v>55</v>
      </c>
      <c r="K501" t="s">
        <v>56</v>
      </c>
      <c r="L501" s="37">
        <f t="shared" si="28"/>
        <v>0.46670751784778264</v>
      </c>
      <c r="M501" s="2">
        <f t="shared" si="29"/>
        <v>6321600000</v>
      </c>
      <c r="N501" s="37">
        <f t="shared" si="30"/>
        <v>0.14589039578888308</v>
      </c>
      <c r="O501" s="2">
        <f t="shared" si="31"/>
        <v>1976100000</v>
      </c>
    </row>
    <row r="502" spans="1:15" x14ac:dyDescent="0.3">
      <c r="A502" t="s">
        <v>218</v>
      </c>
      <c r="B502">
        <v>1</v>
      </c>
      <c r="C502">
        <v>2013</v>
      </c>
      <c r="D502" s="1">
        <v>41639</v>
      </c>
      <c r="E502" s="2">
        <v>12354000000</v>
      </c>
      <c r="F502" s="2">
        <v>7191000000</v>
      </c>
      <c r="G502" s="2">
        <v>1895000000</v>
      </c>
      <c r="H502">
        <v>0</v>
      </c>
      <c r="I502" s="2">
        <v>1024000000</v>
      </c>
      <c r="J502" t="s">
        <v>38</v>
      </c>
      <c r="K502" t="s">
        <v>41</v>
      </c>
      <c r="L502" s="37">
        <f t="shared" si="28"/>
        <v>0.41792132102962598</v>
      </c>
      <c r="M502" s="2">
        <f t="shared" si="29"/>
        <v>5163000000</v>
      </c>
      <c r="N502" s="37">
        <f t="shared" si="30"/>
        <v>0.18164157357940747</v>
      </c>
      <c r="O502" s="2">
        <f t="shared" si="31"/>
        <v>2244000000</v>
      </c>
    </row>
    <row r="503" spans="1:15" x14ac:dyDescent="0.3">
      <c r="A503" t="s">
        <v>218</v>
      </c>
      <c r="B503">
        <v>2</v>
      </c>
      <c r="C503">
        <v>2014</v>
      </c>
      <c r="D503" s="1">
        <v>42004</v>
      </c>
      <c r="E503" s="2">
        <v>12919000000</v>
      </c>
      <c r="F503" s="2">
        <v>7807000000</v>
      </c>
      <c r="G503" s="2">
        <v>1877000000</v>
      </c>
      <c r="H503">
        <v>0</v>
      </c>
      <c r="I503" s="2">
        <v>1071000000</v>
      </c>
      <c r="J503" t="s">
        <v>38</v>
      </c>
      <c r="K503" t="s">
        <v>41</v>
      </c>
      <c r="L503" s="37">
        <f t="shared" si="28"/>
        <v>0.39569626132053559</v>
      </c>
      <c r="M503" s="2">
        <f t="shared" si="29"/>
        <v>5112000000</v>
      </c>
      <c r="N503" s="37">
        <f t="shared" si="30"/>
        <v>0.16750522486260547</v>
      </c>
      <c r="O503" s="2">
        <f t="shared" si="31"/>
        <v>2164000000</v>
      </c>
    </row>
    <row r="504" spans="1:15" x14ac:dyDescent="0.3">
      <c r="A504" t="s">
        <v>218</v>
      </c>
      <c r="B504">
        <v>3</v>
      </c>
      <c r="C504">
        <v>2015</v>
      </c>
      <c r="D504" s="1">
        <v>42369</v>
      </c>
      <c r="E504" s="2">
        <v>12554000000</v>
      </c>
      <c r="F504" s="2">
        <v>7060000000</v>
      </c>
      <c r="G504" s="2">
        <v>1937000000</v>
      </c>
      <c r="H504">
        <v>0</v>
      </c>
      <c r="I504" s="2">
        <v>1130000000</v>
      </c>
      <c r="J504" t="s">
        <v>38</v>
      </c>
      <c r="K504" t="s">
        <v>41</v>
      </c>
      <c r="L504" s="37">
        <f t="shared" si="28"/>
        <v>0.43762944081567623</v>
      </c>
      <c r="M504" s="2">
        <f t="shared" si="29"/>
        <v>5494000000</v>
      </c>
      <c r="N504" s="37">
        <f t="shared" si="30"/>
        <v>0.19332483670543252</v>
      </c>
      <c r="O504" s="2">
        <f t="shared" si="31"/>
        <v>2427000000</v>
      </c>
    </row>
    <row r="505" spans="1:15" x14ac:dyDescent="0.3">
      <c r="A505" t="s">
        <v>218</v>
      </c>
      <c r="B505">
        <v>4</v>
      </c>
      <c r="C505">
        <v>2016</v>
      </c>
      <c r="D505" s="1">
        <v>42735</v>
      </c>
      <c r="E505" s="2">
        <v>12075000000</v>
      </c>
      <c r="F505" s="2">
        <v>6357000000</v>
      </c>
      <c r="G505" s="2">
        <v>2031000000</v>
      </c>
      <c r="H505">
        <v>0</v>
      </c>
      <c r="I505" s="2">
        <v>1216000000</v>
      </c>
      <c r="J505" t="s">
        <v>38</v>
      </c>
      <c r="K505" t="s">
        <v>41</v>
      </c>
      <c r="L505" s="37">
        <f t="shared" si="28"/>
        <v>0.47354037267080751</v>
      </c>
      <c r="M505" s="2">
        <f t="shared" si="29"/>
        <v>5718000000</v>
      </c>
      <c r="N505" s="37">
        <f t="shared" si="30"/>
        <v>0.2046376811594203</v>
      </c>
      <c r="O505" s="2">
        <f t="shared" si="31"/>
        <v>2471000000</v>
      </c>
    </row>
    <row r="506" spans="1:15" x14ac:dyDescent="0.3">
      <c r="A506" t="s">
        <v>219</v>
      </c>
      <c r="B506">
        <v>1</v>
      </c>
      <c r="C506">
        <v>2012</v>
      </c>
      <c r="D506" s="1">
        <v>41274</v>
      </c>
      <c r="E506" s="2">
        <v>2073000000</v>
      </c>
      <c r="F506" s="2">
        <v>759500000</v>
      </c>
      <c r="G506" s="2">
        <v>673500000</v>
      </c>
      <c r="H506">
        <v>0</v>
      </c>
      <c r="I506" s="2">
        <v>160000000</v>
      </c>
      <c r="J506" t="s">
        <v>12</v>
      </c>
      <c r="K506" t="s">
        <v>207</v>
      </c>
      <c r="L506" s="37">
        <f t="shared" si="28"/>
        <v>0.63362276893391223</v>
      </c>
      <c r="M506" s="2">
        <f t="shared" si="29"/>
        <v>1313500000</v>
      </c>
      <c r="N506" s="37">
        <f t="shared" si="30"/>
        <v>0.23154848046309695</v>
      </c>
      <c r="O506" s="2">
        <f t="shared" si="31"/>
        <v>480000000</v>
      </c>
    </row>
    <row r="507" spans="1:15" x14ac:dyDescent="0.3">
      <c r="A507" t="s">
        <v>219</v>
      </c>
      <c r="B507">
        <v>2</v>
      </c>
      <c r="C507">
        <v>2013</v>
      </c>
      <c r="D507" s="1">
        <v>41639</v>
      </c>
      <c r="E507" s="2">
        <v>2303900000</v>
      </c>
      <c r="F507" s="2">
        <v>787300000</v>
      </c>
      <c r="G507" s="2">
        <v>715800000</v>
      </c>
      <c r="H507">
        <v>0</v>
      </c>
      <c r="I507" s="2">
        <v>189600000</v>
      </c>
      <c r="J507" t="s">
        <v>12</v>
      </c>
      <c r="K507" t="s">
        <v>207</v>
      </c>
      <c r="L507" s="37">
        <f t="shared" si="28"/>
        <v>0.6582750987456053</v>
      </c>
      <c r="M507" s="2">
        <f t="shared" si="29"/>
        <v>1516600000</v>
      </c>
      <c r="N507" s="37">
        <f t="shared" si="30"/>
        <v>0.26528929206996832</v>
      </c>
      <c r="O507" s="2">
        <f t="shared" si="31"/>
        <v>611200000</v>
      </c>
    </row>
    <row r="508" spans="1:15" x14ac:dyDescent="0.3">
      <c r="A508" t="s">
        <v>219</v>
      </c>
      <c r="B508">
        <v>3</v>
      </c>
      <c r="C508">
        <v>2014</v>
      </c>
      <c r="D508" s="1">
        <v>42004</v>
      </c>
      <c r="E508" s="2">
        <v>2436400000</v>
      </c>
      <c r="F508" s="2">
        <v>844700000</v>
      </c>
      <c r="G508" s="2">
        <v>751700000</v>
      </c>
      <c r="H508">
        <v>0</v>
      </c>
      <c r="I508" s="2">
        <v>201800000</v>
      </c>
      <c r="J508" t="s">
        <v>12</v>
      </c>
      <c r="K508" t="s">
        <v>207</v>
      </c>
      <c r="L508" s="37">
        <f t="shared" si="28"/>
        <v>0.65329995074700375</v>
      </c>
      <c r="M508" s="2">
        <f t="shared" si="29"/>
        <v>1591700000</v>
      </c>
      <c r="N508" s="37">
        <f t="shared" si="30"/>
        <v>0.26194385158430472</v>
      </c>
      <c r="O508" s="2">
        <f t="shared" si="31"/>
        <v>638200000</v>
      </c>
    </row>
    <row r="509" spans="1:15" x14ac:dyDescent="0.3">
      <c r="A509" t="s">
        <v>219</v>
      </c>
      <c r="B509">
        <v>4</v>
      </c>
      <c r="C509">
        <v>2015</v>
      </c>
      <c r="D509" s="1">
        <v>42369</v>
      </c>
      <c r="E509" s="2">
        <v>2663600000</v>
      </c>
      <c r="F509" s="2">
        <v>887400000</v>
      </c>
      <c r="G509" s="2">
        <v>884300000</v>
      </c>
      <c r="H509">
        <v>0</v>
      </c>
      <c r="I509" s="2">
        <v>198000000</v>
      </c>
      <c r="J509" t="s">
        <v>12</v>
      </c>
      <c r="K509" t="s">
        <v>207</v>
      </c>
      <c r="L509" s="37">
        <f t="shared" si="28"/>
        <v>0.66684186814837065</v>
      </c>
      <c r="M509" s="2">
        <f t="shared" si="29"/>
        <v>1776200000</v>
      </c>
      <c r="N509" s="37">
        <f t="shared" si="30"/>
        <v>0.26051208890223759</v>
      </c>
      <c r="O509" s="2">
        <f t="shared" si="31"/>
        <v>693900000</v>
      </c>
    </row>
    <row r="510" spans="1:15" x14ac:dyDescent="0.3">
      <c r="A510" t="s">
        <v>220</v>
      </c>
      <c r="B510">
        <v>1</v>
      </c>
      <c r="C510">
        <v>2012</v>
      </c>
      <c r="D510" s="1">
        <v>41274</v>
      </c>
      <c r="E510" s="2">
        <v>11862000000</v>
      </c>
      <c r="F510" s="2">
        <v>7747000000</v>
      </c>
      <c r="G510" s="2">
        <v>296000000</v>
      </c>
      <c r="H510">
        <v>0</v>
      </c>
      <c r="I510" s="2">
        <v>1562000000</v>
      </c>
      <c r="J510" t="s">
        <v>38</v>
      </c>
      <c r="K510" t="s">
        <v>41</v>
      </c>
      <c r="L510" s="37">
        <f t="shared" si="28"/>
        <v>0.34690608666329459</v>
      </c>
      <c r="M510" s="2">
        <f t="shared" si="29"/>
        <v>4115000000</v>
      </c>
      <c r="N510" s="37">
        <f t="shared" si="30"/>
        <v>0.19027145506659923</v>
      </c>
      <c r="O510" s="2">
        <f t="shared" si="31"/>
        <v>2257000000</v>
      </c>
    </row>
    <row r="511" spans="1:15" x14ac:dyDescent="0.3">
      <c r="A511" t="s">
        <v>220</v>
      </c>
      <c r="B511">
        <v>2</v>
      </c>
      <c r="C511">
        <v>2013</v>
      </c>
      <c r="D511" s="1">
        <v>41639</v>
      </c>
      <c r="E511" s="2">
        <v>12581000000</v>
      </c>
      <c r="F511" s="2">
        <v>8364000000</v>
      </c>
      <c r="G511" s="2">
        <v>309000000</v>
      </c>
      <c r="H511">
        <v>0</v>
      </c>
      <c r="I511" s="2">
        <v>1622000000</v>
      </c>
      <c r="J511" t="s">
        <v>38</v>
      </c>
      <c r="K511" t="s">
        <v>41</v>
      </c>
      <c r="L511" s="37">
        <f t="shared" si="28"/>
        <v>0.33518798187743426</v>
      </c>
      <c r="M511" s="2">
        <f t="shared" si="29"/>
        <v>4217000000</v>
      </c>
      <c r="N511" s="37">
        <f t="shared" si="30"/>
        <v>0.18170256736348461</v>
      </c>
      <c r="O511" s="2">
        <f t="shared" si="31"/>
        <v>2286000000</v>
      </c>
    </row>
    <row r="512" spans="1:15" x14ac:dyDescent="0.3">
      <c r="A512" t="s">
        <v>220</v>
      </c>
      <c r="B512">
        <v>3</v>
      </c>
      <c r="C512">
        <v>2014</v>
      </c>
      <c r="D512" s="1">
        <v>42004</v>
      </c>
      <c r="E512" s="2">
        <v>13413000000</v>
      </c>
      <c r="F512" s="2">
        <v>8742000000</v>
      </c>
      <c r="G512" s="2">
        <v>322000000</v>
      </c>
      <c r="H512">
        <v>0</v>
      </c>
      <c r="I512" s="2">
        <v>1720000000</v>
      </c>
      <c r="J512" t="s">
        <v>38</v>
      </c>
      <c r="K512" t="s">
        <v>41</v>
      </c>
      <c r="L512" s="37">
        <f t="shared" si="28"/>
        <v>0.34824424066204429</v>
      </c>
      <c r="M512" s="2">
        <f t="shared" si="29"/>
        <v>4671000000</v>
      </c>
      <c r="N512" s="37">
        <f t="shared" si="30"/>
        <v>0.19600387683590548</v>
      </c>
      <c r="O512" s="2">
        <f t="shared" si="31"/>
        <v>2629000000</v>
      </c>
    </row>
    <row r="513" spans="1:15" x14ac:dyDescent="0.3">
      <c r="A513" t="s">
        <v>220</v>
      </c>
      <c r="B513">
        <v>4</v>
      </c>
      <c r="C513">
        <v>2015</v>
      </c>
      <c r="D513" s="1">
        <v>42369</v>
      </c>
      <c r="E513" s="2">
        <v>11524000000</v>
      </c>
      <c r="F513" s="2">
        <v>7256000000</v>
      </c>
      <c r="G513" s="2">
        <v>336000000</v>
      </c>
      <c r="H513">
        <v>0</v>
      </c>
      <c r="I513" s="2">
        <v>1919000000</v>
      </c>
      <c r="J513" t="s">
        <v>38</v>
      </c>
      <c r="K513" t="s">
        <v>41</v>
      </c>
      <c r="L513" s="37">
        <f t="shared" si="28"/>
        <v>0.37035751475182233</v>
      </c>
      <c r="M513" s="2">
        <f t="shared" si="29"/>
        <v>4268000000</v>
      </c>
      <c r="N513" s="37">
        <f t="shared" si="30"/>
        <v>0.17467893092676154</v>
      </c>
      <c r="O513" s="2">
        <f t="shared" si="31"/>
        <v>2013000000</v>
      </c>
    </row>
    <row r="514" spans="1:15" x14ac:dyDescent="0.3">
      <c r="A514" t="s">
        <v>221</v>
      </c>
      <c r="B514">
        <v>1</v>
      </c>
      <c r="C514">
        <v>2013</v>
      </c>
      <c r="D514" s="1">
        <v>41455</v>
      </c>
      <c r="E514" s="2">
        <v>10181700000</v>
      </c>
      <c r="F514" s="2">
        <v>2025900000</v>
      </c>
      <c r="G514" s="2">
        <v>6597000000</v>
      </c>
      <c r="H514">
        <v>0</v>
      </c>
      <c r="I514">
        <v>0</v>
      </c>
      <c r="J514" t="s">
        <v>32</v>
      </c>
      <c r="K514" t="s">
        <v>166</v>
      </c>
      <c r="L514" s="37">
        <f t="shared" ref="L514:L577" si="32">1-(F514/E514)</f>
        <v>0.80102536904446209</v>
      </c>
      <c r="M514" s="2">
        <f t="shared" ref="M514:M577" si="33">E514-F514</f>
        <v>8155800000</v>
      </c>
      <c r="N514" s="37">
        <f t="shared" ref="N514:N577" si="34">O514/E514</f>
        <v>0.1530982056041722</v>
      </c>
      <c r="O514" s="2">
        <f t="shared" ref="O514:O577" si="35">M514-SUM(G514:I514)</f>
        <v>1558800000</v>
      </c>
    </row>
    <row r="515" spans="1:15" x14ac:dyDescent="0.3">
      <c r="A515" t="s">
        <v>221</v>
      </c>
      <c r="B515">
        <v>2</v>
      </c>
      <c r="C515">
        <v>2014</v>
      </c>
      <c r="D515" s="1">
        <v>41820</v>
      </c>
      <c r="E515" s="2">
        <v>10968800000</v>
      </c>
      <c r="F515" s="2">
        <v>2158200000</v>
      </c>
      <c r="G515" s="2">
        <v>6985900000</v>
      </c>
      <c r="H515">
        <v>0</v>
      </c>
      <c r="I515">
        <v>0</v>
      </c>
      <c r="J515" t="s">
        <v>32</v>
      </c>
      <c r="K515" t="s">
        <v>166</v>
      </c>
      <c r="L515" s="37">
        <f t="shared" si="32"/>
        <v>0.80324192254394289</v>
      </c>
      <c r="M515" s="2">
        <f t="shared" si="33"/>
        <v>8810600000</v>
      </c>
      <c r="N515" s="37">
        <f t="shared" si="34"/>
        <v>0.16635365764714463</v>
      </c>
      <c r="O515" s="2">
        <f t="shared" si="35"/>
        <v>1824700000</v>
      </c>
    </row>
    <row r="516" spans="1:15" x14ac:dyDescent="0.3">
      <c r="A516" t="s">
        <v>221</v>
      </c>
      <c r="B516">
        <v>3</v>
      </c>
      <c r="C516">
        <v>2015</v>
      </c>
      <c r="D516" s="1">
        <v>42185</v>
      </c>
      <c r="E516" s="2">
        <v>10780400000</v>
      </c>
      <c r="F516" s="2">
        <v>2100600000</v>
      </c>
      <c r="G516" s="2">
        <v>7073500000</v>
      </c>
      <c r="H516">
        <v>0</v>
      </c>
      <c r="I516">
        <v>0</v>
      </c>
      <c r="J516" t="s">
        <v>32</v>
      </c>
      <c r="K516" t="s">
        <v>166</v>
      </c>
      <c r="L516" s="37">
        <f t="shared" si="32"/>
        <v>0.80514637675781975</v>
      </c>
      <c r="M516" s="2">
        <f t="shared" si="33"/>
        <v>8679800000</v>
      </c>
      <c r="N516" s="37">
        <f t="shared" si="34"/>
        <v>0.1490018923231049</v>
      </c>
      <c r="O516" s="2">
        <f t="shared" si="35"/>
        <v>1606300000</v>
      </c>
    </row>
    <row r="517" spans="1:15" x14ac:dyDescent="0.3">
      <c r="A517" t="s">
        <v>221</v>
      </c>
      <c r="B517">
        <v>4</v>
      </c>
      <c r="C517">
        <v>2016</v>
      </c>
      <c r="D517" s="1">
        <v>42551</v>
      </c>
      <c r="E517" s="2">
        <v>11262300000</v>
      </c>
      <c r="F517" s="2">
        <v>2181100000</v>
      </c>
      <c r="G517" s="2">
        <v>7337800000</v>
      </c>
      <c r="H517">
        <v>0</v>
      </c>
      <c r="I517">
        <v>0</v>
      </c>
      <c r="J517" t="s">
        <v>32</v>
      </c>
      <c r="K517" t="s">
        <v>166</v>
      </c>
      <c r="L517" s="37">
        <f t="shared" si="32"/>
        <v>0.80633618355042924</v>
      </c>
      <c r="M517" s="2">
        <f t="shared" si="33"/>
        <v>9081200000</v>
      </c>
      <c r="N517" s="37">
        <f t="shared" si="34"/>
        <v>0.15479964128108822</v>
      </c>
      <c r="O517" s="2">
        <f t="shared" si="35"/>
        <v>1743400000</v>
      </c>
    </row>
    <row r="518" spans="1:15" x14ac:dyDescent="0.3">
      <c r="A518" t="s">
        <v>222</v>
      </c>
      <c r="B518">
        <v>1</v>
      </c>
      <c r="C518">
        <v>2012</v>
      </c>
      <c r="D518" s="1">
        <v>41274</v>
      </c>
      <c r="E518" s="2">
        <v>8102000000</v>
      </c>
      <c r="F518" s="2">
        <v>6340000000</v>
      </c>
      <c r="G518" s="2">
        <v>644000000</v>
      </c>
      <c r="H518" s="2">
        <v>198000000</v>
      </c>
      <c r="I518">
        <v>0</v>
      </c>
      <c r="J518" t="s">
        <v>55</v>
      </c>
      <c r="K518" t="s">
        <v>189</v>
      </c>
      <c r="L518" s="37">
        <f t="shared" si="32"/>
        <v>0.21747716613181933</v>
      </c>
      <c r="M518" s="2">
        <f t="shared" si="33"/>
        <v>1762000000</v>
      </c>
      <c r="N518" s="37">
        <f t="shared" si="34"/>
        <v>0.11355220933102937</v>
      </c>
      <c r="O518" s="2">
        <f t="shared" si="35"/>
        <v>920000000</v>
      </c>
    </row>
    <row r="519" spans="1:15" x14ac:dyDescent="0.3">
      <c r="A519" t="s">
        <v>222</v>
      </c>
      <c r="B519">
        <v>2</v>
      </c>
      <c r="C519">
        <v>2013</v>
      </c>
      <c r="D519" s="1">
        <v>41639</v>
      </c>
      <c r="E519" s="2">
        <v>9350000000</v>
      </c>
      <c r="F519" s="2">
        <v>6574000000</v>
      </c>
      <c r="G519" s="2">
        <v>645000000</v>
      </c>
      <c r="H519" s="2">
        <v>193000000</v>
      </c>
      <c r="I519">
        <v>0</v>
      </c>
      <c r="J519" t="s">
        <v>55</v>
      </c>
      <c r="K519" t="s">
        <v>189</v>
      </c>
      <c r="L519" s="37">
        <f t="shared" si="32"/>
        <v>0.29689839572192511</v>
      </c>
      <c r="M519" s="2">
        <f t="shared" si="33"/>
        <v>2776000000</v>
      </c>
      <c r="N519" s="37">
        <f t="shared" si="34"/>
        <v>0.20727272727272728</v>
      </c>
      <c r="O519" s="2">
        <f t="shared" si="35"/>
        <v>1938000000</v>
      </c>
    </row>
    <row r="520" spans="1:15" x14ac:dyDescent="0.3">
      <c r="A520" t="s">
        <v>222</v>
      </c>
      <c r="B520">
        <v>3</v>
      </c>
      <c r="C520">
        <v>2014</v>
      </c>
      <c r="D520" s="1">
        <v>42004</v>
      </c>
      <c r="E520" s="2">
        <v>9527000000</v>
      </c>
      <c r="F520" s="2">
        <v>7306000000</v>
      </c>
      <c r="G520" s="2">
        <v>755000000</v>
      </c>
      <c r="H520" s="2">
        <v>227000000</v>
      </c>
      <c r="I520">
        <v>0</v>
      </c>
      <c r="J520" t="s">
        <v>55</v>
      </c>
      <c r="K520" t="s">
        <v>189</v>
      </c>
      <c r="L520" s="37">
        <f t="shared" si="32"/>
        <v>0.23312690248766665</v>
      </c>
      <c r="M520" s="2">
        <f t="shared" si="33"/>
        <v>2221000000</v>
      </c>
      <c r="N520" s="37">
        <f t="shared" si="34"/>
        <v>0.13005143277002204</v>
      </c>
      <c r="O520" s="2">
        <f t="shared" si="35"/>
        <v>1239000000</v>
      </c>
    </row>
    <row r="521" spans="1:15" x14ac:dyDescent="0.3">
      <c r="A521" t="s">
        <v>222</v>
      </c>
      <c r="B521">
        <v>4</v>
      </c>
      <c r="C521">
        <v>2015</v>
      </c>
      <c r="D521" s="1">
        <v>42369</v>
      </c>
      <c r="E521" s="2">
        <v>9648000000</v>
      </c>
      <c r="F521" s="2">
        <v>7068000000</v>
      </c>
      <c r="G521" s="2">
        <v>762000000</v>
      </c>
      <c r="H521" s="2">
        <v>251000000</v>
      </c>
      <c r="I521">
        <v>0</v>
      </c>
      <c r="J521" t="s">
        <v>55</v>
      </c>
      <c r="K521" t="s">
        <v>189</v>
      </c>
      <c r="L521" s="37">
        <f t="shared" si="32"/>
        <v>0.26741293532338306</v>
      </c>
      <c r="M521" s="2">
        <f t="shared" si="33"/>
        <v>2580000000</v>
      </c>
      <c r="N521" s="37">
        <f t="shared" si="34"/>
        <v>0.16241708126036483</v>
      </c>
      <c r="O521" s="2">
        <f t="shared" si="35"/>
        <v>1567000000</v>
      </c>
    </row>
    <row r="522" spans="1:15" x14ac:dyDescent="0.3">
      <c r="A522" t="s">
        <v>223</v>
      </c>
      <c r="B522">
        <v>1</v>
      </c>
      <c r="C522">
        <v>2013</v>
      </c>
      <c r="D522" s="1">
        <v>41547</v>
      </c>
      <c r="E522" s="2">
        <v>24669000000</v>
      </c>
      <c r="F522" s="2">
        <v>14717000000</v>
      </c>
      <c r="G522" s="2">
        <v>6010000000</v>
      </c>
      <c r="H522">
        <v>0</v>
      </c>
      <c r="I522">
        <v>0</v>
      </c>
      <c r="J522" t="s">
        <v>12</v>
      </c>
      <c r="K522" t="s">
        <v>160</v>
      </c>
      <c r="L522" s="37">
        <f t="shared" si="32"/>
        <v>0.40342129798532567</v>
      </c>
      <c r="M522" s="2">
        <f t="shared" si="33"/>
        <v>9952000000</v>
      </c>
      <c r="N522" s="37">
        <f t="shared" si="34"/>
        <v>0.15979569500182414</v>
      </c>
      <c r="O522" s="2">
        <f t="shared" si="35"/>
        <v>3942000000</v>
      </c>
    </row>
    <row r="523" spans="1:15" x14ac:dyDescent="0.3">
      <c r="A523" t="s">
        <v>223</v>
      </c>
      <c r="B523">
        <v>2</v>
      </c>
      <c r="C523">
        <v>2014</v>
      </c>
      <c r="D523" s="1">
        <v>41912</v>
      </c>
      <c r="E523" s="2">
        <v>17733000000</v>
      </c>
      <c r="F523" s="2">
        <v>9971000000</v>
      </c>
      <c r="G523" s="2">
        <v>4375000000</v>
      </c>
      <c r="H523">
        <v>0</v>
      </c>
      <c r="I523">
        <v>0</v>
      </c>
      <c r="J523" t="s">
        <v>12</v>
      </c>
      <c r="K523" t="s">
        <v>160</v>
      </c>
      <c r="L523" s="37">
        <f t="shared" si="32"/>
        <v>0.43771499464275643</v>
      </c>
      <c r="M523" s="2">
        <f t="shared" si="33"/>
        <v>7762000000</v>
      </c>
      <c r="N523" s="37">
        <f t="shared" si="34"/>
        <v>0.19099983082388766</v>
      </c>
      <c r="O523" s="2">
        <f t="shared" si="35"/>
        <v>3387000000</v>
      </c>
    </row>
    <row r="524" spans="1:15" x14ac:dyDescent="0.3">
      <c r="A524" t="s">
        <v>223</v>
      </c>
      <c r="B524">
        <v>3</v>
      </c>
      <c r="C524">
        <v>2015</v>
      </c>
      <c r="D524" s="1">
        <v>42277</v>
      </c>
      <c r="E524" s="2">
        <v>16249000000</v>
      </c>
      <c r="F524" s="2">
        <v>9241000000</v>
      </c>
      <c r="G524" s="2">
        <v>4065000000</v>
      </c>
      <c r="H524">
        <v>0</v>
      </c>
      <c r="I524">
        <v>0</v>
      </c>
      <c r="J524" t="s">
        <v>12</v>
      </c>
      <c r="K524" t="s">
        <v>160</v>
      </c>
      <c r="L524" s="37">
        <f t="shared" si="32"/>
        <v>0.43128807926641644</v>
      </c>
      <c r="M524" s="2">
        <f t="shared" si="33"/>
        <v>7008000000</v>
      </c>
      <c r="N524" s="37">
        <f t="shared" si="34"/>
        <v>0.18111883808234353</v>
      </c>
      <c r="O524" s="2">
        <f t="shared" si="35"/>
        <v>2943000000</v>
      </c>
    </row>
    <row r="525" spans="1:15" x14ac:dyDescent="0.3">
      <c r="A525" t="s">
        <v>223</v>
      </c>
      <c r="B525">
        <v>4</v>
      </c>
      <c r="C525">
        <v>2016</v>
      </c>
      <c r="D525" s="1">
        <v>42643</v>
      </c>
      <c r="E525" s="2">
        <v>14522000000</v>
      </c>
      <c r="F525" s="2">
        <v>8260000000</v>
      </c>
      <c r="G525" s="2">
        <v>3758000000</v>
      </c>
      <c r="H525">
        <v>0</v>
      </c>
      <c r="I525">
        <v>0</v>
      </c>
      <c r="J525" t="s">
        <v>12</v>
      </c>
      <c r="K525" t="s">
        <v>160</v>
      </c>
      <c r="L525" s="37">
        <f t="shared" si="32"/>
        <v>0.43120782261396506</v>
      </c>
      <c r="M525" s="2">
        <f t="shared" si="33"/>
        <v>6262000000</v>
      </c>
      <c r="N525" s="37">
        <f t="shared" si="34"/>
        <v>0.17242804021484645</v>
      </c>
      <c r="O525" s="2">
        <f t="shared" si="35"/>
        <v>2504000000</v>
      </c>
    </row>
    <row r="526" spans="1:15" x14ac:dyDescent="0.3">
      <c r="A526" t="s">
        <v>224</v>
      </c>
      <c r="B526">
        <v>1</v>
      </c>
      <c r="C526">
        <v>2012</v>
      </c>
      <c r="D526" s="1">
        <v>41274</v>
      </c>
      <c r="E526" s="2">
        <v>11682636000</v>
      </c>
      <c r="F526" s="2">
        <v>1699428000</v>
      </c>
      <c r="G526" s="2">
        <v>3862434000</v>
      </c>
      <c r="H526">
        <v>0</v>
      </c>
      <c r="I526" s="2">
        <v>3169703000</v>
      </c>
      <c r="J526" t="s">
        <v>79</v>
      </c>
      <c r="K526" t="s">
        <v>80</v>
      </c>
      <c r="L526" s="37">
        <f t="shared" si="32"/>
        <v>0.85453385691379924</v>
      </c>
      <c r="M526" s="2">
        <f t="shared" si="33"/>
        <v>9983208000</v>
      </c>
      <c r="N526" s="37">
        <f t="shared" si="34"/>
        <v>0.25260317962487233</v>
      </c>
      <c r="O526" s="2">
        <f t="shared" si="35"/>
        <v>2951071000</v>
      </c>
    </row>
    <row r="527" spans="1:15" x14ac:dyDescent="0.3">
      <c r="A527" t="s">
        <v>224</v>
      </c>
      <c r="B527">
        <v>2</v>
      </c>
      <c r="C527">
        <v>2013</v>
      </c>
      <c r="D527" s="1">
        <v>41639</v>
      </c>
      <c r="E527" s="2">
        <v>14487118000</v>
      </c>
      <c r="F527" s="2">
        <v>2066893000</v>
      </c>
      <c r="G527" s="2">
        <v>4621096000</v>
      </c>
      <c r="H527">
        <v>0</v>
      </c>
      <c r="I527" s="2">
        <v>3600976000</v>
      </c>
      <c r="J527" t="s">
        <v>79</v>
      </c>
      <c r="K527" t="s">
        <v>80</v>
      </c>
      <c r="L527" s="37">
        <f t="shared" si="32"/>
        <v>0.85732890420303054</v>
      </c>
      <c r="M527" s="2">
        <f t="shared" si="33"/>
        <v>12420225000</v>
      </c>
      <c r="N527" s="37">
        <f t="shared" si="34"/>
        <v>0.28978524230975411</v>
      </c>
      <c r="O527" s="2">
        <f t="shared" si="35"/>
        <v>4198153000</v>
      </c>
    </row>
    <row r="528" spans="1:15" x14ac:dyDescent="0.3">
      <c r="A528" t="s">
        <v>224</v>
      </c>
      <c r="B528">
        <v>3</v>
      </c>
      <c r="C528">
        <v>2014</v>
      </c>
      <c r="D528" s="1">
        <v>42004</v>
      </c>
      <c r="E528" s="2">
        <v>18035340000</v>
      </c>
      <c r="F528" s="2">
        <v>2534389000</v>
      </c>
      <c r="G528" s="2">
        <v>5285634000</v>
      </c>
      <c r="H528">
        <v>0</v>
      </c>
      <c r="I528" s="2">
        <v>3997041000</v>
      </c>
      <c r="J528" t="s">
        <v>79</v>
      </c>
      <c r="K528" t="s">
        <v>80</v>
      </c>
      <c r="L528" s="37">
        <f t="shared" si="32"/>
        <v>0.85947650557183841</v>
      </c>
      <c r="M528" s="2">
        <f t="shared" si="33"/>
        <v>15500951000</v>
      </c>
      <c r="N528" s="37">
        <f t="shared" si="34"/>
        <v>0.34478285410754661</v>
      </c>
      <c r="O528" s="2">
        <f t="shared" si="35"/>
        <v>6218276000</v>
      </c>
    </row>
    <row r="529" spans="1:15" x14ac:dyDescent="0.3">
      <c r="A529" t="s">
        <v>224</v>
      </c>
      <c r="B529">
        <v>4</v>
      </c>
      <c r="C529">
        <v>2015</v>
      </c>
      <c r="D529" s="1">
        <v>42369</v>
      </c>
      <c r="E529" s="2">
        <v>8757428000</v>
      </c>
      <c r="F529" s="2">
        <v>2177757000</v>
      </c>
      <c r="G529" s="2">
        <v>3174320000</v>
      </c>
      <c r="H529">
        <v>0</v>
      </c>
      <c r="I529" s="2">
        <v>3313644000</v>
      </c>
      <c r="J529" t="s">
        <v>79</v>
      </c>
      <c r="K529" t="s">
        <v>80</v>
      </c>
      <c r="L529" s="37">
        <f t="shared" si="32"/>
        <v>0.75132458982249128</v>
      </c>
      <c r="M529" s="2">
        <f t="shared" si="33"/>
        <v>6579671000</v>
      </c>
      <c r="N529" s="37">
        <f t="shared" si="34"/>
        <v>1.0471910245793628E-2</v>
      </c>
      <c r="O529" s="2">
        <f t="shared" si="35"/>
        <v>91707000</v>
      </c>
    </row>
    <row r="530" spans="1:15" x14ac:dyDescent="0.3">
      <c r="A530" t="s">
        <v>225</v>
      </c>
      <c r="B530">
        <v>1</v>
      </c>
      <c r="C530">
        <v>2012</v>
      </c>
      <c r="D530" s="1">
        <v>41274</v>
      </c>
      <c r="E530" s="2">
        <v>1887376000</v>
      </c>
      <c r="F530" s="2">
        <v>944617000</v>
      </c>
      <c r="G530" s="2">
        <v>531180000</v>
      </c>
      <c r="H530">
        <v>0</v>
      </c>
      <c r="I530">
        <v>0</v>
      </c>
      <c r="J530" t="s">
        <v>48</v>
      </c>
      <c r="K530" t="s">
        <v>49</v>
      </c>
      <c r="L530" s="37">
        <f t="shared" si="32"/>
        <v>0.49950778223311099</v>
      </c>
      <c r="M530" s="2">
        <f t="shared" si="33"/>
        <v>942759000</v>
      </c>
      <c r="N530" s="37">
        <f t="shared" si="34"/>
        <v>0.21806942548808506</v>
      </c>
      <c r="O530" s="2">
        <f t="shared" si="35"/>
        <v>411579000</v>
      </c>
    </row>
    <row r="531" spans="1:15" x14ac:dyDescent="0.3">
      <c r="A531" t="s">
        <v>225</v>
      </c>
      <c r="B531">
        <v>2</v>
      </c>
      <c r="C531">
        <v>2013</v>
      </c>
      <c r="D531" s="1">
        <v>41639</v>
      </c>
      <c r="E531" s="2">
        <v>2152766000</v>
      </c>
      <c r="F531" s="2">
        <v>1064403000</v>
      </c>
      <c r="G531" s="2">
        <v>621413000</v>
      </c>
      <c r="H531">
        <v>0</v>
      </c>
      <c r="I531">
        <v>0</v>
      </c>
      <c r="J531" t="s">
        <v>48</v>
      </c>
      <c r="K531" t="s">
        <v>49</v>
      </c>
      <c r="L531" s="37">
        <f t="shared" si="32"/>
        <v>0.505564933671379</v>
      </c>
      <c r="M531" s="2">
        <f t="shared" si="33"/>
        <v>1088363000</v>
      </c>
      <c r="N531" s="37">
        <f t="shared" si="34"/>
        <v>0.2169069931427754</v>
      </c>
      <c r="O531" s="2">
        <f t="shared" si="35"/>
        <v>466950000</v>
      </c>
    </row>
    <row r="532" spans="1:15" x14ac:dyDescent="0.3">
      <c r="A532" t="s">
        <v>225</v>
      </c>
      <c r="B532">
        <v>3</v>
      </c>
      <c r="C532">
        <v>2014</v>
      </c>
      <c r="D532" s="1">
        <v>42004</v>
      </c>
      <c r="E532" s="2">
        <v>2443776000</v>
      </c>
      <c r="F532" s="2">
        <v>1197885000</v>
      </c>
      <c r="G532" s="2">
        <v>734119000</v>
      </c>
      <c r="H532">
        <v>0</v>
      </c>
      <c r="I532">
        <v>0</v>
      </c>
      <c r="J532" t="s">
        <v>48</v>
      </c>
      <c r="K532" t="s">
        <v>49</v>
      </c>
      <c r="L532" s="37">
        <f t="shared" si="32"/>
        <v>0.50982209498742925</v>
      </c>
      <c r="M532" s="2">
        <f t="shared" si="33"/>
        <v>1245891000</v>
      </c>
      <c r="N532" s="37">
        <f t="shared" si="34"/>
        <v>0.20941853917871359</v>
      </c>
      <c r="O532" s="2">
        <f t="shared" si="35"/>
        <v>511772000</v>
      </c>
    </row>
    <row r="533" spans="1:15" x14ac:dyDescent="0.3">
      <c r="A533" t="s">
        <v>225</v>
      </c>
      <c r="B533">
        <v>4</v>
      </c>
      <c r="C533">
        <v>2015</v>
      </c>
      <c r="D533" s="1">
        <v>42369</v>
      </c>
      <c r="E533" s="2">
        <v>2725867000</v>
      </c>
      <c r="F533" s="2">
        <v>1291506000</v>
      </c>
      <c r="G533" s="2">
        <v>825296000</v>
      </c>
      <c r="H533">
        <v>0</v>
      </c>
      <c r="I533">
        <v>0</v>
      </c>
      <c r="J533" t="s">
        <v>48</v>
      </c>
      <c r="K533" t="s">
        <v>49</v>
      </c>
      <c r="L533" s="37">
        <f t="shared" si="32"/>
        <v>0.52620358953683355</v>
      </c>
      <c r="M533" s="2">
        <f t="shared" si="33"/>
        <v>1434361000</v>
      </c>
      <c r="N533" s="37">
        <f t="shared" si="34"/>
        <v>0.22343900124254046</v>
      </c>
      <c r="O533" s="2">
        <f t="shared" si="35"/>
        <v>609065000</v>
      </c>
    </row>
    <row r="534" spans="1:15" x14ac:dyDescent="0.3">
      <c r="A534" t="s">
        <v>226</v>
      </c>
      <c r="B534">
        <v>1</v>
      </c>
      <c r="C534">
        <v>2012</v>
      </c>
      <c r="D534" s="1">
        <v>41274</v>
      </c>
      <c r="E534" s="2">
        <v>1747502000</v>
      </c>
      <c r="F534" s="2">
        <v>625507000</v>
      </c>
      <c r="G534" s="2">
        <v>47233000</v>
      </c>
      <c r="H534">
        <v>0</v>
      </c>
      <c r="I534" s="2">
        <v>560669000</v>
      </c>
      <c r="J534" t="s">
        <v>48</v>
      </c>
      <c r="K534" t="s">
        <v>49</v>
      </c>
      <c r="L534" s="37">
        <f t="shared" si="32"/>
        <v>0.64205648977798024</v>
      </c>
      <c r="M534" s="2">
        <f t="shared" si="33"/>
        <v>1121995000</v>
      </c>
      <c r="N534" s="37">
        <f t="shared" si="34"/>
        <v>0.29418736001446638</v>
      </c>
      <c r="O534" s="2">
        <f t="shared" si="35"/>
        <v>514093000</v>
      </c>
    </row>
    <row r="535" spans="1:15" x14ac:dyDescent="0.3">
      <c r="A535" t="s">
        <v>226</v>
      </c>
      <c r="B535">
        <v>2</v>
      </c>
      <c r="C535">
        <v>2013</v>
      </c>
      <c r="D535" s="1">
        <v>41639</v>
      </c>
      <c r="E535" s="2">
        <v>2387702000</v>
      </c>
      <c r="F535" s="2">
        <v>834228000</v>
      </c>
      <c r="G535" s="2">
        <v>62179000</v>
      </c>
      <c r="H535">
        <v>0</v>
      </c>
      <c r="I535" s="2">
        <v>978973000</v>
      </c>
      <c r="J535" t="s">
        <v>48</v>
      </c>
      <c r="K535" t="s">
        <v>49</v>
      </c>
      <c r="L535" s="37">
        <f t="shared" si="32"/>
        <v>0.65061469144809525</v>
      </c>
      <c r="M535" s="2">
        <f t="shared" si="33"/>
        <v>1553474000</v>
      </c>
      <c r="N535" s="37">
        <f t="shared" si="34"/>
        <v>0.21456697695106006</v>
      </c>
      <c r="O535" s="2">
        <f t="shared" si="35"/>
        <v>512322000</v>
      </c>
    </row>
    <row r="536" spans="1:15" x14ac:dyDescent="0.3">
      <c r="A536" t="s">
        <v>226</v>
      </c>
      <c r="B536">
        <v>3</v>
      </c>
      <c r="C536">
        <v>2014</v>
      </c>
      <c r="D536" s="1">
        <v>42004</v>
      </c>
      <c r="E536" s="2">
        <v>2614748000</v>
      </c>
      <c r="F536" s="2">
        <v>883564000</v>
      </c>
      <c r="G536" s="2">
        <v>50948000</v>
      </c>
      <c r="H536">
        <v>0</v>
      </c>
      <c r="I536" s="2">
        <v>758861000</v>
      </c>
      <c r="J536" t="s">
        <v>48</v>
      </c>
      <c r="K536" t="s">
        <v>49</v>
      </c>
      <c r="L536" s="37">
        <f t="shared" si="32"/>
        <v>0.66208445326280008</v>
      </c>
      <c r="M536" s="2">
        <f t="shared" si="33"/>
        <v>1731184000</v>
      </c>
      <c r="N536" s="37">
        <f t="shared" si="34"/>
        <v>0.35237621369248584</v>
      </c>
      <c r="O536" s="2">
        <f t="shared" si="35"/>
        <v>921375000</v>
      </c>
    </row>
    <row r="537" spans="1:15" x14ac:dyDescent="0.3">
      <c r="A537" t="s">
        <v>226</v>
      </c>
      <c r="B537">
        <v>4</v>
      </c>
      <c r="C537">
        <v>2015</v>
      </c>
      <c r="D537" s="1">
        <v>42369</v>
      </c>
      <c r="E537" s="2">
        <v>2744965000</v>
      </c>
      <c r="F537" s="2">
        <v>905168000</v>
      </c>
      <c r="G537" s="2">
        <v>65082000</v>
      </c>
      <c r="H537">
        <v>0</v>
      </c>
      <c r="I537" s="2">
        <v>765895000</v>
      </c>
      <c r="J537" t="s">
        <v>48</v>
      </c>
      <c r="K537" t="s">
        <v>49</v>
      </c>
      <c r="L537" s="37">
        <f t="shared" si="32"/>
        <v>0.67024424719440867</v>
      </c>
      <c r="M537" s="2">
        <f t="shared" si="33"/>
        <v>1839797000</v>
      </c>
      <c r="N537" s="37">
        <f t="shared" si="34"/>
        <v>0.36751652571162108</v>
      </c>
      <c r="O537" s="2">
        <f t="shared" si="35"/>
        <v>1008820000</v>
      </c>
    </row>
    <row r="538" spans="1:15" x14ac:dyDescent="0.3">
      <c r="A538" t="s">
        <v>227</v>
      </c>
      <c r="B538">
        <v>1</v>
      </c>
      <c r="C538">
        <v>2013</v>
      </c>
      <c r="D538" s="1">
        <v>41639</v>
      </c>
      <c r="E538" s="2">
        <v>1859177000</v>
      </c>
      <c r="F538" s="2">
        <v>354561000</v>
      </c>
      <c r="G538" s="2">
        <v>200849000</v>
      </c>
      <c r="H538">
        <v>0</v>
      </c>
      <c r="I538" s="2">
        <v>653132000</v>
      </c>
      <c r="J538" t="s">
        <v>79</v>
      </c>
      <c r="K538" t="s">
        <v>80</v>
      </c>
      <c r="L538" s="37">
        <f t="shared" si="32"/>
        <v>0.8092914230328796</v>
      </c>
      <c r="M538" s="2">
        <f t="shared" si="33"/>
        <v>1504616000</v>
      </c>
      <c r="N538" s="37">
        <f t="shared" si="34"/>
        <v>0.34995861071861367</v>
      </c>
      <c r="O538" s="2">
        <f t="shared" si="35"/>
        <v>650635000</v>
      </c>
    </row>
    <row r="539" spans="1:15" x14ac:dyDescent="0.3">
      <c r="A539" t="s">
        <v>227</v>
      </c>
      <c r="B539">
        <v>2</v>
      </c>
      <c r="C539">
        <v>2014</v>
      </c>
      <c r="D539" s="1">
        <v>42004</v>
      </c>
      <c r="E539" s="2">
        <v>2388768000</v>
      </c>
      <c r="F539" s="2">
        <v>443974000</v>
      </c>
      <c r="G539" s="2">
        <v>238134000</v>
      </c>
      <c r="H539">
        <v>0</v>
      </c>
      <c r="I539" s="2">
        <v>679298000</v>
      </c>
      <c r="J539" t="s">
        <v>79</v>
      </c>
      <c r="K539" t="s">
        <v>80</v>
      </c>
      <c r="L539" s="37">
        <f t="shared" si="32"/>
        <v>0.81414101327546251</v>
      </c>
      <c r="M539" s="2">
        <f t="shared" si="33"/>
        <v>1944794000</v>
      </c>
      <c r="N539" s="37">
        <f t="shared" si="34"/>
        <v>0.43008027569023027</v>
      </c>
      <c r="O539" s="2">
        <f t="shared" si="35"/>
        <v>1027362000</v>
      </c>
    </row>
    <row r="540" spans="1:15" x14ac:dyDescent="0.3">
      <c r="A540" t="s">
        <v>227</v>
      </c>
      <c r="B540">
        <v>3</v>
      </c>
      <c r="C540">
        <v>2015</v>
      </c>
      <c r="D540" s="1">
        <v>42369</v>
      </c>
      <c r="E540" s="2">
        <v>1954000000</v>
      </c>
      <c r="F540" s="2">
        <v>523043000</v>
      </c>
      <c r="G540" s="2">
        <v>249925000</v>
      </c>
      <c r="H540">
        <v>0</v>
      </c>
      <c r="I540" s="2">
        <v>819216000</v>
      </c>
      <c r="J540" t="s">
        <v>79</v>
      </c>
      <c r="K540" t="s">
        <v>80</v>
      </c>
      <c r="L540" s="37">
        <f t="shared" si="32"/>
        <v>0.73232190378710338</v>
      </c>
      <c r="M540" s="2">
        <f t="shared" si="33"/>
        <v>1430957000</v>
      </c>
      <c r="N540" s="37">
        <f t="shared" si="34"/>
        <v>0.18516683725690891</v>
      </c>
      <c r="O540" s="2">
        <f t="shared" si="35"/>
        <v>361816000</v>
      </c>
    </row>
    <row r="541" spans="1:15" x14ac:dyDescent="0.3">
      <c r="A541" t="s">
        <v>227</v>
      </c>
      <c r="B541">
        <v>4</v>
      </c>
      <c r="C541">
        <v>2016</v>
      </c>
      <c r="D541" s="1">
        <v>42735</v>
      </c>
      <c r="E541" s="2">
        <v>1857339000</v>
      </c>
      <c r="F541" s="2">
        <v>613909000</v>
      </c>
      <c r="G541" s="2">
        <v>272747000</v>
      </c>
      <c r="H541">
        <v>0</v>
      </c>
      <c r="I541" s="2">
        <v>927920000</v>
      </c>
      <c r="J541" t="s">
        <v>79</v>
      </c>
      <c r="K541" t="s">
        <v>80</v>
      </c>
      <c r="L541" s="37">
        <f t="shared" si="32"/>
        <v>0.66946852459351791</v>
      </c>
      <c r="M541" s="2">
        <f t="shared" si="33"/>
        <v>1243430000</v>
      </c>
      <c r="N541" s="37">
        <f t="shared" si="34"/>
        <v>2.3023799101833321E-2</v>
      </c>
      <c r="O541" s="2">
        <f t="shared" si="35"/>
        <v>42763000</v>
      </c>
    </row>
    <row r="542" spans="1:15" x14ac:dyDescent="0.3">
      <c r="A542" t="s">
        <v>228</v>
      </c>
      <c r="B542">
        <v>1</v>
      </c>
      <c r="C542">
        <v>2012</v>
      </c>
      <c r="D542" s="1">
        <v>41274</v>
      </c>
      <c r="E542" s="2">
        <v>6273787000</v>
      </c>
      <c r="F542" s="2">
        <v>3667434000</v>
      </c>
      <c r="G542" s="2">
        <v>747356000</v>
      </c>
      <c r="H542">
        <v>0</v>
      </c>
      <c r="I542" s="2">
        <v>740791000</v>
      </c>
      <c r="J542" t="s">
        <v>38</v>
      </c>
      <c r="K542" t="s">
        <v>39</v>
      </c>
      <c r="L542" s="37">
        <f t="shared" si="32"/>
        <v>0.41543536623095434</v>
      </c>
      <c r="M542" s="2">
        <f t="shared" si="33"/>
        <v>2606353000</v>
      </c>
      <c r="N542" s="37">
        <f t="shared" si="34"/>
        <v>0.17823461332047136</v>
      </c>
      <c r="O542" s="2">
        <f t="shared" si="35"/>
        <v>1118206000</v>
      </c>
    </row>
    <row r="543" spans="1:15" x14ac:dyDescent="0.3">
      <c r="A543" t="s">
        <v>228</v>
      </c>
      <c r="B543">
        <v>2</v>
      </c>
      <c r="C543">
        <v>2013</v>
      </c>
      <c r="D543" s="1">
        <v>41639</v>
      </c>
      <c r="E543" s="2">
        <v>7301204000</v>
      </c>
      <c r="F543" s="2">
        <v>3997940000</v>
      </c>
      <c r="G543" s="2">
        <v>914149000</v>
      </c>
      <c r="H543">
        <v>0</v>
      </c>
      <c r="I543" s="2">
        <v>859680000</v>
      </c>
      <c r="J543" t="s">
        <v>38</v>
      </c>
      <c r="K543" t="s">
        <v>39</v>
      </c>
      <c r="L543" s="37">
        <f t="shared" si="32"/>
        <v>0.4524272982921721</v>
      </c>
      <c r="M543" s="2">
        <f t="shared" si="33"/>
        <v>3303264000</v>
      </c>
      <c r="N543" s="37">
        <f t="shared" si="34"/>
        <v>0.20947709446277626</v>
      </c>
      <c r="O543" s="2">
        <f t="shared" si="35"/>
        <v>1529435000</v>
      </c>
    </row>
    <row r="544" spans="1:15" x14ac:dyDescent="0.3">
      <c r="A544" t="s">
        <v>228</v>
      </c>
      <c r="B544">
        <v>3</v>
      </c>
      <c r="C544">
        <v>2014</v>
      </c>
      <c r="D544" s="1">
        <v>42004</v>
      </c>
      <c r="E544" s="2">
        <v>7741856000</v>
      </c>
      <c r="F544" s="2">
        <v>4449139000</v>
      </c>
      <c r="G544" s="2">
        <v>1034507000</v>
      </c>
      <c r="H544">
        <v>0</v>
      </c>
      <c r="I544" s="2">
        <v>625361000</v>
      </c>
      <c r="J544" t="s">
        <v>38</v>
      </c>
      <c r="K544" t="s">
        <v>39</v>
      </c>
      <c r="L544" s="37">
        <f t="shared" si="32"/>
        <v>0.42531364572009611</v>
      </c>
      <c r="M544" s="2">
        <f t="shared" si="33"/>
        <v>3292717000</v>
      </c>
      <c r="N544" s="37">
        <f t="shared" si="34"/>
        <v>0.2109118278614327</v>
      </c>
      <c r="O544" s="2">
        <f t="shared" si="35"/>
        <v>1632849000</v>
      </c>
    </row>
    <row r="545" spans="1:15" x14ac:dyDescent="0.3">
      <c r="A545" t="s">
        <v>228</v>
      </c>
      <c r="B545">
        <v>4</v>
      </c>
      <c r="C545">
        <v>2015</v>
      </c>
      <c r="D545" s="1">
        <v>42369</v>
      </c>
      <c r="E545" s="2">
        <v>7954827000</v>
      </c>
      <c r="F545" s="2">
        <v>4416194000</v>
      </c>
      <c r="G545" s="2">
        <v>1086274000</v>
      </c>
      <c r="H545">
        <v>0</v>
      </c>
      <c r="I545" s="2">
        <v>688195000</v>
      </c>
      <c r="J545" t="s">
        <v>38</v>
      </c>
      <c r="K545" t="s">
        <v>39</v>
      </c>
      <c r="L545" s="37">
        <f t="shared" si="32"/>
        <v>0.4448409751714274</v>
      </c>
      <c r="M545" s="2">
        <f t="shared" si="33"/>
        <v>3538633000</v>
      </c>
      <c r="N545" s="37">
        <f t="shared" si="34"/>
        <v>0.22177276765415516</v>
      </c>
      <c r="O545" s="2">
        <f t="shared" si="35"/>
        <v>1764164000</v>
      </c>
    </row>
    <row r="546" spans="1:15" x14ac:dyDescent="0.3">
      <c r="A546" t="s">
        <v>229</v>
      </c>
      <c r="B546">
        <v>1</v>
      </c>
      <c r="C546">
        <v>2012</v>
      </c>
      <c r="D546" s="1">
        <v>41274</v>
      </c>
      <c r="E546" s="2">
        <v>535153000</v>
      </c>
      <c r="F546" s="2">
        <v>172167000</v>
      </c>
      <c r="G546" s="2">
        <v>24573000</v>
      </c>
      <c r="H546">
        <v>0</v>
      </c>
      <c r="I546" s="2">
        <v>169173000</v>
      </c>
      <c r="J546" t="s">
        <v>48</v>
      </c>
      <c r="K546" t="s">
        <v>230</v>
      </c>
      <c r="L546" s="37">
        <f t="shared" si="32"/>
        <v>0.6782845279761115</v>
      </c>
      <c r="M546" s="2">
        <f t="shared" si="33"/>
        <v>362986000</v>
      </c>
      <c r="N546" s="37">
        <f t="shared" si="34"/>
        <v>0.31624600815094001</v>
      </c>
      <c r="O546" s="2">
        <f t="shared" si="35"/>
        <v>169240000</v>
      </c>
    </row>
    <row r="547" spans="1:15" x14ac:dyDescent="0.3">
      <c r="A547" t="s">
        <v>229</v>
      </c>
      <c r="B547">
        <v>2</v>
      </c>
      <c r="C547">
        <v>2013</v>
      </c>
      <c r="D547" s="1">
        <v>41639</v>
      </c>
      <c r="E547" s="2">
        <v>610590000</v>
      </c>
      <c r="F547" s="2">
        <v>197336000</v>
      </c>
      <c r="G547" s="2">
        <v>26684000</v>
      </c>
      <c r="H547">
        <v>0</v>
      </c>
      <c r="I547" s="2">
        <v>192420000</v>
      </c>
      <c r="J547" t="s">
        <v>48</v>
      </c>
      <c r="K547" t="s">
        <v>230</v>
      </c>
      <c r="L547" s="37">
        <f t="shared" si="32"/>
        <v>0.67681095334021191</v>
      </c>
      <c r="M547" s="2">
        <f t="shared" si="33"/>
        <v>413254000</v>
      </c>
      <c r="N547" s="37">
        <f t="shared" si="34"/>
        <v>0.31797114266529097</v>
      </c>
      <c r="O547" s="2">
        <f t="shared" si="35"/>
        <v>194150000</v>
      </c>
    </row>
    <row r="548" spans="1:15" x14ac:dyDescent="0.3">
      <c r="A548" t="s">
        <v>229</v>
      </c>
      <c r="B548">
        <v>3</v>
      </c>
      <c r="C548">
        <v>2014</v>
      </c>
      <c r="D548" s="1">
        <v>42004</v>
      </c>
      <c r="E548" s="2">
        <v>970938000</v>
      </c>
      <c r="F548" s="2">
        <v>312546000</v>
      </c>
      <c r="G548" s="2">
        <v>40878000</v>
      </c>
      <c r="H548">
        <v>0</v>
      </c>
      <c r="I548" s="2">
        <v>360592000</v>
      </c>
      <c r="J548" t="s">
        <v>48</v>
      </c>
      <c r="K548" t="s">
        <v>230</v>
      </c>
      <c r="L548" s="37">
        <f t="shared" si="32"/>
        <v>0.67809891053805704</v>
      </c>
      <c r="M548" s="2">
        <f t="shared" si="33"/>
        <v>658392000</v>
      </c>
      <c r="N548" s="37">
        <f t="shared" si="34"/>
        <v>0.2646121585518334</v>
      </c>
      <c r="O548" s="2">
        <f t="shared" si="35"/>
        <v>256922000</v>
      </c>
    </row>
    <row r="549" spans="1:15" x14ac:dyDescent="0.3">
      <c r="A549" t="s">
        <v>229</v>
      </c>
      <c r="B549">
        <v>4</v>
      </c>
      <c r="C549">
        <v>2015</v>
      </c>
      <c r="D549" s="1">
        <v>42369</v>
      </c>
      <c r="E549" s="2">
        <v>1194407000</v>
      </c>
      <c r="F549" s="2">
        <v>363508000</v>
      </c>
      <c r="G549" s="2">
        <v>40090000</v>
      </c>
      <c r="H549">
        <v>0</v>
      </c>
      <c r="I549" s="2">
        <v>453423000</v>
      </c>
      <c r="J549" t="s">
        <v>48</v>
      </c>
      <c r="K549" t="s">
        <v>230</v>
      </c>
      <c r="L549" s="37">
        <f t="shared" si="32"/>
        <v>0.69565818016806669</v>
      </c>
      <c r="M549" s="2">
        <f t="shared" si="33"/>
        <v>830899000</v>
      </c>
      <c r="N549" s="37">
        <f t="shared" si="34"/>
        <v>0.28247155282914449</v>
      </c>
      <c r="O549" s="2">
        <f t="shared" si="35"/>
        <v>337386000</v>
      </c>
    </row>
    <row r="550" spans="1:15" x14ac:dyDescent="0.3">
      <c r="A550" t="s">
        <v>508</v>
      </c>
      <c r="B550">
        <v>1</v>
      </c>
      <c r="C550">
        <v>2012</v>
      </c>
      <c r="D550" s="1">
        <v>41274</v>
      </c>
      <c r="E550" s="2">
        <v>3589516000</v>
      </c>
      <c r="F550" s="2">
        <v>1955682000</v>
      </c>
      <c r="G550">
        <v>0</v>
      </c>
      <c r="H550">
        <v>0</v>
      </c>
      <c r="I550" s="2">
        <v>787329000</v>
      </c>
      <c r="J550" t="s">
        <v>43</v>
      </c>
      <c r="K550" t="s">
        <v>44</v>
      </c>
      <c r="L550" s="37">
        <f t="shared" si="32"/>
        <v>0.45516832910063643</v>
      </c>
      <c r="M550" s="2">
        <f t="shared" si="33"/>
        <v>1633834000</v>
      </c>
      <c r="N550" s="37">
        <f t="shared" si="34"/>
        <v>0.23582705857837102</v>
      </c>
      <c r="O550" s="2">
        <f t="shared" si="35"/>
        <v>846505000</v>
      </c>
    </row>
    <row r="551" spans="1:15" x14ac:dyDescent="0.3">
      <c r="A551" t="s">
        <v>508</v>
      </c>
      <c r="B551">
        <v>2</v>
      </c>
      <c r="C551">
        <v>2013</v>
      </c>
      <c r="D551" s="1">
        <v>41639</v>
      </c>
      <c r="E551" s="2">
        <v>3494253000</v>
      </c>
      <c r="F551" s="2">
        <v>1838766000</v>
      </c>
      <c r="G551">
        <v>0</v>
      </c>
      <c r="H551">
        <v>0</v>
      </c>
      <c r="I551" s="2">
        <v>819711000</v>
      </c>
      <c r="J551" t="s">
        <v>43</v>
      </c>
      <c r="K551" t="s">
        <v>44</v>
      </c>
      <c r="L551" s="37">
        <f t="shared" si="32"/>
        <v>0.47377422298843275</v>
      </c>
      <c r="M551" s="2">
        <f t="shared" si="33"/>
        <v>1655487000</v>
      </c>
      <c r="N551" s="37">
        <f t="shared" si="34"/>
        <v>0.23918588608208965</v>
      </c>
      <c r="O551" s="2">
        <f t="shared" si="35"/>
        <v>835776000</v>
      </c>
    </row>
    <row r="552" spans="1:15" x14ac:dyDescent="0.3">
      <c r="A552" t="s">
        <v>508</v>
      </c>
      <c r="B552">
        <v>3</v>
      </c>
      <c r="C552">
        <v>2014</v>
      </c>
      <c r="D552" s="1">
        <v>42004</v>
      </c>
      <c r="E552" s="2">
        <v>3620095000</v>
      </c>
      <c r="F552" s="2">
        <v>1903384000</v>
      </c>
      <c r="G552">
        <v>0</v>
      </c>
      <c r="H552">
        <v>0</v>
      </c>
      <c r="I552" s="2">
        <v>855908000</v>
      </c>
      <c r="J552" t="s">
        <v>43</v>
      </c>
      <c r="K552" t="s">
        <v>44</v>
      </c>
      <c r="L552" s="37">
        <f t="shared" si="32"/>
        <v>0.47421711308681125</v>
      </c>
      <c r="M552" s="2">
        <f t="shared" si="33"/>
        <v>1716711000</v>
      </c>
      <c r="N552" s="37">
        <f t="shared" si="34"/>
        <v>0.23778464377316064</v>
      </c>
      <c r="O552" s="2">
        <f t="shared" si="35"/>
        <v>860803000</v>
      </c>
    </row>
    <row r="553" spans="1:15" x14ac:dyDescent="0.3">
      <c r="A553" t="s">
        <v>508</v>
      </c>
      <c r="B553">
        <v>4</v>
      </c>
      <c r="C553">
        <v>2015</v>
      </c>
      <c r="D553" s="1">
        <v>42369</v>
      </c>
      <c r="E553" s="2">
        <v>3766065000</v>
      </c>
      <c r="F553" s="2">
        <v>2016212000</v>
      </c>
      <c r="G553">
        <v>0</v>
      </c>
      <c r="H553">
        <v>0</v>
      </c>
      <c r="I553" s="2">
        <v>907024000</v>
      </c>
      <c r="J553" t="s">
        <v>43</v>
      </c>
      <c r="K553" t="s">
        <v>44</v>
      </c>
      <c r="L553" s="37">
        <f t="shared" si="32"/>
        <v>0.46463696192179371</v>
      </c>
      <c r="M553" s="2">
        <f t="shared" si="33"/>
        <v>1749853000</v>
      </c>
      <c r="N553" s="37">
        <f t="shared" si="34"/>
        <v>0.22379565939515117</v>
      </c>
      <c r="O553" s="2">
        <f t="shared" si="35"/>
        <v>842829000</v>
      </c>
    </row>
    <row r="554" spans="1:15" x14ac:dyDescent="0.3">
      <c r="A554" t="s">
        <v>233</v>
      </c>
      <c r="B554">
        <v>1</v>
      </c>
      <c r="C554">
        <v>2012</v>
      </c>
      <c r="D554" s="1">
        <v>41274</v>
      </c>
      <c r="E554" s="2">
        <v>16311000000</v>
      </c>
      <c r="F554" s="2">
        <v>11448000000</v>
      </c>
      <c r="G554" s="2">
        <v>2894000000</v>
      </c>
      <c r="H554" s="2">
        <v>439000000</v>
      </c>
      <c r="I554">
        <v>0</v>
      </c>
      <c r="J554" t="s">
        <v>12</v>
      </c>
      <c r="K554" t="s">
        <v>160</v>
      </c>
      <c r="L554" s="37">
        <f t="shared" si="32"/>
        <v>0.2981423579179695</v>
      </c>
      <c r="M554" s="2">
        <f t="shared" si="33"/>
        <v>4863000000</v>
      </c>
      <c r="N554" s="37">
        <f t="shared" si="34"/>
        <v>9.3801728894610997E-2</v>
      </c>
      <c r="O554" s="2">
        <f t="shared" si="35"/>
        <v>1530000000</v>
      </c>
    </row>
    <row r="555" spans="1:15" x14ac:dyDescent="0.3">
      <c r="A555" t="s">
        <v>233</v>
      </c>
      <c r="B555">
        <v>2</v>
      </c>
      <c r="C555">
        <v>2013</v>
      </c>
      <c r="D555" s="1">
        <v>41639</v>
      </c>
      <c r="E555" s="2">
        <v>22046000000</v>
      </c>
      <c r="F555" s="2">
        <v>15369000000</v>
      </c>
      <c r="G555" s="2">
        <v>3886000000</v>
      </c>
      <c r="H555" s="2">
        <v>644000000</v>
      </c>
      <c r="I555">
        <v>0</v>
      </c>
      <c r="J555" t="s">
        <v>12</v>
      </c>
      <c r="K555" t="s">
        <v>160</v>
      </c>
      <c r="L555" s="37">
        <f t="shared" si="32"/>
        <v>0.3028667331942303</v>
      </c>
      <c r="M555" s="2">
        <f t="shared" si="33"/>
        <v>6677000000</v>
      </c>
      <c r="N555" s="37">
        <f t="shared" si="34"/>
        <v>9.7387281139435719E-2</v>
      </c>
      <c r="O555" s="2">
        <f t="shared" si="35"/>
        <v>2147000000</v>
      </c>
    </row>
    <row r="556" spans="1:15" x14ac:dyDescent="0.3">
      <c r="A556" t="s">
        <v>233</v>
      </c>
      <c r="B556">
        <v>3</v>
      </c>
      <c r="C556">
        <v>2014</v>
      </c>
      <c r="D556" s="1">
        <v>42004</v>
      </c>
      <c r="E556" s="2">
        <v>22552000000</v>
      </c>
      <c r="F556" s="2">
        <v>15646000000</v>
      </c>
      <c r="G556" s="2">
        <v>3810000000</v>
      </c>
      <c r="H556" s="2">
        <v>647000000</v>
      </c>
      <c r="I556">
        <v>0</v>
      </c>
      <c r="J556" t="s">
        <v>12</v>
      </c>
      <c r="K556" t="s">
        <v>160</v>
      </c>
      <c r="L556" s="37">
        <f t="shared" si="32"/>
        <v>0.30622561191912023</v>
      </c>
      <c r="M556" s="2">
        <f t="shared" si="33"/>
        <v>6906000000</v>
      </c>
      <c r="N556" s="37">
        <f t="shared" si="34"/>
        <v>0.10859347286271727</v>
      </c>
      <c r="O556" s="2">
        <f t="shared" si="35"/>
        <v>2449000000</v>
      </c>
    </row>
    <row r="557" spans="1:15" x14ac:dyDescent="0.3">
      <c r="A557" t="s">
        <v>233</v>
      </c>
      <c r="B557">
        <v>4</v>
      </c>
      <c r="C557">
        <v>2015</v>
      </c>
      <c r="D557" s="1">
        <v>42369</v>
      </c>
      <c r="E557" s="2">
        <v>20855000000</v>
      </c>
      <c r="F557" s="2">
        <v>14292000000</v>
      </c>
      <c r="G557" s="2">
        <v>3596000000</v>
      </c>
      <c r="H557" s="2">
        <v>625000000</v>
      </c>
      <c r="I557">
        <v>0</v>
      </c>
      <c r="J557" t="s">
        <v>12</v>
      </c>
      <c r="K557" t="s">
        <v>160</v>
      </c>
      <c r="L557" s="37">
        <f t="shared" si="32"/>
        <v>0.31469671541596744</v>
      </c>
      <c r="M557" s="2">
        <f t="shared" si="33"/>
        <v>6563000000</v>
      </c>
      <c r="N557" s="37">
        <f t="shared" si="34"/>
        <v>0.11229920882282426</v>
      </c>
      <c r="O557" s="2">
        <f t="shared" si="35"/>
        <v>2342000000</v>
      </c>
    </row>
    <row r="558" spans="1:15" x14ac:dyDescent="0.3">
      <c r="A558" t="s">
        <v>234</v>
      </c>
      <c r="B558">
        <v>1</v>
      </c>
      <c r="C558">
        <v>2012</v>
      </c>
      <c r="D558" s="1">
        <v>41274</v>
      </c>
      <c r="E558" s="2">
        <v>10302079000</v>
      </c>
      <c r="F558" s="2">
        <v>6583627000</v>
      </c>
      <c r="G558" s="2">
        <v>917162000</v>
      </c>
      <c r="H558">
        <v>0</v>
      </c>
      <c r="I558" s="2">
        <v>1144585000</v>
      </c>
      <c r="J558" t="s">
        <v>38</v>
      </c>
      <c r="K558" t="s">
        <v>41</v>
      </c>
      <c r="L558" s="37">
        <f t="shared" si="32"/>
        <v>0.36094190308577523</v>
      </c>
      <c r="M558" s="2">
        <f t="shared" si="33"/>
        <v>3718452000</v>
      </c>
      <c r="N558" s="37">
        <f t="shared" si="34"/>
        <v>0.16081268644901675</v>
      </c>
      <c r="O558" s="2">
        <f t="shared" si="35"/>
        <v>1656705000</v>
      </c>
    </row>
    <row r="559" spans="1:15" x14ac:dyDescent="0.3">
      <c r="A559" t="s">
        <v>234</v>
      </c>
      <c r="B559">
        <v>2</v>
      </c>
      <c r="C559">
        <v>2013</v>
      </c>
      <c r="D559" s="1">
        <v>41639</v>
      </c>
      <c r="E559" s="2">
        <v>11390947000</v>
      </c>
      <c r="F559" s="2">
        <v>7588885000</v>
      </c>
      <c r="G559" s="2">
        <v>888051000</v>
      </c>
      <c r="H559">
        <v>0</v>
      </c>
      <c r="I559" s="2">
        <v>1261044000</v>
      </c>
      <c r="J559" t="s">
        <v>38</v>
      </c>
      <c r="K559" t="s">
        <v>41</v>
      </c>
      <c r="L559" s="37">
        <f t="shared" si="32"/>
        <v>0.33377927225892634</v>
      </c>
      <c r="M559" s="2">
        <f t="shared" si="33"/>
        <v>3802062000</v>
      </c>
      <c r="N559" s="37">
        <f t="shared" si="34"/>
        <v>0.14511234228374514</v>
      </c>
      <c r="O559" s="2">
        <f t="shared" si="35"/>
        <v>1652967000</v>
      </c>
    </row>
    <row r="560" spans="1:15" x14ac:dyDescent="0.3">
      <c r="A560" t="s">
        <v>234</v>
      </c>
      <c r="B560">
        <v>3</v>
      </c>
      <c r="C560">
        <v>2014</v>
      </c>
      <c r="D560" s="1">
        <v>42004</v>
      </c>
      <c r="E560" s="2">
        <v>12494921000</v>
      </c>
      <c r="F560" s="2">
        <v>8126187000</v>
      </c>
      <c r="G560" s="2">
        <v>863455000</v>
      </c>
      <c r="H560">
        <v>0</v>
      </c>
      <c r="I560" s="2">
        <v>1318638000</v>
      </c>
      <c r="J560" t="s">
        <v>38</v>
      </c>
      <c r="K560" t="s">
        <v>41</v>
      </c>
      <c r="L560" s="37">
        <f t="shared" si="32"/>
        <v>0.34964078604418547</v>
      </c>
      <c r="M560" s="2">
        <f t="shared" si="33"/>
        <v>4368734000</v>
      </c>
      <c r="N560" s="37">
        <f t="shared" si="34"/>
        <v>0.17500238696987361</v>
      </c>
      <c r="O560" s="2">
        <f t="shared" si="35"/>
        <v>2186641000</v>
      </c>
    </row>
    <row r="561" spans="1:15" x14ac:dyDescent="0.3">
      <c r="A561" t="s">
        <v>234</v>
      </c>
      <c r="B561">
        <v>4</v>
      </c>
      <c r="C561">
        <v>2015</v>
      </c>
      <c r="D561" s="1">
        <v>42369</v>
      </c>
      <c r="E561" s="2">
        <v>11513251000</v>
      </c>
      <c r="F561" s="2">
        <v>7449273000</v>
      </c>
      <c r="G561" s="2">
        <v>1074998000</v>
      </c>
      <c r="H561">
        <v>0</v>
      </c>
      <c r="I561" s="2">
        <v>1337276000</v>
      </c>
      <c r="J561" t="s">
        <v>38</v>
      </c>
      <c r="K561" t="s">
        <v>41</v>
      </c>
      <c r="L561" s="37">
        <f t="shared" si="32"/>
        <v>0.35298266319391458</v>
      </c>
      <c r="M561" s="2">
        <f t="shared" si="33"/>
        <v>4063978000</v>
      </c>
      <c r="N561" s="37">
        <f t="shared" si="34"/>
        <v>0.14346113013604933</v>
      </c>
      <c r="O561" s="2">
        <f t="shared" si="35"/>
        <v>1651704000</v>
      </c>
    </row>
    <row r="562" spans="1:15" x14ac:dyDescent="0.3">
      <c r="A562" t="s">
        <v>511</v>
      </c>
      <c r="B562">
        <v>1</v>
      </c>
      <c r="C562">
        <v>2013</v>
      </c>
      <c r="D562" s="1">
        <v>41639</v>
      </c>
      <c r="E562" s="2">
        <v>26191000000</v>
      </c>
      <c r="F562" s="2">
        <v>13307000000</v>
      </c>
      <c r="G562" s="2">
        <v>3757000000</v>
      </c>
      <c r="H562">
        <v>0</v>
      </c>
      <c r="I562" s="2">
        <v>3821000000</v>
      </c>
      <c r="J562" t="s">
        <v>43</v>
      </c>
      <c r="K562" t="s">
        <v>46</v>
      </c>
      <c r="L562" s="37">
        <f t="shared" si="32"/>
        <v>0.49192470696040624</v>
      </c>
      <c r="M562" s="2">
        <f t="shared" si="33"/>
        <v>12884000000</v>
      </c>
      <c r="N562" s="37">
        <f t="shared" si="34"/>
        <v>0.2025886754992173</v>
      </c>
      <c r="O562" s="2">
        <f t="shared" si="35"/>
        <v>5306000000</v>
      </c>
    </row>
    <row r="563" spans="1:15" x14ac:dyDescent="0.3">
      <c r="A563" t="s">
        <v>511</v>
      </c>
      <c r="B563">
        <v>2</v>
      </c>
      <c r="C563">
        <v>2014</v>
      </c>
      <c r="D563" s="1">
        <v>42004</v>
      </c>
      <c r="E563" s="2">
        <v>27174000000</v>
      </c>
      <c r="F563" s="2">
        <v>13870000000</v>
      </c>
      <c r="G563" s="2">
        <v>3964000000</v>
      </c>
      <c r="H563">
        <v>0</v>
      </c>
      <c r="I563" s="2">
        <v>3882000000</v>
      </c>
      <c r="J563" t="s">
        <v>43</v>
      </c>
      <c r="K563" t="s">
        <v>46</v>
      </c>
      <c r="L563" s="37">
        <f t="shared" si="32"/>
        <v>0.48958563332597338</v>
      </c>
      <c r="M563" s="2">
        <f t="shared" si="33"/>
        <v>13304000000</v>
      </c>
      <c r="N563" s="37">
        <f t="shared" si="34"/>
        <v>0.20085375726797675</v>
      </c>
      <c r="O563" s="2">
        <f t="shared" si="35"/>
        <v>5458000000</v>
      </c>
    </row>
    <row r="564" spans="1:15" x14ac:dyDescent="0.3">
      <c r="A564" t="s">
        <v>511</v>
      </c>
      <c r="B564">
        <v>3</v>
      </c>
      <c r="C564">
        <v>2015</v>
      </c>
      <c r="D564" s="1">
        <v>42369</v>
      </c>
      <c r="E564" s="2">
        <v>26815000000</v>
      </c>
      <c r="F564" s="2">
        <v>13723000000</v>
      </c>
      <c r="G564" s="2">
        <v>4094000000</v>
      </c>
      <c r="H564">
        <v>0</v>
      </c>
      <c r="I564" s="2">
        <v>3885000000</v>
      </c>
      <c r="J564" t="s">
        <v>43</v>
      </c>
      <c r="K564" t="s">
        <v>46</v>
      </c>
      <c r="L564" s="37">
        <f t="shared" si="32"/>
        <v>0.48823419727764306</v>
      </c>
      <c r="M564" s="2">
        <f t="shared" si="33"/>
        <v>13092000000</v>
      </c>
      <c r="N564" s="37">
        <f t="shared" si="34"/>
        <v>0.19067685996643668</v>
      </c>
      <c r="O564" s="2">
        <f t="shared" si="35"/>
        <v>5113000000</v>
      </c>
    </row>
    <row r="565" spans="1:15" x14ac:dyDescent="0.3">
      <c r="A565" t="s">
        <v>511</v>
      </c>
      <c r="B565">
        <v>4</v>
      </c>
      <c r="C565">
        <v>2016</v>
      </c>
      <c r="D565" s="1">
        <v>42735</v>
      </c>
      <c r="E565" s="2">
        <v>27625000000</v>
      </c>
      <c r="F565" s="2">
        <v>15070000000</v>
      </c>
      <c r="G565" s="2">
        <v>4154000000</v>
      </c>
      <c r="H565">
        <v>0</v>
      </c>
      <c r="I565" s="2">
        <v>3985000000</v>
      </c>
      <c r="J565" t="s">
        <v>43</v>
      </c>
      <c r="K565" t="s">
        <v>46</v>
      </c>
      <c r="L565" s="37">
        <f t="shared" si="32"/>
        <v>0.45447963800904978</v>
      </c>
      <c r="M565" s="2">
        <f t="shared" si="33"/>
        <v>12555000000</v>
      </c>
      <c r="N565" s="37">
        <f t="shared" si="34"/>
        <v>0.15985520361990951</v>
      </c>
      <c r="O565" s="2">
        <f t="shared" si="35"/>
        <v>4416000000</v>
      </c>
    </row>
    <row r="566" spans="1:15" x14ac:dyDescent="0.3">
      <c r="A566" t="s">
        <v>236</v>
      </c>
      <c r="B566">
        <v>1</v>
      </c>
      <c r="C566">
        <v>2013</v>
      </c>
      <c r="D566" s="1">
        <v>41639</v>
      </c>
      <c r="E566" s="2">
        <v>24888000000</v>
      </c>
      <c r="F566" s="2">
        <v>17994000000</v>
      </c>
      <c r="G566" s="2">
        <v>1095000000</v>
      </c>
      <c r="H566">
        <v>0</v>
      </c>
      <c r="I566" s="2">
        <v>2153000000</v>
      </c>
      <c r="J566" t="s">
        <v>38</v>
      </c>
      <c r="K566" t="s">
        <v>39</v>
      </c>
      <c r="L566" s="37">
        <f t="shared" si="32"/>
        <v>0.27700096432015431</v>
      </c>
      <c r="M566" s="2">
        <f t="shared" si="33"/>
        <v>6894000000</v>
      </c>
      <c r="N566" s="37">
        <f t="shared" si="34"/>
        <v>0.14649630343940856</v>
      </c>
      <c r="O566" s="2">
        <f t="shared" si="35"/>
        <v>3646000000</v>
      </c>
    </row>
    <row r="567" spans="1:15" x14ac:dyDescent="0.3">
      <c r="A567" t="s">
        <v>236</v>
      </c>
      <c r="B567">
        <v>2</v>
      </c>
      <c r="C567">
        <v>2014</v>
      </c>
      <c r="D567" s="1">
        <v>42004</v>
      </c>
      <c r="E567" s="2">
        <v>27429000000</v>
      </c>
      <c r="F567" s="2">
        <v>21571000000</v>
      </c>
      <c r="G567" s="2">
        <v>1154000000</v>
      </c>
      <c r="H567">
        <v>0</v>
      </c>
      <c r="I567" s="2">
        <v>2314000000</v>
      </c>
      <c r="J567" t="s">
        <v>38</v>
      </c>
      <c r="K567" t="s">
        <v>39</v>
      </c>
      <c r="L567" s="37">
        <f t="shared" si="32"/>
        <v>0.21356957964198475</v>
      </c>
      <c r="M567" s="2">
        <f t="shared" si="33"/>
        <v>5858000000</v>
      </c>
      <c r="N567" s="37">
        <f t="shared" si="34"/>
        <v>8.7134055197054208E-2</v>
      </c>
      <c r="O567" s="2">
        <f t="shared" si="35"/>
        <v>2390000000</v>
      </c>
    </row>
    <row r="568" spans="1:15" x14ac:dyDescent="0.3">
      <c r="A568" t="s">
        <v>236</v>
      </c>
      <c r="B568">
        <v>3</v>
      </c>
      <c r="C568">
        <v>2015</v>
      </c>
      <c r="D568" s="1">
        <v>42369</v>
      </c>
      <c r="E568" s="2">
        <v>29447000000</v>
      </c>
      <c r="F568" s="2">
        <v>21406000000</v>
      </c>
      <c r="G568" s="2">
        <v>1200000000</v>
      </c>
      <c r="H568">
        <v>0</v>
      </c>
      <c r="I568" s="2">
        <v>2450000000</v>
      </c>
      <c r="J568" t="s">
        <v>38</v>
      </c>
      <c r="K568" t="s">
        <v>39</v>
      </c>
      <c r="L568" s="37">
        <f t="shared" si="32"/>
        <v>0.27306686589465823</v>
      </c>
      <c r="M568" s="2">
        <f t="shared" si="33"/>
        <v>8041000000</v>
      </c>
      <c r="N568" s="37">
        <f t="shared" si="34"/>
        <v>0.14911535979896084</v>
      </c>
      <c r="O568" s="2">
        <f t="shared" si="35"/>
        <v>4391000000</v>
      </c>
    </row>
    <row r="569" spans="1:15" x14ac:dyDescent="0.3">
      <c r="A569" t="s">
        <v>236</v>
      </c>
      <c r="B569">
        <v>4</v>
      </c>
      <c r="C569">
        <v>2016</v>
      </c>
      <c r="D569" s="1">
        <v>42735</v>
      </c>
      <c r="E569" s="2">
        <v>31360000000</v>
      </c>
      <c r="F569" s="2">
        <v>22688000000</v>
      </c>
      <c r="G569" s="2">
        <v>1576000000</v>
      </c>
      <c r="H569">
        <v>0</v>
      </c>
      <c r="I569" s="2">
        <v>3936000000</v>
      </c>
      <c r="J569" t="s">
        <v>38</v>
      </c>
      <c r="K569" t="s">
        <v>39</v>
      </c>
      <c r="L569" s="37">
        <f t="shared" si="32"/>
        <v>0.27653061224489794</v>
      </c>
      <c r="M569" s="2">
        <f t="shared" si="33"/>
        <v>8672000000</v>
      </c>
      <c r="N569" s="37">
        <f t="shared" si="34"/>
        <v>0.10076530612244898</v>
      </c>
      <c r="O569" s="2">
        <f t="shared" si="35"/>
        <v>3160000000</v>
      </c>
    </row>
    <row r="570" spans="1:15" x14ac:dyDescent="0.3">
      <c r="A570" t="s">
        <v>237</v>
      </c>
      <c r="B570">
        <v>1</v>
      </c>
      <c r="C570">
        <v>2012</v>
      </c>
      <c r="D570" s="1">
        <v>41274</v>
      </c>
      <c r="E570" s="2">
        <v>5992215000</v>
      </c>
      <c r="F570" s="2">
        <v>4156845000</v>
      </c>
      <c r="G570" s="2">
        <v>1264632000</v>
      </c>
      <c r="H570">
        <v>0</v>
      </c>
      <c r="I570" s="2">
        <v>39940000</v>
      </c>
      <c r="J570" t="s">
        <v>12</v>
      </c>
      <c r="K570" t="s">
        <v>142</v>
      </c>
      <c r="L570" s="37">
        <f t="shared" si="32"/>
        <v>0.30629241440769395</v>
      </c>
      <c r="M570" s="2">
        <f t="shared" si="33"/>
        <v>1835370000</v>
      </c>
      <c r="N570" s="37">
        <f t="shared" si="34"/>
        <v>8.8581267527950855E-2</v>
      </c>
      <c r="O570" s="2">
        <f t="shared" si="35"/>
        <v>530798000</v>
      </c>
    </row>
    <row r="571" spans="1:15" x14ac:dyDescent="0.3">
      <c r="A571" t="s">
        <v>237</v>
      </c>
      <c r="B571">
        <v>2</v>
      </c>
      <c r="C571">
        <v>2013</v>
      </c>
      <c r="D571" s="1">
        <v>41639</v>
      </c>
      <c r="E571" s="2">
        <v>6080257000</v>
      </c>
      <c r="F571" s="2">
        <v>4197404000</v>
      </c>
      <c r="G571" s="2">
        <v>1282709000</v>
      </c>
      <c r="H571">
        <v>0</v>
      </c>
      <c r="I571" s="2">
        <v>48071000</v>
      </c>
      <c r="J571" t="s">
        <v>12</v>
      </c>
      <c r="K571" t="s">
        <v>142</v>
      </c>
      <c r="L571" s="37">
        <f t="shared" si="32"/>
        <v>0.309666680207761</v>
      </c>
      <c r="M571" s="2">
        <f t="shared" si="33"/>
        <v>1882853000</v>
      </c>
      <c r="N571" s="37">
        <f t="shared" si="34"/>
        <v>9.0797642270713227E-2</v>
      </c>
      <c r="O571" s="2">
        <f t="shared" si="35"/>
        <v>552073000</v>
      </c>
    </row>
    <row r="572" spans="1:15" x14ac:dyDescent="0.3">
      <c r="A572" t="s">
        <v>237</v>
      </c>
      <c r="B572">
        <v>3</v>
      </c>
      <c r="C572">
        <v>2014</v>
      </c>
      <c r="D572" s="1">
        <v>42004</v>
      </c>
      <c r="E572" s="2">
        <v>6564721000</v>
      </c>
      <c r="F572" s="2">
        <v>4583294000</v>
      </c>
      <c r="G572" s="2">
        <v>1337487000</v>
      </c>
      <c r="H572">
        <v>0</v>
      </c>
      <c r="I572" s="2">
        <v>49292000</v>
      </c>
      <c r="J572" t="s">
        <v>12</v>
      </c>
      <c r="K572" t="s">
        <v>142</v>
      </c>
      <c r="L572" s="37">
        <f t="shared" si="32"/>
        <v>0.3018295827042764</v>
      </c>
      <c r="M572" s="2">
        <f t="shared" si="33"/>
        <v>1981427000</v>
      </c>
      <c r="N572" s="37">
        <f t="shared" si="34"/>
        <v>9.058237204597118E-2</v>
      </c>
      <c r="O572" s="2">
        <f t="shared" si="35"/>
        <v>594648000</v>
      </c>
    </row>
    <row r="573" spans="1:15" x14ac:dyDescent="0.3">
      <c r="A573" t="s">
        <v>237</v>
      </c>
      <c r="B573">
        <v>4</v>
      </c>
      <c r="C573">
        <v>2015</v>
      </c>
      <c r="D573" s="1">
        <v>42369</v>
      </c>
      <c r="E573" s="2">
        <v>6616632000</v>
      </c>
      <c r="F573" s="2">
        <v>4428855000</v>
      </c>
      <c r="G573" s="2">
        <v>1420281000</v>
      </c>
      <c r="H573">
        <v>0</v>
      </c>
      <c r="I573" s="2">
        <v>46012000</v>
      </c>
      <c r="J573" t="s">
        <v>12</v>
      </c>
      <c r="K573" t="s">
        <v>142</v>
      </c>
      <c r="L573" s="37">
        <f t="shared" si="32"/>
        <v>0.33064813034788698</v>
      </c>
      <c r="M573" s="2">
        <f t="shared" si="33"/>
        <v>2187777000</v>
      </c>
      <c r="N573" s="37">
        <f t="shared" si="34"/>
        <v>0.10904097432047</v>
      </c>
      <c r="O573" s="2">
        <f t="shared" si="35"/>
        <v>721484000</v>
      </c>
    </row>
    <row r="574" spans="1:15" x14ac:dyDescent="0.3">
      <c r="A574" t="s">
        <v>238</v>
      </c>
      <c r="B574">
        <v>1</v>
      </c>
      <c r="C574">
        <v>2013</v>
      </c>
      <c r="D574" s="1">
        <v>41639</v>
      </c>
      <c r="E574" s="2">
        <v>4771259000</v>
      </c>
      <c r="F574" s="2">
        <v>1038034000</v>
      </c>
      <c r="G574" s="2">
        <v>3151043000</v>
      </c>
      <c r="H574">
        <v>0</v>
      </c>
      <c r="I574" s="2">
        <v>71731000</v>
      </c>
      <c r="J574" t="s">
        <v>15</v>
      </c>
      <c r="K574" t="s">
        <v>73</v>
      </c>
      <c r="L574" s="37">
        <f t="shared" si="32"/>
        <v>0.78244023223220538</v>
      </c>
      <c r="M574" s="2">
        <f t="shared" si="33"/>
        <v>3733225000</v>
      </c>
      <c r="N574" s="37">
        <f t="shared" si="34"/>
        <v>0.10698455061861031</v>
      </c>
      <c r="O574" s="2">
        <f t="shared" si="35"/>
        <v>510451000</v>
      </c>
    </row>
    <row r="575" spans="1:15" x14ac:dyDescent="0.3">
      <c r="A575" t="s">
        <v>238</v>
      </c>
      <c r="B575">
        <v>2</v>
      </c>
      <c r="C575">
        <v>2014</v>
      </c>
      <c r="D575" s="1">
        <v>42004</v>
      </c>
      <c r="E575" s="2">
        <v>5763485000</v>
      </c>
      <c r="F575" s="2">
        <v>1179081000</v>
      </c>
      <c r="G575" s="2">
        <v>3919856000</v>
      </c>
      <c r="H575">
        <v>0</v>
      </c>
      <c r="I575" s="2">
        <v>76773000</v>
      </c>
      <c r="J575" t="s">
        <v>15</v>
      </c>
      <c r="K575" t="s">
        <v>73</v>
      </c>
      <c r="L575" s="37">
        <f t="shared" si="32"/>
        <v>0.79542221416382619</v>
      </c>
      <c r="M575" s="2">
        <f t="shared" si="33"/>
        <v>4584404000</v>
      </c>
      <c r="N575" s="37">
        <f t="shared" si="34"/>
        <v>0.10198256783872951</v>
      </c>
      <c r="O575" s="2">
        <f t="shared" si="35"/>
        <v>587775000</v>
      </c>
    </row>
    <row r="576" spans="1:15" x14ac:dyDescent="0.3">
      <c r="A576" t="s">
        <v>238</v>
      </c>
      <c r="B576">
        <v>3</v>
      </c>
      <c r="C576">
        <v>2015</v>
      </c>
      <c r="D576" s="1">
        <v>42369</v>
      </c>
      <c r="E576" s="2">
        <v>6672317000</v>
      </c>
      <c r="F576" s="2">
        <v>1309559000</v>
      </c>
      <c r="G576" s="2">
        <v>4785243000</v>
      </c>
      <c r="H576">
        <v>0</v>
      </c>
      <c r="I576" s="2">
        <v>156458000</v>
      </c>
      <c r="J576" t="s">
        <v>15</v>
      </c>
      <c r="K576" t="s">
        <v>73</v>
      </c>
      <c r="L576" s="37">
        <f t="shared" si="32"/>
        <v>0.80373249652257228</v>
      </c>
      <c r="M576" s="2">
        <f t="shared" si="33"/>
        <v>5362758000</v>
      </c>
      <c r="N576" s="37">
        <f t="shared" si="34"/>
        <v>6.3105065301903365E-2</v>
      </c>
      <c r="O576" s="2">
        <f t="shared" si="35"/>
        <v>421057000</v>
      </c>
    </row>
    <row r="577" spans="1:15" x14ac:dyDescent="0.3">
      <c r="A577" t="s">
        <v>238</v>
      </c>
      <c r="B577">
        <v>4</v>
      </c>
      <c r="C577">
        <v>2016</v>
      </c>
      <c r="D577" s="1">
        <v>42735</v>
      </c>
      <c r="E577" s="2">
        <v>8773564000</v>
      </c>
      <c r="F577" s="2">
        <v>1596698000</v>
      </c>
      <c r="G577" s="2">
        <v>6280728000</v>
      </c>
      <c r="H577">
        <v>0</v>
      </c>
      <c r="I577" s="2">
        <v>317141000</v>
      </c>
      <c r="J577" t="s">
        <v>15</v>
      </c>
      <c r="K577" t="s">
        <v>73</v>
      </c>
      <c r="L577" s="37">
        <f t="shared" si="32"/>
        <v>0.81801033194719963</v>
      </c>
      <c r="M577" s="2">
        <f t="shared" si="33"/>
        <v>7176866000</v>
      </c>
      <c r="N577" s="37">
        <f t="shared" si="34"/>
        <v>6.5993363700316082E-2</v>
      </c>
      <c r="O577" s="2">
        <f t="shared" si="35"/>
        <v>578997000</v>
      </c>
    </row>
    <row r="578" spans="1:15" x14ac:dyDescent="0.3">
      <c r="A578" t="s">
        <v>239</v>
      </c>
      <c r="B578">
        <v>1</v>
      </c>
      <c r="C578">
        <v>2012</v>
      </c>
      <c r="D578" s="1">
        <v>41274</v>
      </c>
      <c r="E578" s="2">
        <v>409396000</v>
      </c>
      <c r="F578" s="2">
        <v>114028000</v>
      </c>
      <c r="G578" s="2">
        <v>58323000</v>
      </c>
      <c r="H578">
        <v>0</v>
      </c>
      <c r="I578" s="2">
        <v>74453000</v>
      </c>
      <c r="J578" t="s">
        <v>48</v>
      </c>
      <c r="K578" t="s">
        <v>71</v>
      </c>
      <c r="L578" s="37">
        <f t="shared" ref="L578:L641" si="36">1-(F578/E578)</f>
        <v>0.72147260842802563</v>
      </c>
      <c r="M578" s="2">
        <f t="shared" ref="M578:M641" si="37">E578-F578</f>
        <v>295368000</v>
      </c>
      <c r="N578" s="37">
        <f t="shared" ref="N578:N641" si="38">O578/E578</f>
        <v>0.39715092477698855</v>
      </c>
      <c r="O578" s="2">
        <f t="shared" ref="O578:O641" si="39">M578-SUM(G578:I578)</f>
        <v>162592000</v>
      </c>
    </row>
    <row r="579" spans="1:15" x14ac:dyDescent="0.3">
      <c r="A579" t="s">
        <v>239</v>
      </c>
      <c r="B579">
        <v>2</v>
      </c>
      <c r="C579">
        <v>2013</v>
      </c>
      <c r="D579" s="1">
        <v>41639</v>
      </c>
      <c r="E579" s="2">
        <v>520613000</v>
      </c>
      <c r="F579" s="2">
        <v>140012000</v>
      </c>
      <c r="G579" s="2">
        <v>63268000</v>
      </c>
      <c r="H579">
        <v>0</v>
      </c>
      <c r="I579" s="2">
        <v>95232000</v>
      </c>
      <c r="J579" t="s">
        <v>48</v>
      </c>
      <c r="K579" t="s">
        <v>71</v>
      </c>
      <c r="L579" s="37">
        <f t="shared" si="36"/>
        <v>0.7310631889714625</v>
      </c>
      <c r="M579" s="2">
        <f t="shared" si="37"/>
        <v>380601000</v>
      </c>
      <c r="N579" s="37">
        <f t="shared" si="38"/>
        <v>0.42661439495364117</v>
      </c>
      <c r="O579" s="2">
        <f t="shared" si="39"/>
        <v>222101000</v>
      </c>
    </row>
    <row r="580" spans="1:15" x14ac:dyDescent="0.3">
      <c r="A580" t="s">
        <v>239</v>
      </c>
      <c r="B580">
        <v>3</v>
      </c>
      <c r="C580">
        <v>2014</v>
      </c>
      <c r="D580" s="1">
        <v>42004</v>
      </c>
      <c r="E580" s="2">
        <v>647155000</v>
      </c>
      <c r="F580" s="2">
        <v>172416000</v>
      </c>
      <c r="G580" s="2">
        <v>71369000</v>
      </c>
      <c r="H580">
        <v>0</v>
      </c>
      <c r="I580" s="2">
        <v>115076000</v>
      </c>
      <c r="J580" t="s">
        <v>48</v>
      </c>
      <c r="K580" t="s">
        <v>71</v>
      </c>
      <c r="L580" s="37">
        <f t="shared" si="36"/>
        <v>0.73357850901252397</v>
      </c>
      <c r="M580" s="2">
        <f t="shared" si="37"/>
        <v>474739000</v>
      </c>
      <c r="N580" s="37">
        <f t="shared" si="38"/>
        <v>0.44547905833996493</v>
      </c>
      <c r="O580" s="2">
        <f t="shared" si="39"/>
        <v>288294000</v>
      </c>
    </row>
    <row r="581" spans="1:15" x14ac:dyDescent="0.3">
      <c r="A581" t="s">
        <v>239</v>
      </c>
      <c r="B581">
        <v>4</v>
      </c>
      <c r="C581">
        <v>2015</v>
      </c>
      <c r="D581" s="1">
        <v>42369</v>
      </c>
      <c r="E581" s="2">
        <v>782270000</v>
      </c>
      <c r="F581" s="2">
        <v>203965000</v>
      </c>
      <c r="G581" s="2">
        <v>80791000</v>
      </c>
      <c r="H581">
        <v>0</v>
      </c>
      <c r="I581" s="2">
        <v>133457000</v>
      </c>
      <c r="J581" t="s">
        <v>48</v>
      </c>
      <c r="K581" t="s">
        <v>71</v>
      </c>
      <c r="L581" s="37">
        <f t="shared" si="36"/>
        <v>0.73926521533485878</v>
      </c>
      <c r="M581" s="2">
        <f t="shared" si="37"/>
        <v>578305000</v>
      </c>
      <c r="N581" s="37">
        <f t="shared" si="38"/>
        <v>0.46538535288327559</v>
      </c>
      <c r="O581" s="2">
        <f t="shared" si="39"/>
        <v>364057000</v>
      </c>
    </row>
    <row r="582" spans="1:15" x14ac:dyDescent="0.3">
      <c r="A582" t="s">
        <v>240</v>
      </c>
      <c r="B582">
        <v>1</v>
      </c>
      <c r="C582">
        <v>2013</v>
      </c>
      <c r="D582" s="1">
        <v>41639</v>
      </c>
      <c r="E582" s="2">
        <v>146917000000</v>
      </c>
      <c r="F582" s="2">
        <v>123050000000</v>
      </c>
      <c r="G582" s="2">
        <v>10850000000</v>
      </c>
      <c r="H582">
        <v>0</v>
      </c>
      <c r="I582">
        <v>0</v>
      </c>
      <c r="J582" t="s">
        <v>15</v>
      </c>
      <c r="K582" t="s">
        <v>241</v>
      </c>
      <c r="L582" s="37">
        <f t="shared" si="36"/>
        <v>0.16245226896819287</v>
      </c>
      <c r="M582" s="2">
        <f t="shared" si="37"/>
        <v>23867000000</v>
      </c>
      <c r="N582" s="37">
        <f t="shared" si="38"/>
        <v>8.8601046849581741E-2</v>
      </c>
      <c r="O582" s="2">
        <f t="shared" si="39"/>
        <v>13017000000</v>
      </c>
    </row>
    <row r="583" spans="1:15" x14ac:dyDescent="0.3">
      <c r="A583" t="s">
        <v>240</v>
      </c>
      <c r="B583">
        <v>2</v>
      </c>
      <c r="C583">
        <v>2014</v>
      </c>
      <c r="D583" s="1">
        <v>42004</v>
      </c>
      <c r="E583" s="2">
        <v>144077000000</v>
      </c>
      <c r="F583" s="2">
        <v>131903000000</v>
      </c>
      <c r="G583" s="2">
        <v>11842000000</v>
      </c>
      <c r="H583">
        <v>0</v>
      </c>
      <c r="I583">
        <v>0</v>
      </c>
      <c r="J583" t="s">
        <v>15</v>
      </c>
      <c r="K583" t="s">
        <v>241</v>
      </c>
      <c r="L583" s="37">
        <f t="shared" si="36"/>
        <v>8.4496484518694848E-2</v>
      </c>
      <c r="M583" s="2">
        <f t="shared" si="37"/>
        <v>12174000000</v>
      </c>
      <c r="N583" s="37">
        <f t="shared" si="38"/>
        <v>2.3043233826356741E-3</v>
      </c>
      <c r="O583" s="2">
        <f t="shared" si="39"/>
        <v>332000000</v>
      </c>
    </row>
    <row r="584" spans="1:15" x14ac:dyDescent="0.3">
      <c r="A584" t="s">
        <v>240</v>
      </c>
      <c r="B584">
        <v>3</v>
      </c>
      <c r="C584">
        <v>2015</v>
      </c>
      <c r="D584" s="1">
        <v>42369</v>
      </c>
      <c r="E584" s="2">
        <v>149558000000</v>
      </c>
      <c r="F584" s="2">
        <v>131409000000</v>
      </c>
      <c r="G584" s="2">
        <v>10502000000</v>
      </c>
      <c r="H584">
        <v>0</v>
      </c>
      <c r="I584">
        <v>0</v>
      </c>
      <c r="J584" t="s">
        <v>15</v>
      </c>
      <c r="K584" t="s">
        <v>241</v>
      </c>
      <c r="L584" s="37">
        <f t="shared" si="36"/>
        <v>0.1213509140266652</v>
      </c>
      <c r="M584" s="2">
        <f t="shared" si="37"/>
        <v>18149000000</v>
      </c>
      <c r="N584" s="37">
        <f t="shared" si="38"/>
        <v>5.113066502627743E-2</v>
      </c>
      <c r="O584" s="2">
        <f t="shared" si="39"/>
        <v>7647000000</v>
      </c>
    </row>
    <row r="585" spans="1:15" x14ac:dyDescent="0.3">
      <c r="A585" t="s">
        <v>240</v>
      </c>
      <c r="B585">
        <v>4</v>
      </c>
      <c r="C585">
        <v>2016</v>
      </c>
      <c r="D585" s="1">
        <v>42735</v>
      </c>
      <c r="E585" s="2">
        <v>151800000000</v>
      </c>
      <c r="F585" s="2">
        <v>135488000000</v>
      </c>
      <c r="G585" s="2">
        <v>12196000000</v>
      </c>
      <c r="H585">
        <v>0</v>
      </c>
      <c r="I585">
        <v>0</v>
      </c>
      <c r="J585" t="s">
        <v>15</v>
      </c>
      <c r="K585" t="s">
        <v>241</v>
      </c>
      <c r="L585" s="37">
        <f t="shared" si="36"/>
        <v>0.10745718050065878</v>
      </c>
      <c r="M585" s="2">
        <f t="shared" si="37"/>
        <v>16312000000</v>
      </c>
      <c r="N585" s="37">
        <f t="shared" si="38"/>
        <v>2.7114624505928855E-2</v>
      </c>
      <c r="O585" s="2">
        <f t="shared" si="39"/>
        <v>4116000000</v>
      </c>
    </row>
    <row r="586" spans="1:15" x14ac:dyDescent="0.3">
      <c r="A586" t="s">
        <v>242</v>
      </c>
      <c r="B586">
        <v>1</v>
      </c>
      <c r="C586">
        <v>2013</v>
      </c>
      <c r="D586" s="1">
        <v>41639</v>
      </c>
      <c r="E586" s="2">
        <v>3326106000</v>
      </c>
      <c r="F586" s="2">
        <v>1606661000</v>
      </c>
      <c r="G586" s="2">
        <v>1007431000</v>
      </c>
      <c r="H586">
        <v>0</v>
      </c>
      <c r="I586">
        <v>0</v>
      </c>
      <c r="J586" t="s">
        <v>12</v>
      </c>
      <c r="K586" t="s">
        <v>60</v>
      </c>
      <c r="L586" s="37">
        <f t="shared" si="36"/>
        <v>0.51695436044431542</v>
      </c>
      <c r="M586" s="2">
        <f t="shared" si="37"/>
        <v>1719445000</v>
      </c>
      <c r="N586" s="37">
        <f t="shared" si="38"/>
        <v>0.21406834298125196</v>
      </c>
      <c r="O586" s="2">
        <f t="shared" si="39"/>
        <v>712014000</v>
      </c>
    </row>
    <row r="587" spans="1:15" x14ac:dyDescent="0.3">
      <c r="A587" t="s">
        <v>242</v>
      </c>
      <c r="B587">
        <v>2</v>
      </c>
      <c r="C587">
        <v>2014</v>
      </c>
      <c r="D587" s="1">
        <v>42004</v>
      </c>
      <c r="E587" s="2">
        <v>3733507000</v>
      </c>
      <c r="F587" s="2">
        <v>1836105000</v>
      </c>
      <c r="G587" s="2">
        <v>1110776000</v>
      </c>
      <c r="H587">
        <v>0</v>
      </c>
      <c r="I587">
        <v>0</v>
      </c>
      <c r="J587" t="s">
        <v>12</v>
      </c>
      <c r="K587" t="s">
        <v>60</v>
      </c>
      <c r="L587" s="37">
        <f t="shared" si="36"/>
        <v>0.50820903777601067</v>
      </c>
      <c r="M587" s="2">
        <f t="shared" si="37"/>
        <v>1897402000</v>
      </c>
      <c r="N587" s="37">
        <f t="shared" si="38"/>
        <v>0.21069359184273659</v>
      </c>
      <c r="O587" s="2">
        <f t="shared" si="39"/>
        <v>786626000</v>
      </c>
    </row>
    <row r="588" spans="1:15" x14ac:dyDescent="0.3">
      <c r="A588" t="s">
        <v>242</v>
      </c>
      <c r="B588">
        <v>3</v>
      </c>
      <c r="C588">
        <v>2015</v>
      </c>
      <c r="D588" s="1">
        <v>42369</v>
      </c>
      <c r="E588" s="2">
        <v>3869187000</v>
      </c>
      <c r="F588" s="2">
        <v>1920253000</v>
      </c>
      <c r="G588" s="2">
        <v>1121590000</v>
      </c>
      <c r="H588">
        <v>0</v>
      </c>
      <c r="I588">
        <v>0</v>
      </c>
      <c r="J588" t="s">
        <v>12</v>
      </c>
      <c r="K588" t="s">
        <v>60</v>
      </c>
      <c r="L588" s="37">
        <f t="shared" si="36"/>
        <v>0.50370633417304456</v>
      </c>
      <c r="M588" s="2">
        <f t="shared" si="37"/>
        <v>1948934000</v>
      </c>
      <c r="N588" s="37">
        <f t="shared" si="38"/>
        <v>0.21382889997304344</v>
      </c>
      <c r="O588" s="2">
        <f t="shared" si="39"/>
        <v>827344000</v>
      </c>
    </row>
    <row r="589" spans="1:15" x14ac:dyDescent="0.3">
      <c r="A589" t="s">
        <v>242</v>
      </c>
      <c r="B589">
        <v>4</v>
      </c>
      <c r="C589">
        <v>2016</v>
      </c>
      <c r="D589" s="1">
        <v>42735</v>
      </c>
      <c r="E589" s="2">
        <v>3962036000</v>
      </c>
      <c r="F589" s="2">
        <v>1997259000</v>
      </c>
      <c r="G589" s="2">
        <v>1169470000</v>
      </c>
      <c r="H589">
        <v>0</v>
      </c>
      <c r="I589">
        <v>0</v>
      </c>
      <c r="J589" t="s">
        <v>12</v>
      </c>
      <c r="K589" t="s">
        <v>60</v>
      </c>
      <c r="L589" s="37">
        <f t="shared" si="36"/>
        <v>0.49590084491912745</v>
      </c>
      <c r="M589" s="2">
        <f t="shared" si="37"/>
        <v>1964777000</v>
      </c>
      <c r="N589" s="37">
        <f t="shared" si="38"/>
        <v>0.20073189642900771</v>
      </c>
      <c r="O589" s="2">
        <f t="shared" si="39"/>
        <v>795307000</v>
      </c>
    </row>
    <row r="590" spans="1:15" x14ac:dyDescent="0.3">
      <c r="A590" t="s">
        <v>243</v>
      </c>
      <c r="B590">
        <v>1</v>
      </c>
      <c r="C590">
        <v>2013</v>
      </c>
      <c r="D590" s="1">
        <v>41639</v>
      </c>
      <c r="E590" s="2">
        <v>7872000000</v>
      </c>
      <c r="F590" s="2">
        <v>1875000000</v>
      </c>
      <c r="G590" s="2">
        <v>1778000000</v>
      </c>
      <c r="H590" s="2">
        <v>1415000000</v>
      </c>
      <c r="I590">
        <v>0</v>
      </c>
      <c r="J590" t="s">
        <v>18</v>
      </c>
      <c r="K590" t="s">
        <v>53</v>
      </c>
      <c r="L590" s="37">
        <f t="shared" si="36"/>
        <v>0.76181402439024393</v>
      </c>
      <c r="M590" s="2">
        <f t="shared" si="37"/>
        <v>5997000000</v>
      </c>
      <c r="N590" s="37">
        <f t="shared" si="38"/>
        <v>0.35619918699186992</v>
      </c>
      <c r="O590" s="2">
        <f t="shared" si="39"/>
        <v>2804000000</v>
      </c>
    </row>
    <row r="591" spans="1:15" x14ac:dyDescent="0.3">
      <c r="A591" t="s">
        <v>243</v>
      </c>
      <c r="B591">
        <v>2</v>
      </c>
      <c r="C591">
        <v>2014</v>
      </c>
      <c r="D591" s="1">
        <v>42004</v>
      </c>
      <c r="E591" s="2">
        <v>12466000000</v>
      </c>
      <c r="F591" s="2">
        <v>2153000000</v>
      </c>
      <c r="G591" s="2">
        <v>2653000000</v>
      </c>
      <c r="H591" s="2">
        <v>2666000000</v>
      </c>
      <c r="I591">
        <v>0</v>
      </c>
      <c r="J591" t="s">
        <v>18</v>
      </c>
      <c r="K591" t="s">
        <v>53</v>
      </c>
      <c r="L591" s="37">
        <f t="shared" si="36"/>
        <v>0.82729022942403341</v>
      </c>
      <c r="M591" s="2">
        <f t="shared" si="37"/>
        <v>10313000000</v>
      </c>
      <c r="N591" s="37">
        <f t="shared" si="38"/>
        <v>0.40060965827049577</v>
      </c>
      <c r="O591" s="2">
        <f t="shared" si="39"/>
        <v>4994000000</v>
      </c>
    </row>
    <row r="592" spans="1:15" x14ac:dyDescent="0.3">
      <c r="A592" t="s">
        <v>243</v>
      </c>
      <c r="B592">
        <v>3</v>
      </c>
      <c r="C592">
        <v>2015</v>
      </c>
      <c r="D592" s="1">
        <v>42369</v>
      </c>
      <c r="E592" s="2">
        <v>17928000000</v>
      </c>
      <c r="F592" s="2">
        <v>2867000000</v>
      </c>
      <c r="G592" s="2">
        <v>4020000000</v>
      </c>
      <c r="H592" s="2">
        <v>4816000000</v>
      </c>
      <c r="I592">
        <v>0</v>
      </c>
      <c r="J592" t="s">
        <v>18</v>
      </c>
      <c r="K592" t="s">
        <v>53</v>
      </c>
      <c r="L592" s="37">
        <f t="shared" si="36"/>
        <v>0.84008255243194996</v>
      </c>
      <c r="M592" s="2">
        <f t="shared" si="37"/>
        <v>15061000000</v>
      </c>
      <c r="N592" s="37">
        <f t="shared" si="38"/>
        <v>0.34722222222222221</v>
      </c>
      <c r="O592" s="2">
        <f t="shared" si="39"/>
        <v>6225000000</v>
      </c>
    </row>
    <row r="593" spans="1:15" x14ac:dyDescent="0.3">
      <c r="A593" t="s">
        <v>243</v>
      </c>
      <c r="B593">
        <v>4</v>
      </c>
      <c r="C593">
        <v>2016</v>
      </c>
      <c r="D593" s="1">
        <v>42735</v>
      </c>
      <c r="E593" s="2">
        <v>27638000000</v>
      </c>
      <c r="F593" s="2">
        <v>3789000000</v>
      </c>
      <c r="G593" s="2">
        <v>5503000000</v>
      </c>
      <c r="H593" s="2">
        <v>5919000000</v>
      </c>
      <c r="I593">
        <v>0</v>
      </c>
      <c r="J593" t="s">
        <v>18</v>
      </c>
      <c r="K593" t="s">
        <v>53</v>
      </c>
      <c r="L593" s="37">
        <f t="shared" si="36"/>
        <v>0.86290614371517482</v>
      </c>
      <c r="M593" s="2">
        <f t="shared" si="37"/>
        <v>23849000000</v>
      </c>
      <c r="N593" s="37">
        <f t="shared" si="38"/>
        <v>0.44963456111151312</v>
      </c>
      <c r="O593" s="2">
        <f t="shared" si="39"/>
        <v>12427000000</v>
      </c>
    </row>
    <row r="594" spans="1:15" x14ac:dyDescent="0.3">
      <c r="A594" t="s">
        <v>244</v>
      </c>
      <c r="B594">
        <v>1</v>
      </c>
      <c r="C594">
        <v>2012</v>
      </c>
      <c r="D594" s="1">
        <v>41274</v>
      </c>
      <c r="E594" s="2">
        <v>3134800000</v>
      </c>
      <c r="F594" s="2">
        <v>2093200000</v>
      </c>
      <c r="G594" s="2">
        <v>873100000</v>
      </c>
      <c r="H594">
        <v>0</v>
      </c>
      <c r="I594" s="2">
        <v>7400000</v>
      </c>
      <c r="J594" t="s">
        <v>12</v>
      </c>
      <c r="K594" t="s">
        <v>60</v>
      </c>
      <c r="L594" s="37">
        <f t="shared" si="36"/>
        <v>0.33227000127599848</v>
      </c>
      <c r="M594" s="2">
        <f t="shared" si="37"/>
        <v>1041600000</v>
      </c>
      <c r="N594" s="37">
        <f t="shared" si="38"/>
        <v>5.1390838330994004E-2</v>
      </c>
      <c r="O594" s="2">
        <f t="shared" si="39"/>
        <v>161100000</v>
      </c>
    </row>
    <row r="595" spans="1:15" x14ac:dyDescent="0.3">
      <c r="A595" t="s">
        <v>244</v>
      </c>
      <c r="B595">
        <v>2</v>
      </c>
      <c r="C595">
        <v>2013</v>
      </c>
      <c r="D595" s="1">
        <v>41639</v>
      </c>
      <c r="E595" s="2">
        <v>3703600000</v>
      </c>
      <c r="F595" s="2">
        <v>2408500000</v>
      </c>
      <c r="G595" s="2">
        <v>938700000</v>
      </c>
      <c r="H595">
        <v>0</v>
      </c>
      <c r="I595" s="2">
        <v>9400000</v>
      </c>
      <c r="J595" t="s">
        <v>12</v>
      </c>
      <c r="K595" t="s">
        <v>60</v>
      </c>
      <c r="L595" s="37">
        <f t="shared" si="36"/>
        <v>0.34968679123015445</v>
      </c>
      <c r="M595" s="2">
        <f t="shared" si="37"/>
        <v>1295100000</v>
      </c>
      <c r="N595" s="37">
        <f t="shared" si="38"/>
        <v>9.3692623393455021E-2</v>
      </c>
      <c r="O595" s="2">
        <f t="shared" si="39"/>
        <v>347000000</v>
      </c>
    </row>
    <row r="596" spans="1:15" x14ac:dyDescent="0.3">
      <c r="A596" t="s">
        <v>244</v>
      </c>
      <c r="B596">
        <v>3</v>
      </c>
      <c r="C596">
        <v>2014</v>
      </c>
      <c r="D596" s="1">
        <v>42004</v>
      </c>
      <c r="E596" s="2">
        <v>4013600000</v>
      </c>
      <c r="F596" s="2">
        <v>2646700000</v>
      </c>
      <c r="G596" s="2">
        <v>943300000</v>
      </c>
      <c r="H596">
        <v>0</v>
      </c>
      <c r="I596" s="2">
        <v>13100000</v>
      </c>
      <c r="J596" t="s">
        <v>12</v>
      </c>
      <c r="K596" t="s">
        <v>60</v>
      </c>
      <c r="L596" s="37">
        <f t="shared" si="36"/>
        <v>0.34056707195535185</v>
      </c>
      <c r="M596" s="2">
        <f t="shared" si="37"/>
        <v>1366900000</v>
      </c>
      <c r="N596" s="37">
        <f t="shared" si="38"/>
        <v>0.10227725732509468</v>
      </c>
      <c r="O596" s="2">
        <f t="shared" si="39"/>
        <v>410500000</v>
      </c>
    </row>
    <row r="597" spans="1:15" x14ac:dyDescent="0.3">
      <c r="A597" t="s">
        <v>244</v>
      </c>
      <c r="B597">
        <v>4</v>
      </c>
      <c r="C597">
        <v>2015</v>
      </c>
      <c r="D597" s="1">
        <v>42369</v>
      </c>
      <c r="E597" s="2">
        <v>4579400000</v>
      </c>
      <c r="F597" s="2">
        <v>2997500000</v>
      </c>
      <c r="G597" s="2">
        <v>1047600000</v>
      </c>
      <c r="H597">
        <v>0</v>
      </c>
      <c r="I597" s="2">
        <v>21600000</v>
      </c>
      <c r="J597" t="s">
        <v>12</v>
      </c>
      <c r="K597" t="s">
        <v>60</v>
      </c>
      <c r="L597" s="37">
        <f t="shared" si="36"/>
        <v>0.34543826702188063</v>
      </c>
      <c r="M597" s="2">
        <f t="shared" si="37"/>
        <v>1581900000</v>
      </c>
      <c r="N597" s="37">
        <f t="shared" si="38"/>
        <v>0.11195789841463948</v>
      </c>
      <c r="O597" s="2">
        <f t="shared" si="39"/>
        <v>512700000</v>
      </c>
    </row>
    <row r="598" spans="1:15" x14ac:dyDescent="0.3">
      <c r="A598" t="s">
        <v>245</v>
      </c>
      <c r="B598">
        <v>1</v>
      </c>
      <c r="C598">
        <v>2012</v>
      </c>
      <c r="D598" s="1">
        <v>41274</v>
      </c>
      <c r="E598" s="2">
        <v>18010000000</v>
      </c>
      <c r="F598" s="2">
        <v>11561000000</v>
      </c>
      <c r="G598" s="2">
        <v>431000000</v>
      </c>
      <c r="H598" s="2">
        <v>285000000</v>
      </c>
      <c r="I598">
        <v>0</v>
      </c>
      <c r="J598" t="s">
        <v>55</v>
      </c>
      <c r="K598" t="s">
        <v>246</v>
      </c>
      <c r="L598" s="37">
        <f t="shared" si="36"/>
        <v>0.35807884508606325</v>
      </c>
      <c r="M598" s="2">
        <f t="shared" si="37"/>
        <v>6449000000</v>
      </c>
      <c r="N598" s="37">
        <f t="shared" si="38"/>
        <v>0.3183231538034425</v>
      </c>
      <c r="O598" s="2">
        <f t="shared" si="39"/>
        <v>5733000000</v>
      </c>
    </row>
    <row r="599" spans="1:15" x14ac:dyDescent="0.3">
      <c r="A599" t="s">
        <v>245</v>
      </c>
      <c r="B599">
        <v>2</v>
      </c>
      <c r="C599">
        <v>2013</v>
      </c>
      <c r="D599" s="1">
        <v>41639</v>
      </c>
      <c r="E599" s="2">
        <v>20921000000</v>
      </c>
      <c r="F599" s="2">
        <v>14637000000</v>
      </c>
      <c r="G599" s="2">
        <v>657000000</v>
      </c>
      <c r="H599" s="2">
        <v>210000000</v>
      </c>
      <c r="I599">
        <v>0</v>
      </c>
      <c r="J599" t="s">
        <v>55</v>
      </c>
      <c r="K599" t="s">
        <v>246</v>
      </c>
      <c r="L599" s="37">
        <f t="shared" si="36"/>
        <v>0.30036805124038046</v>
      </c>
      <c r="M599" s="2">
        <f t="shared" si="37"/>
        <v>6284000000</v>
      </c>
      <c r="N599" s="37">
        <f t="shared" si="38"/>
        <v>0.25892643755078631</v>
      </c>
      <c r="O599" s="2">
        <f t="shared" si="39"/>
        <v>5417000000</v>
      </c>
    </row>
    <row r="600" spans="1:15" x14ac:dyDescent="0.3">
      <c r="A600" t="s">
        <v>245</v>
      </c>
      <c r="B600">
        <v>3</v>
      </c>
      <c r="C600">
        <v>2014</v>
      </c>
      <c r="D600" s="1">
        <v>42004</v>
      </c>
      <c r="E600" s="2">
        <v>21438000000</v>
      </c>
      <c r="F600" s="2">
        <v>19504000000</v>
      </c>
      <c r="G600" s="2">
        <v>592000000</v>
      </c>
      <c r="H600" s="2">
        <v>126000000</v>
      </c>
      <c r="I600">
        <v>0</v>
      </c>
      <c r="J600" t="s">
        <v>55</v>
      </c>
      <c r="K600" t="s">
        <v>246</v>
      </c>
      <c r="L600" s="37">
        <f t="shared" si="36"/>
        <v>9.0213639332027196E-2</v>
      </c>
      <c r="M600" s="2">
        <f t="shared" si="37"/>
        <v>1934000000</v>
      </c>
      <c r="N600" s="37">
        <f t="shared" si="38"/>
        <v>5.6721709114656217E-2</v>
      </c>
      <c r="O600" s="2">
        <f t="shared" si="39"/>
        <v>1216000000</v>
      </c>
    </row>
    <row r="601" spans="1:15" x14ac:dyDescent="0.3">
      <c r="A601" t="s">
        <v>245</v>
      </c>
      <c r="B601">
        <v>4</v>
      </c>
      <c r="C601">
        <v>2015</v>
      </c>
      <c r="D601" s="1">
        <v>42369</v>
      </c>
      <c r="E601" s="2">
        <v>15877000000</v>
      </c>
      <c r="F601" s="2">
        <v>28524000000</v>
      </c>
      <c r="G601" s="2">
        <v>569000000</v>
      </c>
      <c r="H601" s="2">
        <v>127000000</v>
      </c>
      <c r="I601">
        <v>0</v>
      </c>
      <c r="J601" t="s">
        <v>55</v>
      </c>
      <c r="K601" t="s">
        <v>246</v>
      </c>
      <c r="L601" s="37">
        <f t="shared" si="36"/>
        <v>-0.79656106317314346</v>
      </c>
      <c r="M601" s="2">
        <f t="shared" si="37"/>
        <v>-12647000000</v>
      </c>
      <c r="N601" s="37">
        <f t="shared" si="38"/>
        <v>-0.8403980600869182</v>
      </c>
      <c r="O601" s="2">
        <f t="shared" si="39"/>
        <v>-13343000000</v>
      </c>
    </row>
    <row r="602" spans="1:15" x14ac:dyDescent="0.3">
      <c r="A602" t="s">
        <v>247</v>
      </c>
      <c r="B602">
        <v>1</v>
      </c>
      <c r="C602">
        <v>2013</v>
      </c>
      <c r="D602" s="1">
        <v>41425</v>
      </c>
      <c r="E602" s="2">
        <v>44287000000</v>
      </c>
      <c r="F602" s="2">
        <v>16448000000</v>
      </c>
      <c r="G602" s="2">
        <v>20359000000</v>
      </c>
      <c r="H602">
        <v>0</v>
      </c>
      <c r="I602" s="2">
        <v>2386000000</v>
      </c>
      <c r="J602" t="s">
        <v>12</v>
      </c>
      <c r="K602" t="s">
        <v>142</v>
      </c>
      <c r="L602" s="37">
        <f t="shared" si="36"/>
        <v>0.62860433084200773</v>
      </c>
      <c r="M602" s="2">
        <f t="shared" si="37"/>
        <v>27839000000</v>
      </c>
      <c r="N602" s="37">
        <f t="shared" si="38"/>
        <v>0.11502246708966514</v>
      </c>
      <c r="O602" s="2">
        <f t="shared" si="39"/>
        <v>5094000000</v>
      </c>
    </row>
    <row r="603" spans="1:15" x14ac:dyDescent="0.3">
      <c r="A603" t="s">
        <v>247</v>
      </c>
      <c r="B603">
        <v>2</v>
      </c>
      <c r="C603">
        <v>2014</v>
      </c>
      <c r="D603" s="1">
        <v>41790</v>
      </c>
      <c r="E603" s="2">
        <v>45567000000</v>
      </c>
      <c r="F603" s="2">
        <v>17052000000</v>
      </c>
      <c r="G603" s="2">
        <v>22113000000</v>
      </c>
      <c r="H603">
        <v>0</v>
      </c>
      <c r="I603" s="2">
        <v>2587000000</v>
      </c>
      <c r="J603" t="s">
        <v>12</v>
      </c>
      <c r="K603" t="s">
        <v>142</v>
      </c>
      <c r="L603" s="37">
        <f t="shared" si="36"/>
        <v>0.62578181578774106</v>
      </c>
      <c r="M603" s="2">
        <f t="shared" si="37"/>
        <v>28515000000</v>
      </c>
      <c r="N603" s="37">
        <f t="shared" si="38"/>
        <v>8.3722869620558735E-2</v>
      </c>
      <c r="O603" s="2">
        <f t="shared" si="39"/>
        <v>3815000000</v>
      </c>
    </row>
    <row r="604" spans="1:15" x14ac:dyDescent="0.3">
      <c r="A604" t="s">
        <v>247</v>
      </c>
      <c r="B604">
        <v>3</v>
      </c>
      <c r="C604">
        <v>2015</v>
      </c>
      <c r="D604" s="1">
        <v>42155</v>
      </c>
      <c r="E604" s="2">
        <v>47453000000</v>
      </c>
      <c r="F604" s="2">
        <v>16984000000</v>
      </c>
      <c r="G604" s="2">
        <v>25715000000</v>
      </c>
      <c r="H604">
        <v>0</v>
      </c>
      <c r="I604" s="2">
        <v>2611000000</v>
      </c>
      <c r="J604" t="s">
        <v>12</v>
      </c>
      <c r="K604" t="s">
        <v>142</v>
      </c>
      <c r="L604" s="37">
        <f t="shared" si="36"/>
        <v>0.6420879607190273</v>
      </c>
      <c r="M604" s="2">
        <f t="shared" si="37"/>
        <v>30469000000</v>
      </c>
      <c r="N604" s="37">
        <f t="shared" si="38"/>
        <v>4.5160474574842478E-2</v>
      </c>
      <c r="O604" s="2">
        <f t="shared" si="39"/>
        <v>2143000000</v>
      </c>
    </row>
    <row r="605" spans="1:15" x14ac:dyDescent="0.3">
      <c r="A605" t="s">
        <v>247</v>
      </c>
      <c r="B605">
        <v>4</v>
      </c>
      <c r="C605">
        <v>2016</v>
      </c>
      <c r="D605" s="1">
        <v>42521</v>
      </c>
      <c r="E605" s="2">
        <v>50365000000</v>
      </c>
      <c r="F605" s="2">
        <v>17327000000</v>
      </c>
      <c r="G605" s="2">
        <v>27330000000</v>
      </c>
      <c r="H605">
        <v>0</v>
      </c>
      <c r="I605" s="2">
        <v>2631000000</v>
      </c>
      <c r="J605" t="s">
        <v>12</v>
      </c>
      <c r="K605" t="s">
        <v>142</v>
      </c>
      <c r="L605" s="37">
        <f t="shared" si="36"/>
        <v>0.6559714087163705</v>
      </c>
      <c r="M605" s="2">
        <f t="shared" si="37"/>
        <v>33038000000</v>
      </c>
      <c r="N605" s="37">
        <f t="shared" si="38"/>
        <v>6.1094013699990075E-2</v>
      </c>
      <c r="O605" s="2">
        <f t="shared" si="39"/>
        <v>3077000000</v>
      </c>
    </row>
    <row r="606" spans="1:15" x14ac:dyDescent="0.3">
      <c r="A606" t="s">
        <v>248</v>
      </c>
      <c r="B606">
        <v>1</v>
      </c>
      <c r="C606">
        <v>2012</v>
      </c>
      <c r="D606" s="1">
        <v>41274</v>
      </c>
      <c r="E606" s="2">
        <v>15255000000</v>
      </c>
      <c r="F606" s="2">
        <v>6717000000</v>
      </c>
      <c r="G606" s="2">
        <v>5353000000</v>
      </c>
      <c r="H606">
        <v>0</v>
      </c>
      <c r="I606" s="2">
        <v>1051000000</v>
      </c>
      <c r="J606" t="s">
        <v>38</v>
      </c>
      <c r="K606" t="s">
        <v>41</v>
      </c>
      <c r="L606" s="37">
        <f t="shared" si="36"/>
        <v>0.55968534906587997</v>
      </c>
      <c r="M606" s="2">
        <f t="shared" si="37"/>
        <v>8538000000</v>
      </c>
      <c r="N606" s="37">
        <f t="shared" si="38"/>
        <v>0.13988856112749917</v>
      </c>
      <c r="O606" s="2">
        <f t="shared" si="39"/>
        <v>2134000000</v>
      </c>
    </row>
    <row r="607" spans="1:15" x14ac:dyDescent="0.3">
      <c r="A607" t="s">
        <v>248</v>
      </c>
      <c r="B607">
        <v>2</v>
      </c>
      <c r="C607">
        <v>2013</v>
      </c>
      <c r="D607" s="1">
        <v>41639</v>
      </c>
      <c r="E607" s="2">
        <v>14892000000</v>
      </c>
      <c r="F607" s="2">
        <v>6459000000</v>
      </c>
      <c r="G607" s="2">
        <v>4315000000</v>
      </c>
      <c r="H607">
        <v>0</v>
      </c>
      <c r="I607" s="2">
        <v>1741000000</v>
      </c>
      <c r="J607" t="s">
        <v>38</v>
      </c>
      <c r="K607" t="s">
        <v>41</v>
      </c>
      <c r="L607" s="37">
        <f t="shared" si="36"/>
        <v>0.56627719580983071</v>
      </c>
      <c r="M607" s="2">
        <f t="shared" si="37"/>
        <v>8433000000</v>
      </c>
      <c r="N607" s="37">
        <f t="shared" si="38"/>
        <v>0.15961590115498253</v>
      </c>
      <c r="O607" s="2">
        <f t="shared" si="39"/>
        <v>2377000000</v>
      </c>
    </row>
    <row r="608" spans="1:15" x14ac:dyDescent="0.3">
      <c r="A608" t="s">
        <v>248</v>
      </c>
      <c r="B608">
        <v>3</v>
      </c>
      <c r="C608">
        <v>2014</v>
      </c>
      <c r="D608" s="1">
        <v>42004</v>
      </c>
      <c r="E608" s="2">
        <v>15049000000</v>
      </c>
      <c r="F608" s="2">
        <v>6996000000</v>
      </c>
      <c r="G608" s="2">
        <v>5759000000</v>
      </c>
      <c r="H608">
        <v>0</v>
      </c>
      <c r="I608" s="2">
        <v>1232000000</v>
      </c>
      <c r="J608" t="s">
        <v>38</v>
      </c>
      <c r="K608" t="s">
        <v>41</v>
      </c>
      <c r="L608" s="37">
        <f t="shared" si="36"/>
        <v>0.53511861253239412</v>
      </c>
      <c r="M608" s="2">
        <f t="shared" si="37"/>
        <v>8053000000</v>
      </c>
      <c r="N608" s="37">
        <f t="shared" si="38"/>
        <v>7.0569473054688026E-2</v>
      </c>
      <c r="O608" s="2">
        <f t="shared" si="39"/>
        <v>1062000000</v>
      </c>
    </row>
    <row r="609" spans="1:15" x14ac:dyDescent="0.3">
      <c r="A609" t="s">
        <v>248</v>
      </c>
      <c r="B609">
        <v>4</v>
      </c>
      <c r="C609">
        <v>2015</v>
      </c>
      <c r="D609" s="1">
        <v>42369</v>
      </c>
      <c r="E609" s="2">
        <v>15026000000</v>
      </c>
      <c r="F609" s="2">
        <v>6173000000</v>
      </c>
      <c r="G609" s="2">
        <v>4969000000</v>
      </c>
      <c r="H609">
        <v>0</v>
      </c>
      <c r="I609" s="2">
        <v>1550000000</v>
      </c>
      <c r="J609" t="s">
        <v>38</v>
      </c>
      <c r="K609" t="s">
        <v>41</v>
      </c>
      <c r="L609" s="37">
        <f t="shared" si="36"/>
        <v>0.58917875682150944</v>
      </c>
      <c r="M609" s="2">
        <f t="shared" si="37"/>
        <v>8853000000</v>
      </c>
      <c r="N609" s="37">
        <f t="shared" si="38"/>
        <v>0.15533076001597232</v>
      </c>
      <c r="O609" s="2">
        <f t="shared" si="39"/>
        <v>2334000000</v>
      </c>
    </row>
    <row r="610" spans="1:15" x14ac:dyDescent="0.3">
      <c r="A610" t="s">
        <v>249</v>
      </c>
      <c r="B610">
        <v>1</v>
      </c>
      <c r="C610">
        <v>2013</v>
      </c>
      <c r="D610" s="1">
        <v>41547</v>
      </c>
      <c r="E610" s="2">
        <v>1481314000</v>
      </c>
      <c r="F610" s="2">
        <v>253047000</v>
      </c>
      <c r="G610" s="2">
        <v>587835000</v>
      </c>
      <c r="H610" s="2">
        <v>209614000</v>
      </c>
      <c r="I610">
        <v>0</v>
      </c>
      <c r="J610" t="s">
        <v>18</v>
      </c>
      <c r="K610" t="s">
        <v>170</v>
      </c>
      <c r="L610" s="37">
        <f t="shared" si="36"/>
        <v>0.82917396311653035</v>
      </c>
      <c r="M610" s="2">
        <f t="shared" si="37"/>
        <v>1228267000</v>
      </c>
      <c r="N610" s="37">
        <f t="shared" si="38"/>
        <v>0.29083502890001717</v>
      </c>
      <c r="O610" s="2">
        <f t="shared" si="39"/>
        <v>430818000</v>
      </c>
    </row>
    <row r="611" spans="1:15" x14ac:dyDescent="0.3">
      <c r="A611" t="s">
        <v>249</v>
      </c>
      <c r="B611">
        <v>2</v>
      </c>
      <c r="C611">
        <v>2014</v>
      </c>
      <c r="D611" s="1">
        <v>41912</v>
      </c>
      <c r="E611" s="2">
        <v>1732046000</v>
      </c>
      <c r="F611" s="2">
        <v>309959000</v>
      </c>
      <c r="G611" s="2">
        <v>664738000</v>
      </c>
      <c r="H611" s="2">
        <v>263792000</v>
      </c>
      <c r="I611">
        <v>0</v>
      </c>
      <c r="J611" t="s">
        <v>18</v>
      </c>
      <c r="K611" t="s">
        <v>170</v>
      </c>
      <c r="L611" s="37">
        <f t="shared" si="36"/>
        <v>0.82104459119446016</v>
      </c>
      <c r="M611" s="2">
        <f t="shared" si="37"/>
        <v>1422087000</v>
      </c>
      <c r="N611" s="37">
        <f t="shared" si="38"/>
        <v>0.28495605774904359</v>
      </c>
      <c r="O611" s="2">
        <f t="shared" si="39"/>
        <v>493557000</v>
      </c>
    </row>
    <row r="612" spans="1:15" x14ac:dyDescent="0.3">
      <c r="A612" t="s">
        <v>249</v>
      </c>
      <c r="B612">
        <v>3</v>
      </c>
      <c r="C612">
        <v>2015</v>
      </c>
      <c r="D612" s="1">
        <v>42277</v>
      </c>
      <c r="E612" s="2">
        <v>1919823000</v>
      </c>
      <c r="F612" s="2">
        <v>332261000</v>
      </c>
      <c r="G612" s="2">
        <v>738080000</v>
      </c>
      <c r="H612" s="2">
        <v>296583000</v>
      </c>
      <c r="I612">
        <v>0</v>
      </c>
      <c r="J612" t="s">
        <v>18</v>
      </c>
      <c r="K612" t="s">
        <v>170</v>
      </c>
      <c r="L612" s="37">
        <f t="shared" si="36"/>
        <v>0.82693144107555749</v>
      </c>
      <c r="M612" s="2">
        <f t="shared" si="37"/>
        <v>1587562000</v>
      </c>
      <c r="N612" s="37">
        <f t="shared" si="38"/>
        <v>0.28799477868532675</v>
      </c>
      <c r="O612" s="2">
        <f t="shared" si="39"/>
        <v>552899000</v>
      </c>
    </row>
    <row r="613" spans="1:15" x14ac:dyDescent="0.3">
      <c r="A613" t="s">
        <v>249</v>
      </c>
      <c r="B613">
        <v>4</v>
      </c>
      <c r="C613">
        <v>2016</v>
      </c>
      <c r="D613" s="1">
        <v>42643</v>
      </c>
      <c r="E613" s="2">
        <v>1995034000</v>
      </c>
      <c r="F613" s="2">
        <v>337205000</v>
      </c>
      <c r="G613" s="2">
        <v>767174000</v>
      </c>
      <c r="H613" s="2">
        <v>334227000</v>
      </c>
      <c r="I613">
        <v>0</v>
      </c>
      <c r="J613" t="s">
        <v>18</v>
      </c>
      <c r="K613" t="s">
        <v>170</v>
      </c>
      <c r="L613" s="37">
        <f t="shared" si="36"/>
        <v>0.83097781792190006</v>
      </c>
      <c r="M613" s="2">
        <f t="shared" si="37"/>
        <v>1657829000</v>
      </c>
      <c r="N613" s="37">
        <f t="shared" si="38"/>
        <v>0.27890652490133</v>
      </c>
      <c r="O613" s="2">
        <f t="shared" si="39"/>
        <v>556428000</v>
      </c>
    </row>
    <row r="614" spans="1:15" x14ac:dyDescent="0.3">
      <c r="A614" t="s">
        <v>250</v>
      </c>
      <c r="B614">
        <v>1</v>
      </c>
      <c r="C614">
        <v>2012</v>
      </c>
      <c r="D614" s="1">
        <v>41274</v>
      </c>
      <c r="E614" s="2">
        <v>5795800000</v>
      </c>
      <c r="F614" s="2">
        <v>3956200000</v>
      </c>
      <c r="G614" s="2">
        <v>763300000</v>
      </c>
      <c r="H614">
        <v>0</v>
      </c>
      <c r="I614">
        <v>0</v>
      </c>
      <c r="J614" t="s">
        <v>18</v>
      </c>
      <c r="K614" t="s">
        <v>53</v>
      </c>
      <c r="L614" s="37">
        <f t="shared" si="36"/>
        <v>0.31740225680665313</v>
      </c>
      <c r="M614" s="2">
        <f t="shared" si="37"/>
        <v>1839600000</v>
      </c>
      <c r="N614" s="37">
        <f t="shared" si="38"/>
        <v>0.18570344042237483</v>
      </c>
      <c r="O614" s="2">
        <f t="shared" si="39"/>
        <v>1076300000</v>
      </c>
    </row>
    <row r="615" spans="1:15" x14ac:dyDescent="0.3">
      <c r="A615" t="s">
        <v>250</v>
      </c>
      <c r="B615">
        <v>2</v>
      </c>
      <c r="C615">
        <v>2013</v>
      </c>
      <c r="D615" s="1">
        <v>41639</v>
      </c>
      <c r="E615" s="2">
        <v>6063400000</v>
      </c>
      <c r="F615" s="2">
        <v>4092700000</v>
      </c>
      <c r="G615" s="2">
        <v>907800000</v>
      </c>
      <c r="H615">
        <v>0</v>
      </c>
      <c r="I615">
        <v>0</v>
      </c>
      <c r="J615" t="s">
        <v>18</v>
      </c>
      <c r="K615" t="s">
        <v>53</v>
      </c>
      <c r="L615" s="37">
        <f t="shared" si="36"/>
        <v>0.32501566777715474</v>
      </c>
      <c r="M615" s="2">
        <f t="shared" si="37"/>
        <v>1970700000</v>
      </c>
      <c r="N615" s="37">
        <f t="shared" si="38"/>
        <v>0.1752976877659399</v>
      </c>
      <c r="O615" s="2">
        <f t="shared" si="39"/>
        <v>1062900000</v>
      </c>
    </row>
    <row r="616" spans="1:15" x14ac:dyDescent="0.3">
      <c r="A616" t="s">
        <v>250</v>
      </c>
      <c r="B616">
        <v>3</v>
      </c>
      <c r="C616">
        <v>2014</v>
      </c>
      <c r="D616" s="1">
        <v>42004</v>
      </c>
      <c r="E616" s="2">
        <v>6413800000</v>
      </c>
      <c r="F616" s="2">
        <v>4328300000</v>
      </c>
      <c r="G616" s="2">
        <v>814900000</v>
      </c>
      <c r="H616">
        <v>0</v>
      </c>
      <c r="I616">
        <v>0</v>
      </c>
      <c r="J616" t="s">
        <v>18</v>
      </c>
      <c r="K616" t="s">
        <v>53</v>
      </c>
      <c r="L616" s="37">
        <f t="shared" si="36"/>
        <v>0.32515825251800801</v>
      </c>
      <c r="M616" s="2">
        <f t="shared" si="37"/>
        <v>2085500000</v>
      </c>
      <c r="N616" s="37">
        <f t="shared" si="38"/>
        <v>0.19810408806012036</v>
      </c>
      <c r="O616" s="2">
        <f t="shared" si="39"/>
        <v>1270600000</v>
      </c>
    </row>
    <row r="617" spans="1:15" x14ac:dyDescent="0.3">
      <c r="A617" t="s">
        <v>250</v>
      </c>
      <c r="B617">
        <v>4</v>
      </c>
      <c r="C617">
        <v>2015</v>
      </c>
      <c r="D617" s="1">
        <v>42369</v>
      </c>
      <c r="E617" s="2">
        <v>6595200000</v>
      </c>
      <c r="F617" s="2">
        <v>4393200000</v>
      </c>
      <c r="G617" s="2">
        <v>1102800000</v>
      </c>
      <c r="H617">
        <v>0</v>
      </c>
      <c r="I617">
        <v>0</v>
      </c>
      <c r="J617" t="s">
        <v>18</v>
      </c>
      <c r="K617" t="s">
        <v>53</v>
      </c>
      <c r="L617" s="37">
        <f t="shared" si="36"/>
        <v>0.33387918486171764</v>
      </c>
      <c r="M617" s="2">
        <f t="shared" si="37"/>
        <v>2202000000</v>
      </c>
      <c r="N617" s="37">
        <f t="shared" si="38"/>
        <v>0.16666666666666666</v>
      </c>
      <c r="O617" s="2">
        <f t="shared" si="39"/>
        <v>1099200000</v>
      </c>
    </row>
    <row r="618" spans="1:15" x14ac:dyDescent="0.3">
      <c r="A618" t="s">
        <v>251</v>
      </c>
      <c r="B618">
        <v>1</v>
      </c>
      <c r="C618">
        <v>2012</v>
      </c>
      <c r="D618" s="1">
        <v>41274</v>
      </c>
      <c r="E618" s="2">
        <v>4436000000</v>
      </c>
      <c r="F618" s="2">
        <v>2564000000</v>
      </c>
      <c r="G618" s="2">
        <v>824000000</v>
      </c>
      <c r="H618">
        <v>0</v>
      </c>
      <c r="I618">
        <v>0</v>
      </c>
      <c r="J618" t="s">
        <v>18</v>
      </c>
      <c r="K618" t="s">
        <v>53</v>
      </c>
      <c r="L618" s="37">
        <f t="shared" si="36"/>
        <v>0.42200180342651039</v>
      </c>
      <c r="M618" s="2">
        <f t="shared" si="37"/>
        <v>1872000000</v>
      </c>
      <c r="N618" s="37">
        <f t="shared" si="38"/>
        <v>0.23624887285843102</v>
      </c>
      <c r="O618" s="2">
        <f t="shared" si="39"/>
        <v>1048000000</v>
      </c>
    </row>
    <row r="619" spans="1:15" x14ac:dyDescent="0.3">
      <c r="A619" t="s">
        <v>251</v>
      </c>
      <c r="B619">
        <v>2</v>
      </c>
      <c r="C619">
        <v>2013</v>
      </c>
      <c r="D619" s="1">
        <v>41639</v>
      </c>
      <c r="E619" s="2">
        <v>4814000000</v>
      </c>
      <c r="F619" s="2">
        <v>2776000000</v>
      </c>
      <c r="G619" s="2">
        <v>977000000</v>
      </c>
      <c r="H619">
        <v>0</v>
      </c>
      <c r="I619">
        <v>0</v>
      </c>
      <c r="J619" t="s">
        <v>18</v>
      </c>
      <c r="K619" t="s">
        <v>53</v>
      </c>
      <c r="L619" s="37">
        <f t="shared" si="36"/>
        <v>0.42334856668051513</v>
      </c>
      <c r="M619" s="2">
        <f t="shared" si="37"/>
        <v>2038000000</v>
      </c>
      <c r="N619" s="37">
        <f t="shared" si="38"/>
        <v>0.22039883672621521</v>
      </c>
      <c r="O619" s="2">
        <f t="shared" si="39"/>
        <v>1061000000</v>
      </c>
    </row>
    <row r="620" spans="1:15" x14ac:dyDescent="0.3">
      <c r="A620" t="s">
        <v>251</v>
      </c>
      <c r="B620">
        <v>3</v>
      </c>
      <c r="C620">
        <v>2014</v>
      </c>
      <c r="D620" s="1">
        <v>42004</v>
      </c>
      <c r="E620" s="2">
        <v>5066000000</v>
      </c>
      <c r="F620" s="2">
        <v>2881000000</v>
      </c>
      <c r="G620" s="2">
        <v>975000000</v>
      </c>
      <c r="H620">
        <v>0</v>
      </c>
      <c r="I620">
        <v>0</v>
      </c>
      <c r="J620" t="s">
        <v>18</v>
      </c>
      <c r="K620" t="s">
        <v>53</v>
      </c>
      <c r="L620" s="37">
        <f t="shared" si="36"/>
        <v>0.43130675088827475</v>
      </c>
      <c r="M620" s="2">
        <f t="shared" si="37"/>
        <v>2185000000</v>
      </c>
      <c r="N620" s="37">
        <f t="shared" si="38"/>
        <v>0.2388472167390446</v>
      </c>
      <c r="O620" s="2">
        <f t="shared" si="39"/>
        <v>1210000000</v>
      </c>
    </row>
    <row r="621" spans="1:15" x14ac:dyDescent="0.3">
      <c r="A621" t="s">
        <v>251</v>
      </c>
      <c r="B621">
        <v>4</v>
      </c>
      <c r="C621">
        <v>2015</v>
      </c>
      <c r="D621" s="1">
        <v>42369</v>
      </c>
      <c r="E621" s="2">
        <v>5254000000</v>
      </c>
      <c r="F621" s="2">
        <v>2909000000</v>
      </c>
      <c r="G621" s="2">
        <v>1034000000</v>
      </c>
      <c r="H621">
        <v>0</v>
      </c>
      <c r="I621">
        <v>0</v>
      </c>
      <c r="J621" t="s">
        <v>18</v>
      </c>
      <c r="K621" t="s">
        <v>53</v>
      </c>
      <c r="L621" s="37">
        <f t="shared" si="36"/>
        <v>0.44632660829843929</v>
      </c>
      <c r="M621" s="2">
        <f t="shared" si="37"/>
        <v>2345000000</v>
      </c>
      <c r="N621" s="37">
        <f t="shared" si="38"/>
        <v>0.24952417205938332</v>
      </c>
      <c r="O621" s="2">
        <f t="shared" si="39"/>
        <v>1311000000</v>
      </c>
    </row>
    <row r="622" spans="1:15" x14ac:dyDescent="0.3">
      <c r="A622" t="s">
        <v>252</v>
      </c>
      <c r="B622">
        <v>1</v>
      </c>
      <c r="C622">
        <v>2013</v>
      </c>
      <c r="D622" s="1">
        <v>41307</v>
      </c>
      <c r="E622" s="2">
        <v>6182000000</v>
      </c>
      <c r="F622" s="2">
        <v>4148000000</v>
      </c>
      <c r="G622" s="2">
        <v>1294000000</v>
      </c>
      <c r="H622">
        <v>0</v>
      </c>
      <c r="I622" s="2">
        <v>118000000</v>
      </c>
      <c r="J622" t="s">
        <v>15</v>
      </c>
      <c r="K622" t="s">
        <v>253</v>
      </c>
      <c r="L622" s="37">
        <f t="shared" si="36"/>
        <v>0.32901973471368484</v>
      </c>
      <c r="M622" s="2">
        <f t="shared" si="37"/>
        <v>2034000000</v>
      </c>
      <c r="N622" s="37">
        <f t="shared" si="38"/>
        <v>0.10061468780329991</v>
      </c>
      <c r="O622" s="2">
        <f t="shared" si="39"/>
        <v>622000000</v>
      </c>
    </row>
    <row r="623" spans="1:15" x14ac:dyDescent="0.3">
      <c r="A623" t="s">
        <v>252</v>
      </c>
      <c r="B623">
        <v>2</v>
      </c>
      <c r="C623">
        <v>2014</v>
      </c>
      <c r="D623" s="1">
        <v>41671</v>
      </c>
      <c r="E623" s="2">
        <v>6505000000</v>
      </c>
      <c r="F623" s="2">
        <v>4372000000</v>
      </c>
      <c r="G623" s="2">
        <v>1334000000</v>
      </c>
      <c r="H623">
        <v>0</v>
      </c>
      <c r="I623" s="2">
        <v>133000000</v>
      </c>
      <c r="J623" t="s">
        <v>15</v>
      </c>
      <c r="K623" t="s">
        <v>253</v>
      </c>
      <c r="L623" s="37">
        <f t="shared" si="36"/>
        <v>0.32790161414296692</v>
      </c>
      <c r="M623" s="2">
        <f t="shared" si="37"/>
        <v>2133000000</v>
      </c>
      <c r="N623" s="37">
        <f t="shared" si="38"/>
        <v>0.10238278247501921</v>
      </c>
      <c r="O623" s="2">
        <f t="shared" si="39"/>
        <v>666000000</v>
      </c>
    </row>
    <row r="624" spans="1:15" x14ac:dyDescent="0.3">
      <c r="A624" t="s">
        <v>252</v>
      </c>
      <c r="B624">
        <v>3</v>
      </c>
      <c r="C624">
        <v>2015</v>
      </c>
      <c r="D624" s="1">
        <v>42035</v>
      </c>
      <c r="E624" s="2">
        <v>7151000000</v>
      </c>
      <c r="F624" s="2">
        <v>4777000000</v>
      </c>
      <c r="G624" s="2">
        <v>1426000000</v>
      </c>
      <c r="H624">
        <v>0</v>
      </c>
      <c r="I624" s="2">
        <v>139000000</v>
      </c>
      <c r="J624" t="s">
        <v>15</v>
      </c>
      <c r="K624" t="s">
        <v>253</v>
      </c>
      <c r="L624" s="37">
        <f t="shared" si="36"/>
        <v>0.33198154104321076</v>
      </c>
      <c r="M624" s="2">
        <f t="shared" si="37"/>
        <v>2374000000</v>
      </c>
      <c r="N624" s="37">
        <f t="shared" si="38"/>
        <v>0.11313103062508741</v>
      </c>
      <c r="O624" s="2">
        <f t="shared" si="39"/>
        <v>809000000</v>
      </c>
    </row>
    <row r="625" spans="1:15" x14ac:dyDescent="0.3">
      <c r="A625" t="s">
        <v>252</v>
      </c>
      <c r="B625">
        <v>4</v>
      </c>
      <c r="C625">
        <v>2016</v>
      </c>
      <c r="D625" s="1">
        <v>42399</v>
      </c>
      <c r="E625" s="2">
        <v>7412000000</v>
      </c>
      <c r="F625" s="2">
        <v>4907000000</v>
      </c>
      <c r="G625" s="2">
        <v>1415000000</v>
      </c>
      <c r="H625">
        <v>0</v>
      </c>
      <c r="I625" s="2">
        <v>148000000</v>
      </c>
      <c r="J625" t="s">
        <v>15</v>
      </c>
      <c r="K625" t="s">
        <v>253</v>
      </c>
      <c r="L625" s="37">
        <f t="shared" si="36"/>
        <v>0.33796546141392336</v>
      </c>
      <c r="M625" s="2">
        <f t="shared" si="37"/>
        <v>2505000000</v>
      </c>
      <c r="N625" s="37">
        <f t="shared" si="38"/>
        <v>0.1270912034538586</v>
      </c>
      <c r="O625" s="2">
        <f t="shared" si="39"/>
        <v>942000000</v>
      </c>
    </row>
    <row r="626" spans="1:15" x14ac:dyDescent="0.3">
      <c r="A626" t="s">
        <v>254</v>
      </c>
      <c r="B626">
        <v>1</v>
      </c>
      <c r="C626">
        <v>2012</v>
      </c>
      <c r="D626" s="1">
        <v>41274</v>
      </c>
      <c r="E626" s="2">
        <v>1405358000</v>
      </c>
      <c r="F626" s="2">
        <v>670174000</v>
      </c>
      <c r="G626" s="2">
        <v>292500000</v>
      </c>
      <c r="H626" s="2">
        <v>137354000</v>
      </c>
      <c r="I626">
        <v>0</v>
      </c>
      <c r="J626" t="s">
        <v>18</v>
      </c>
      <c r="K626" t="s">
        <v>255</v>
      </c>
      <c r="L626" s="37">
        <f t="shared" si="36"/>
        <v>0.52312933786266558</v>
      </c>
      <c r="M626" s="2">
        <f t="shared" si="37"/>
        <v>735184000</v>
      </c>
      <c r="N626" s="37">
        <f t="shared" si="38"/>
        <v>0.2172613668545666</v>
      </c>
      <c r="O626" s="2">
        <f t="shared" si="39"/>
        <v>305330000</v>
      </c>
    </row>
    <row r="627" spans="1:15" x14ac:dyDescent="0.3">
      <c r="A627" t="s">
        <v>254</v>
      </c>
      <c r="B627">
        <v>2</v>
      </c>
      <c r="C627">
        <v>2013</v>
      </c>
      <c r="D627" s="1">
        <v>41639</v>
      </c>
      <c r="E627" s="2">
        <v>1496372000</v>
      </c>
      <c r="F627" s="2">
        <v>759362000</v>
      </c>
      <c r="G627" s="2">
        <v>322739000</v>
      </c>
      <c r="H627" s="2">
        <v>147696000</v>
      </c>
      <c r="I627">
        <v>0</v>
      </c>
      <c r="J627" t="s">
        <v>18</v>
      </c>
      <c r="K627" t="s">
        <v>255</v>
      </c>
      <c r="L627" s="37">
        <f t="shared" si="36"/>
        <v>0.49253126896253074</v>
      </c>
      <c r="M627" s="2">
        <f t="shared" si="37"/>
        <v>737010000</v>
      </c>
      <c r="N627" s="37">
        <f t="shared" si="38"/>
        <v>0.1781475461984052</v>
      </c>
      <c r="O627" s="2">
        <f t="shared" si="39"/>
        <v>266575000</v>
      </c>
    </row>
    <row r="628" spans="1:15" x14ac:dyDescent="0.3">
      <c r="A628" t="s">
        <v>254</v>
      </c>
      <c r="B628">
        <v>3</v>
      </c>
      <c r="C628">
        <v>2014</v>
      </c>
      <c r="D628" s="1">
        <v>42004</v>
      </c>
      <c r="E628" s="2">
        <v>1530654000</v>
      </c>
      <c r="F628" s="2">
        <v>780281000</v>
      </c>
      <c r="G628" s="2">
        <v>331995000</v>
      </c>
      <c r="H628" s="2">
        <v>142751000</v>
      </c>
      <c r="I628">
        <v>0</v>
      </c>
      <c r="J628" t="s">
        <v>18</v>
      </c>
      <c r="K628" t="s">
        <v>255</v>
      </c>
      <c r="L628" s="37">
        <f t="shared" si="36"/>
        <v>0.49023031985020782</v>
      </c>
      <c r="M628" s="2">
        <f t="shared" si="37"/>
        <v>750373000</v>
      </c>
      <c r="N628" s="37">
        <f t="shared" si="38"/>
        <v>0.18007139431902963</v>
      </c>
      <c r="O628" s="2">
        <f t="shared" si="39"/>
        <v>275627000</v>
      </c>
    </row>
    <row r="629" spans="1:15" x14ac:dyDescent="0.3">
      <c r="A629" t="s">
        <v>254</v>
      </c>
      <c r="B629">
        <v>4</v>
      </c>
      <c r="C629">
        <v>2015</v>
      </c>
      <c r="D629" s="1">
        <v>42369</v>
      </c>
      <c r="E629" s="2">
        <v>1557067000</v>
      </c>
      <c r="F629" s="2">
        <v>803506000</v>
      </c>
      <c r="G629" s="2">
        <v>313544000</v>
      </c>
      <c r="H629" s="2">
        <v>132892000</v>
      </c>
      <c r="I629">
        <v>0</v>
      </c>
      <c r="J629" t="s">
        <v>18</v>
      </c>
      <c r="K629" t="s">
        <v>255</v>
      </c>
      <c r="L629" s="37">
        <f t="shared" si="36"/>
        <v>0.48396183337004761</v>
      </c>
      <c r="M629" s="2">
        <f t="shared" si="37"/>
        <v>753561000</v>
      </c>
      <c r="N629" s="37">
        <f t="shared" si="38"/>
        <v>0.19724584748119381</v>
      </c>
      <c r="O629" s="2">
        <f t="shared" si="39"/>
        <v>307125000</v>
      </c>
    </row>
    <row r="630" spans="1:15" x14ac:dyDescent="0.3">
      <c r="A630" t="s">
        <v>256</v>
      </c>
      <c r="B630">
        <v>1</v>
      </c>
      <c r="C630">
        <v>2013</v>
      </c>
      <c r="D630" s="1">
        <v>41639</v>
      </c>
      <c r="E630" s="2">
        <v>27351573000</v>
      </c>
      <c r="F630" s="2">
        <v>25986382000</v>
      </c>
      <c r="G630" s="2">
        <v>175148000</v>
      </c>
      <c r="H630">
        <v>0</v>
      </c>
      <c r="I630">
        <v>0</v>
      </c>
      <c r="J630" t="s">
        <v>12</v>
      </c>
      <c r="K630" t="s">
        <v>257</v>
      </c>
      <c r="L630" s="37">
        <f t="shared" si="36"/>
        <v>4.9912705203463026E-2</v>
      </c>
      <c r="M630" s="2">
        <f t="shared" si="37"/>
        <v>1365191000</v>
      </c>
      <c r="N630" s="37">
        <f t="shared" si="38"/>
        <v>4.3509124685443136E-2</v>
      </c>
      <c r="O630" s="2">
        <f t="shared" si="39"/>
        <v>1190043000</v>
      </c>
    </row>
    <row r="631" spans="1:15" x14ac:dyDescent="0.3">
      <c r="A631" t="s">
        <v>256</v>
      </c>
      <c r="B631">
        <v>2</v>
      </c>
      <c r="C631">
        <v>2014</v>
      </c>
      <c r="D631" s="1">
        <v>42004</v>
      </c>
      <c r="E631" s="2">
        <v>21531577000</v>
      </c>
      <c r="F631" s="2">
        <v>20132544000</v>
      </c>
      <c r="G631" s="2">
        <v>182711000</v>
      </c>
      <c r="H631">
        <v>0</v>
      </c>
      <c r="I631">
        <v>0</v>
      </c>
      <c r="J631" t="s">
        <v>12</v>
      </c>
      <c r="K631" t="s">
        <v>257</v>
      </c>
      <c r="L631" s="37">
        <f t="shared" si="36"/>
        <v>6.497587241287528E-2</v>
      </c>
      <c r="M631" s="2">
        <f t="shared" si="37"/>
        <v>1399033000</v>
      </c>
      <c r="N631" s="37">
        <f t="shared" si="38"/>
        <v>5.649014932812399E-2</v>
      </c>
      <c r="O631" s="2">
        <f t="shared" si="39"/>
        <v>1216322000</v>
      </c>
    </row>
    <row r="632" spans="1:15" x14ac:dyDescent="0.3">
      <c r="A632" t="s">
        <v>256</v>
      </c>
      <c r="B632">
        <v>3</v>
      </c>
      <c r="C632">
        <v>2015</v>
      </c>
      <c r="D632" s="1">
        <v>42369</v>
      </c>
      <c r="E632" s="2">
        <v>18114048000</v>
      </c>
      <c r="F632" s="2">
        <v>17019352000</v>
      </c>
      <c r="G632" s="2">
        <v>408225000</v>
      </c>
      <c r="H632">
        <v>0</v>
      </c>
      <c r="I632">
        <v>0</v>
      </c>
      <c r="J632" t="s">
        <v>12</v>
      </c>
      <c r="K632" t="s">
        <v>257</v>
      </c>
      <c r="L632" s="37">
        <f t="shared" si="36"/>
        <v>6.0433537550524274E-2</v>
      </c>
      <c r="M632" s="2">
        <f t="shared" si="37"/>
        <v>1094696000</v>
      </c>
      <c r="N632" s="37">
        <f t="shared" si="38"/>
        <v>3.7897161363379409E-2</v>
      </c>
      <c r="O632" s="2">
        <f t="shared" si="39"/>
        <v>686471000</v>
      </c>
    </row>
    <row r="633" spans="1:15" x14ac:dyDescent="0.3">
      <c r="A633" t="s">
        <v>256</v>
      </c>
      <c r="B633">
        <v>4</v>
      </c>
      <c r="C633">
        <v>2016</v>
      </c>
      <c r="D633" s="1">
        <v>42735</v>
      </c>
      <c r="E633" s="2">
        <v>19036525000</v>
      </c>
      <c r="F633" s="2">
        <v>18246209000</v>
      </c>
      <c r="G633" s="2">
        <v>191073000</v>
      </c>
      <c r="H633">
        <v>0</v>
      </c>
      <c r="I633">
        <v>0</v>
      </c>
      <c r="J633" t="s">
        <v>12</v>
      </c>
      <c r="K633" t="s">
        <v>257</v>
      </c>
      <c r="L633" s="37">
        <f t="shared" si="36"/>
        <v>4.1515770341488234E-2</v>
      </c>
      <c r="M633" s="2">
        <f t="shared" si="37"/>
        <v>790316000</v>
      </c>
      <c r="N633" s="37">
        <f t="shared" si="38"/>
        <v>3.1478591812318685E-2</v>
      </c>
      <c r="O633" s="2">
        <f t="shared" si="39"/>
        <v>599243000</v>
      </c>
    </row>
    <row r="634" spans="1:15" x14ac:dyDescent="0.3">
      <c r="A634" t="s">
        <v>258</v>
      </c>
      <c r="B634">
        <v>1</v>
      </c>
      <c r="C634">
        <v>2013</v>
      </c>
      <c r="D634" s="1">
        <v>41639</v>
      </c>
      <c r="E634" s="2">
        <v>4954619000</v>
      </c>
      <c r="F634" s="2">
        <v>3266524000</v>
      </c>
      <c r="G634" s="2">
        <v>966829000</v>
      </c>
      <c r="H634">
        <v>0</v>
      </c>
      <c r="I634">
        <v>0</v>
      </c>
      <c r="J634" t="s">
        <v>12</v>
      </c>
      <c r="K634" t="s">
        <v>153</v>
      </c>
      <c r="L634" s="37">
        <f t="shared" si="36"/>
        <v>0.34071136448635098</v>
      </c>
      <c r="M634" s="2">
        <f t="shared" si="37"/>
        <v>1688095000</v>
      </c>
      <c r="N634" s="37">
        <f t="shared" si="38"/>
        <v>0.14557446294054094</v>
      </c>
      <c r="O634" s="2">
        <f t="shared" si="39"/>
        <v>721266000</v>
      </c>
    </row>
    <row r="635" spans="1:15" x14ac:dyDescent="0.3">
      <c r="A635" t="s">
        <v>258</v>
      </c>
      <c r="B635">
        <v>2</v>
      </c>
      <c r="C635">
        <v>2014</v>
      </c>
      <c r="D635" s="1">
        <v>42004</v>
      </c>
      <c r="E635" s="2">
        <v>4877885000</v>
      </c>
      <c r="F635" s="2">
        <v>3163268000</v>
      </c>
      <c r="G635" s="2">
        <v>936900000</v>
      </c>
      <c r="H635">
        <v>0</v>
      </c>
      <c r="I635">
        <v>0</v>
      </c>
      <c r="J635" t="s">
        <v>12</v>
      </c>
      <c r="K635" t="s">
        <v>153</v>
      </c>
      <c r="L635" s="37">
        <f t="shared" si="36"/>
        <v>0.35150828689073232</v>
      </c>
      <c r="M635" s="2">
        <f t="shared" si="37"/>
        <v>1714617000</v>
      </c>
      <c r="N635" s="37">
        <f t="shared" si="38"/>
        <v>0.15943733810862701</v>
      </c>
      <c r="O635" s="2">
        <f t="shared" si="39"/>
        <v>777717000</v>
      </c>
    </row>
    <row r="636" spans="1:15" x14ac:dyDescent="0.3">
      <c r="A636" t="s">
        <v>258</v>
      </c>
      <c r="B636">
        <v>3</v>
      </c>
      <c r="C636">
        <v>2015</v>
      </c>
      <c r="D636" s="1">
        <v>42369</v>
      </c>
      <c r="E636" s="2">
        <v>4561030000</v>
      </c>
      <c r="F636" s="2">
        <v>3073712000</v>
      </c>
      <c r="G636" s="2">
        <v>971611000</v>
      </c>
      <c r="H636">
        <v>0</v>
      </c>
      <c r="I636">
        <v>0</v>
      </c>
      <c r="J636" t="s">
        <v>12</v>
      </c>
      <c r="K636" t="s">
        <v>153</v>
      </c>
      <c r="L636" s="37">
        <f t="shared" si="36"/>
        <v>0.32609257119554136</v>
      </c>
      <c r="M636" s="2">
        <f t="shared" si="37"/>
        <v>1487318000</v>
      </c>
      <c r="N636" s="37">
        <f t="shared" si="38"/>
        <v>0.11306810084564232</v>
      </c>
      <c r="O636" s="2">
        <f t="shared" si="39"/>
        <v>515707000</v>
      </c>
    </row>
    <row r="637" spans="1:15" x14ac:dyDescent="0.3">
      <c r="A637" t="s">
        <v>258</v>
      </c>
      <c r="B637">
        <v>4</v>
      </c>
      <c r="C637">
        <v>2016</v>
      </c>
      <c r="D637" s="1">
        <v>42735</v>
      </c>
      <c r="E637" s="2">
        <v>3991462000</v>
      </c>
      <c r="F637" s="2">
        <v>2759908000</v>
      </c>
      <c r="G637" s="2">
        <v>965322000</v>
      </c>
      <c r="H637">
        <v>0</v>
      </c>
      <c r="I637">
        <v>0</v>
      </c>
      <c r="J637" t="s">
        <v>12</v>
      </c>
      <c r="K637" t="s">
        <v>153</v>
      </c>
      <c r="L637" s="37">
        <f t="shared" si="36"/>
        <v>0.30854709377165557</v>
      </c>
      <c r="M637" s="2">
        <f t="shared" si="37"/>
        <v>1231554000</v>
      </c>
      <c r="N637" s="37">
        <f t="shared" si="38"/>
        <v>6.6700371943914288E-2</v>
      </c>
      <c r="O637" s="2">
        <f t="shared" si="39"/>
        <v>266232000</v>
      </c>
    </row>
    <row r="638" spans="1:15" x14ac:dyDescent="0.3">
      <c r="A638" t="s">
        <v>259</v>
      </c>
      <c r="B638">
        <v>1</v>
      </c>
      <c r="C638">
        <v>2012</v>
      </c>
      <c r="D638" s="1">
        <v>41274</v>
      </c>
      <c r="E638" s="2">
        <v>3409900000</v>
      </c>
      <c r="F638" s="2">
        <v>2141600000</v>
      </c>
      <c r="G638" s="2">
        <v>489700000</v>
      </c>
      <c r="H638" s="2">
        <v>112000000</v>
      </c>
      <c r="I638">
        <v>0</v>
      </c>
      <c r="J638" t="s">
        <v>55</v>
      </c>
      <c r="K638" t="s">
        <v>189</v>
      </c>
      <c r="L638" s="37">
        <f t="shared" si="36"/>
        <v>0.37194639138977681</v>
      </c>
      <c r="M638" s="2">
        <f t="shared" si="37"/>
        <v>1268300000</v>
      </c>
      <c r="N638" s="37">
        <f t="shared" si="38"/>
        <v>0.19548960380069796</v>
      </c>
      <c r="O638" s="2">
        <f t="shared" si="39"/>
        <v>666600000</v>
      </c>
    </row>
    <row r="639" spans="1:15" x14ac:dyDescent="0.3">
      <c r="A639" t="s">
        <v>259</v>
      </c>
      <c r="B639">
        <v>2</v>
      </c>
      <c r="C639">
        <v>2013</v>
      </c>
      <c r="D639" s="1">
        <v>41639</v>
      </c>
      <c r="E639" s="2">
        <v>3130700000</v>
      </c>
      <c r="F639" s="2">
        <v>1929800000</v>
      </c>
      <c r="G639" s="2">
        <v>496100000</v>
      </c>
      <c r="H639" s="2">
        <v>115600000</v>
      </c>
      <c r="I639">
        <v>0</v>
      </c>
      <c r="J639" t="s">
        <v>55</v>
      </c>
      <c r="K639" t="s">
        <v>189</v>
      </c>
      <c r="L639" s="37">
        <f t="shared" si="36"/>
        <v>0.38358833487718402</v>
      </c>
      <c r="M639" s="2">
        <f t="shared" si="37"/>
        <v>1200900000</v>
      </c>
      <c r="N639" s="37">
        <f t="shared" si="38"/>
        <v>0.18820072188328488</v>
      </c>
      <c r="O639" s="2">
        <f t="shared" si="39"/>
        <v>589200000</v>
      </c>
    </row>
    <row r="640" spans="1:15" x14ac:dyDescent="0.3">
      <c r="A640" t="s">
        <v>259</v>
      </c>
      <c r="B640">
        <v>3</v>
      </c>
      <c r="C640">
        <v>2014</v>
      </c>
      <c r="D640" s="1">
        <v>42004</v>
      </c>
      <c r="E640" s="2">
        <v>3258700000</v>
      </c>
      <c r="F640" s="2">
        <v>2047800000</v>
      </c>
      <c r="G640" s="2">
        <v>589800000</v>
      </c>
      <c r="H640" s="2">
        <v>126300000</v>
      </c>
      <c r="I640">
        <v>0</v>
      </c>
      <c r="J640" t="s">
        <v>55</v>
      </c>
      <c r="K640" t="s">
        <v>189</v>
      </c>
      <c r="L640" s="37">
        <f t="shared" si="36"/>
        <v>0.37158989781201091</v>
      </c>
      <c r="M640" s="2">
        <f t="shared" si="37"/>
        <v>1210900000</v>
      </c>
      <c r="N640" s="37">
        <f t="shared" si="38"/>
        <v>0.15183969067419523</v>
      </c>
      <c r="O640" s="2">
        <f t="shared" si="39"/>
        <v>494800000</v>
      </c>
    </row>
    <row r="641" spans="1:15" x14ac:dyDescent="0.3">
      <c r="A641" t="s">
        <v>259</v>
      </c>
      <c r="B641">
        <v>4</v>
      </c>
      <c r="C641">
        <v>2015</v>
      </c>
      <c r="D641" s="1">
        <v>42369</v>
      </c>
      <c r="E641" s="2">
        <v>3276500000</v>
      </c>
      <c r="F641" s="2">
        <v>2201100000</v>
      </c>
      <c r="G641" s="2">
        <v>737900000</v>
      </c>
      <c r="H641" s="2">
        <v>143700000</v>
      </c>
      <c r="I641">
        <v>0</v>
      </c>
      <c r="J641" t="s">
        <v>55</v>
      </c>
      <c r="K641" t="s">
        <v>189</v>
      </c>
      <c r="L641" s="37">
        <f t="shared" si="36"/>
        <v>0.32821608423622772</v>
      </c>
      <c r="M641" s="2">
        <f t="shared" si="37"/>
        <v>1075400000</v>
      </c>
      <c r="N641" s="37">
        <f t="shared" si="38"/>
        <v>5.9148481611475658E-2</v>
      </c>
      <c r="O641" s="2">
        <f t="shared" si="39"/>
        <v>193800000</v>
      </c>
    </row>
    <row r="642" spans="1:15" x14ac:dyDescent="0.3">
      <c r="A642" t="s">
        <v>260</v>
      </c>
      <c r="B642">
        <v>1</v>
      </c>
      <c r="C642">
        <v>2013</v>
      </c>
      <c r="D642" s="1">
        <v>41639</v>
      </c>
      <c r="E642" s="2">
        <v>637413000</v>
      </c>
      <c r="F642" s="2">
        <v>190454000</v>
      </c>
      <c r="G642" s="2">
        <v>31970000</v>
      </c>
      <c r="H642">
        <v>0</v>
      </c>
      <c r="I642" s="2">
        <v>160828000</v>
      </c>
      <c r="J642" t="s">
        <v>48</v>
      </c>
      <c r="K642" t="s">
        <v>261</v>
      </c>
      <c r="L642" s="37">
        <f t="shared" ref="L642:L705" si="40">1-(F642/E642)</f>
        <v>0.70120785111066142</v>
      </c>
      <c r="M642" s="2">
        <f t="shared" ref="M642:M705" si="41">E642-F642</f>
        <v>446959000</v>
      </c>
      <c r="N642" s="37">
        <f t="shared" ref="N642:N705" si="42">O642/E642</f>
        <v>0.39873833762411498</v>
      </c>
      <c r="O642" s="2">
        <f t="shared" ref="O642:O705" si="43">M642-SUM(G642:I642)</f>
        <v>254161000</v>
      </c>
    </row>
    <row r="643" spans="1:15" x14ac:dyDescent="0.3">
      <c r="A643" t="s">
        <v>260</v>
      </c>
      <c r="B643">
        <v>2</v>
      </c>
      <c r="C643">
        <v>2014</v>
      </c>
      <c r="D643" s="1">
        <v>42004</v>
      </c>
      <c r="E643" s="2">
        <v>686090000</v>
      </c>
      <c r="F643" s="2">
        <v>211923000</v>
      </c>
      <c r="G643" s="2">
        <v>32316000</v>
      </c>
      <c r="H643">
        <v>0</v>
      </c>
      <c r="I643" s="2">
        <v>170814000</v>
      </c>
      <c r="J643" t="s">
        <v>48</v>
      </c>
      <c r="K643" t="s">
        <v>261</v>
      </c>
      <c r="L643" s="37">
        <f t="shared" si="40"/>
        <v>0.69111486831173752</v>
      </c>
      <c r="M643" s="2">
        <f t="shared" si="41"/>
        <v>474167000</v>
      </c>
      <c r="N643" s="37">
        <f t="shared" si="42"/>
        <v>0.39504583946712529</v>
      </c>
      <c r="O643" s="2">
        <f t="shared" si="43"/>
        <v>271037000</v>
      </c>
    </row>
    <row r="644" spans="1:15" x14ac:dyDescent="0.3">
      <c r="A644" t="s">
        <v>260</v>
      </c>
      <c r="B644">
        <v>3</v>
      </c>
      <c r="C644">
        <v>2015</v>
      </c>
      <c r="D644" s="1">
        <v>42369</v>
      </c>
      <c r="E644" s="2">
        <v>744012000</v>
      </c>
      <c r="F644" s="2">
        <v>233417000</v>
      </c>
      <c r="G644" s="2">
        <v>35645000</v>
      </c>
      <c r="H644">
        <v>0</v>
      </c>
      <c r="I644" s="2">
        <v>174796000</v>
      </c>
      <c r="J644" t="s">
        <v>48</v>
      </c>
      <c r="K644" t="s">
        <v>261</v>
      </c>
      <c r="L644" s="37">
        <f t="shared" si="40"/>
        <v>0.68627253323871118</v>
      </c>
      <c r="M644" s="2">
        <f t="shared" si="41"/>
        <v>510595000</v>
      </c>
      <c r="N644" s="37">
        <f t="shared" si="42"/>
        <v>0.40342628882329856</v>
      </c>
      <c r="O644" s="2">
        <f t="shared" si="43"/>
        <v>300154000</v>
      </c>
    </row>
    <row r="645" spans="1:15" x14ac:dyDescent="0.3">
      <c r="A645" t="s">
        <v>260</v>
      </c>
      <c r="B645">
        <v>4</v>
      </c>
      <c r="C645">
        <v>2016</v>
      </c>
      <c r="D645" s="1">
        <v>42735</v>
      </c>
      <c r="E645" s="2">
        <v>801591000</v>
      </c>
      <c r="F645" s="2">
        <v>253612000</v>
      </c>
      <c r="G645" s="2">
        <v>33399000</v>
      </c>
      <c r="H645">
        <v>0</v>
      </c>
      <c r="I645" s="2">
        <v>193585000</v>
      </c>
      <c r="J645" t="s">
        <v>48</v>
      </c>
      <c r="K645" t="s">
        <v>261</v>
      </c>
      <c r="L645" s="37">
        <f t="shared" si="40"/>
        <v>0.68361421223541674</v>
      </c>
      <c r="M645" s="2">
        <f t="shared" si="41"/>
        <v>547979000</v>
      </c>
      <c r="N645" s="37">
        <f t="shared" si="42"/>
        <v>0.40044736031217915</v>
      </c>
      <c r="O645" s="2">
        <f t="shared" si="43"/>
        <v>320995000</v>
      </c>
    </row>
    <row r="646" spans="1:15" x14ac:dyDescent="0.3">
      <c r="A646" t="s">
        <v>262</v>
      </c>
      <c r="B646">
        <v>1</v>
      </c>
      <c r="C646">
        <v>2012</v>
      </c>
      <c r="D646" s="1">
        <v>41274</v>
      </c>
      <c r="E646" s="2">
        <v>3368545000</v>
      </c>
      <c r="F646" s="2">
        <v>2515796000</v>
      </c>
      <c r="G646" s="2">
        <v>280928000</v>
      </c>
      <c r="H646" s="2">
        <v>132460000</v>
      </c>
      <c r="I646">
        <v>0</v>
      </c>
      <c r="J646" t="s">
        <v>18</v>
      </c>
      <c r="K646" t="s">
        <v>30</v>
      </c>
      <c r="L646" s="37">
        <f t="shared" si="40"/>
        <v>0.25315054422606798</v>
      </c>
      <c r="M646" s="2">
        <f t="shared" si="41"/>
        <v>852749000</v>
      </c>
      <c r="N646" s="37">
        <f t="shared" si="42"/>
        <v>0.13043049744028951</v>
      </c>
      <c r="O646" s="2">
        <f t="shared" si="43"/>
        <v>439361000</v>
      </c>
    </row>
    <row r="647" spans="1:15" x14ac:dyDescent="0.3">
      <c r="A647" t="s">
        <v>262</v>
      </c>
      <c r="B647">
        <v>2</v>
      </c>
      <c r="C647">
        <v>2013</v>
      </c>
      <c r="D647" s="1">
        <v>41639</v>
      </c>
      <c r="E647" s="2">
        <v>3309616000</v>
      </c>
      <c r="F647" s="2">
        <v>2444984000</v>
      </c>
      <c r="G647" s="2">
        <v>270261000</v>
      </c>
      <c r="H647" s="2">
        <v>134300000</v>
      </c>
      <c r="I647">
        <v>0</v>
      </c>
      <c r="J647" t="s">
        <v>18</v>
      </c>
      <c r="K647" t="s">
        <v>30</v>
      </c>
      <c r="L647" s="37">
        <f t="shared" si="40"/>
        <v>0.2612484348637425</v>
      </c>
      <c r="M647" s="2">
        <f t="shared" si="41"/>
        <v>864632000</v>
      </c>
      <c r="N647" s="37">
        <f t="shared" si="42"/>
        <v>0.13901038670347254</v>
      </c>
      <c r="O647" s="2">
        <f t="shared" si="43"/>
        <v>460071000</v>
      </c>
    </row>
    <row r="648" spans="1:15" x14ac:dyDescent="0.3">
      <c r="A648" t="s">
        <v>262</v>
      </c>
      <c r="B648">
        <v>3</v>
      </c>
      <c r="C648">
        <v>2014</v>
      </c>
      <c r="D648" s="1">
        <v>42004</v>
      </c>
      <c r="E648" s="2">
        <v>3391187000</v>
      </c>
      <c r="F648" s="2">
        <v>2566246000</v>
      </c>
      <c r="G648" s="2">
        <v>253827000</v>
      </c>
      <c r="H648" s="2">
        <v>143969000</v>
      </c>
      <c r="I648">
        <v>0</v>
      </c>
      <c r="J648" t="s">
        <v>18</v>
      </c>
      <c r="K648" t="s">
        <v>30</v>
      </c>
      <c r="L648" s="37">
        <f t="shared" si="40"/>
        <v>0.24326025076175395</v>
      </c>
      <c r="M648" s="2">
        <f t="shared" si="41"/>
        <v>824941000</v>
      </c>
      <c r="N648" s="37">
        <f t="shared" si="42"/>
        <v>0.12595737126852632</v>
      </c>
      <c r="O648" s="2">
        <f t="shared" si="43"/>
        <v>427145000</v>
      </c>
    </row>
    <row r="649" spans="1:15" x14ac:dyDescent="0.3">
      <c r="A649" t="s">
        <v>262</v>
      </c>
      <c r="B649">
        <v>4</v>
      </c>
      <c r="C649">
        <v>2015</v>
      </c>
      <c r="D649" s="1">
        <v>42369</v>
      </c>
      <c r="E649" s="2">
        <v>3578995000</v>
      </c>
      <c r="F649" s="2">
        <v>2659728000</v>
      </c>
      <c r="G649" s="2">
        <v>255192000</v>
      </c>
      <c r="H649" s="2">
        <v>130593000</v>
      </c>
      <c r="I649">
        <v>0</v>
      </c>
      <c r="J649" t="s">
        <v>18</v>
      </c>
      <c r="K649" t="s">
        <v>30</v>
      </c>
      <c r="L649" s="37">
        <f t="shared" si="40"/>
        <v>0.25685059632662244</v>
      </c>
      <c r="M649" s="2">
        <f t="shared" si="41"/>
        <v>919267000</v>
      </c>
      <c r="N649" s="37">
        <f t="shared" si="42"/>
        <v>0.1490591632567243</v>
      </c>
      <c r="O649" s="2">
        <f t="shared" si="43"/>
        <v>533482000</v>
      </c>
    </row>
    <row r="650" spans="1:15" x14ac:dyDescent="0.3">
      <c r="A650" t="s">
        <v>263</v>
      </c>
      <c r="B650">
        <v>1</v>
      </c>
      <c r="C650">
        <v>2012</v>
      </c>
      <c r="D650" s="1">
        <v>41274</v>
      </c>
      <c r="E650" s="2">
        <v>5011853000</v>
      </c>
      <c r="F650">
        <v>0</v>
      </c>
      <c r="G650" s="2">
        <v>2676141000</v>
      </c>
      <c r="H650">
        <v>0</v>
      </c>
      <c r="I650" s="2">
        <v>1266807000</v>
      </c>
      <c r="J650" t="s">
        <v>178</v>
      </c>
      <c r="K650" t="s">
        <v>179</v>
      </c>
      <c r="L650" s="37">
        <f t="shared" si="40"/>
        <v>1</v>
      </c>
      <c r="M650" s="2">
        <f t="shared" si="41"/>
        <v>5011853000</v>
      </c>
      <c r="N650" s="37">
        <f t="shared" si="42"/>
        <v>0.21327540931467862</v>
      </c>
      <c r="O650" s="2">
        <f t="shared" si="43"/>
        <v>1068905000</v>
      </c>
    </row>
    <row r="651" spans="1:15" x14ac:dyDescent="0.3">
      <c r="A651" t="s">
        <v>263</v>
      </c>
      <c r="B651">
        <v>2</v>
      </c>
      <c r="C651">
        <v>2013</v>
      </c>
      <c r="D651" s="1">
        <v>41639</v>
      </c>
      <c r="E651" s="2">
        <v>4762000000</v>
      </c>
      <c r="F651">
        <v>0</v>
      </c>
      <c r="G651" s="2">
        <v>2616000000</v>
      </c>
      <c r="H651">
        <v>0</v>
      </c>
      <c r="I651" s="2">
        <v>1170000000</v>
      </c>
      <c r="J651" t="s">
        <v>178</v>
      </c>
      <c r="K651" t="s">
        <v>179</v>
      </c>
      <c r="L651" s="37">
        <f t="shared" si="40"/>
        <v>1</v>
      </c>
      <c r="M651" s="2">
        <f t="shared" si="41"/>
        <v>4762000000</v>
      </c>
      <c r="N651" s="37">
        <f t="shared" si="42"/>
        <v>0.20495590088198237</v>
      </c>
      <c r="O651" s="2">
        <f t="shared" si="43"/>
        <v>976000000</v>
      </c>
    </row>
    <row r="652" spans="1:15" x14ac:dyDescent="0.3">
      <c r="A652" t="s">
        <v>263</v>
      </c>
      <c r="B652">
        <v>3</v>
      </c>
      <c r="C652">
        <v>2014</v>
      </c>
      <c r="D652" s="1">
        <v>42004</v>
      </c>
      <c r="E652" s="2">
        <v>4772000000</v>
      </c>
      <c r="F652">
        <v>0</v>
      </c>
      <c r="G652" s="2">
        <v>2671000000</v>
      </c>
      <c r="H652">
        <v>0</v>
      </c>
      <c r="I652" s="2">
        <v>1139000000</v>
      </c>
      <c r="J652" t="s">
        <v>178</v>
      </c>
      <c r="K652" t="s">
        <v>179</v>
      </c>
      <c r="L652" s="37">
        <f t="shared" si="40"/>
        <v>1</v>
      </c>
      <c r="M652" s="2">
        <f t="shared" si="41"/>
        <v>4772000000</v>
      </c>
      <c r="N652" s="37">
        <f t="shared" si="42"/>
        <v>0.20159262363788769</v>
      </c>
      <c r="O652" s="2">
        <f t="shared" si="43"/>
        <v>962000000</v>
      </c>
    </row>
    <row r="653" spans="1:15" x14ac:dyDescent="0.3">
      <c r="A653" t="s">
        <v>263</v>
      </c>
      <c r="B653">
        <v>4</v>
      </c>
      <c r="C653">
        <v>2015</v>
      </c>
      <c r="D653" s="1">
        <v>42369</v>
      </c>
      <c r="E653" s="2">
        <v>5576000000</v>
      </c>
      <c r="F653">
        <v>0</v>
      </c>
      <c r="G653" s="2">
        <v>3275000000</v>
      </c>
      <c r="H653">
        <v>0</v>
      </c>
      <c r="I653" s="2">
        <v>1320000000</v>
      </c>
      <c r="J653" t="s">
        <v>178</v>
      </c>
      <c r="K653" t="s">
        <v>179</v>
      </c>
      <c r="L653" s="37">
        <f t="shared" si="40"/>
        <v>1</v>
      </c>
      <c r="M653" s="2">
        <f t="shared" si="41"/>
        <v>5576000000</v>
      </c>
      <c r="N653" s="37">
        <f t="shared" si="42"/>
        <v>0.17593256814921091</v>
      </c>
      <c r="O653" s="2">
        <f t="shared" si="43"/>
        <v>981000000</v>
      </c>
    </row>
    <row r="654" spans="1:15" x14ac:dyDescent="0.3">
      <c r="A654" t="s">
        <v>264</v>
      </c>
      <c r="B654">
        <v>1</v>
      </c>
      <c r="C654">
        <v>2013</v>
      </c>
      <c r="D654" s="1">
        <v>41639</v>
      </c>
      <c r="E654" s="2">
        <v>30930000000</v>
      </c>
      <c r="F654" s="2">
        <v>25202000000</v>
      </c>
      <c r="G654" s="2">
        <v>2039000000</v>
      </c>
      <c r="H654">
        <v>0</v>
      </c>
      <c r="I654">
        <v>0</v>
      </c>
      <c r="J654" t="s">
        <v>12</v>
      </c>
      <c r="K654" t="s">
        <v>87</v>
      </c>
      <c r="L654" s="37">
        <f t="shared" si="40"/>
        <v>0.18519236986744259</v>
      </c>
      <c r="M654" s="2">
        <f t="shared" si="41"/>
        <v>5728000000</v>
      </c>
      <c r="N654" s="37">
        <f t="shared" si="42"/>
        <v>0.11926931781441966</v>
      </c>
      <c r="O654" s="2">
        <f t="shared" si="43"/>
        <v>3689000000</v>
      </c>
    </row>
    <row r="655" spans="1:15" x14ac:dyDescent="0.3">
      <c r="A655" t="s">
        <v>264</v>
      </c>
      <c r="B655">
        <v>2</v>
      </c>
      <c r="C655">
        <v>2014</v>
      </c>
      <c r="D655" s="1">
        <v>42004</v>
      </c>
      <c r="E655" s="2">
        <v>30852000000</v>
      </c>
      <c r="F655" s="2">
        <v>24979000000</v>
      </c>
      <c r="G655" s="2">
        <v>1984000000</v>
      </c>
      <c r="H655">
        <v>0</v>
      </c>
      <c r="I655">
        <v>0</v>
      </c>
      <c r="J655" t="s">
        <v>12</v>
      </c>
      <c r="K655" t="s">
        <v>87</v>
      </c>
      <c r="L655" s="37">
        <f t="shared" si="40"/>
        <v>0.19036043044211071</v>
      </c>
      <c r="M655" s="2">
        <f t="shared" si="41"/>
        <v>5873000000</v>
      </c>
      <c r="N655" s="37">
        <f t="shared" si="42"/>
        <v>0.12605341631012576</v>
      </c>
      <c r="O655" s="2">
        <f t="shared" si="43"/>
        <v>3889000000</v>
      </c>
    </row>
    <row r="656" spans="1:15" x14ac:dyDescent="0.3">
      <c r="A656" t="s">
        <v>264</v>
      </c>
      <c r="B656">
        <v>3</v>
      </c>
      <c r="C656">
        <v>2015</v>
      </c>
      <c r="D656" s="1">
        <v>42369</v>
      </c>
      <c r="E656" s="2">
        <v>31469000000</v>
      </c>
      <c r="F656" s="2">
        <v>25339000000</v>
      </c>
      <c r="G656" s="2">
        <v>1952000000</v>
      </c>
      <c r="H656">
        <v>0</v>
      </c>
      <c r="I656">
        <v>0</v>
      </c>
      <c r="J656" t="s">
        <v>12</v>
      </c>
      <c r="K656" t="s">
        <v>87</v>
      </c>
      <c r="L656" s="37">
        <f t="shared" si="40"/>
        <v>0.19479487749849056</v>
      </c>
      <c r="M656" s="2">
        <f t="shared" si="41"/>
        <v>6130000000</v>
      </c>
      <c r="N656" s="37">
        <f t="shared" si="42"/>
        <v>0.13276557882360418</v>
      </c>
      <c r="O656" s="2">
        <f t="shared" si="43"/>
        <v>4178000000</v>
      </c>
    </row>
    <row r="657" spans="1:15" x14ac:dyDescent="0.3">
      <c r="A657" t="s">
        <v>264</v>
      </c>
      <c r="B657">
        <v>4</v>
      </c>
      <c r="C657">
        <v>2016</v>
      </c>
      <c r="D657" s="1">
        <v>42735</v>
      </c>
      <c r="E657" s="2">
        <v>31353000000</v>
      </c>
      <c r="F657" s="2">
        <v>25104000000</v>
      </c>
      <c r="G657" s="2">
        <v>1940000000</v>
      </c>
      <c r="H657">
        <v>0</v>
      </c>
      <c r="I657">
        <v>0</v>
      </c>
      <c r="J657" t="s">
        <v>12</v>
      </c>
      <c r="K657" t="s">
        <v>87</v>
      </c>
      <c r="L657" s="37">
        <f t="shared" si="40"/>
        <v>0.19931107071093679</v>
      </c>
      <c r="M657" s="2">
        <f t="shared" si="41"/>
        <v>6249000000</v>
      </c>
      <c r="N657" s="37">
        <f t="shared" si="42"/>
        <v>0.13743501419321916</v>
      </c>
      <c r="O657" s="2">
        <f t="shared" si="43"/>
        <v>4309000000</v>
      </c>
    </row>
    <row r="658" spans="1:15" x14ac:dyDescent="0.3">
      <c r="A658" t="s">
        <v>265</v>
      </c>
      <c r="B658">
        <v>1</v>
      </c>
      <c r="C658">
        <v>2012</v>
      </c>
      <c r="D658" s="1">
        <v>41274</v>
      </c>
      <c r="E658" s="2">
        <v>2426301000</v>
      </c>
      <c r="F658" s="2">
        <v>800336000</v>
      </c>
      <c r="G658" s="2">
        <v>72163000</v>
      </c>
      <c r="H658">
        <v>0</v>
      </c>
      <c r="I658" s="2">
        <v>768820000</v>
      </c>
      <c r="J658" t="s">
        <v>48</v>
      </c>
      <c r="K658" t="s">
        <v>261</v>
      </c>
      <c r="L658" s="37">
        <f t="shared" si="40"/>
        <v>0.67014150346556345</v>
      </c>
      <c r="M658" s="2">
        <f t="shared" si="41"/>
        <v>1625965000</v>
      </c>
      <c r="N658" s="37">
        <f t="shared" si="42"/>
        <v>0.32353034516327528</v>
      </c>
      <c r="O658" s="2">
        <f t="shared" si="43"/>
        <v>784982000</v>
      </c>
    </row>
    <row r="659" spans="1:15" x14ac:dyDescent="0.3">
      <c r="A659" t="s">
        <v>265</v>
      </c>
      <c r="B659">
        <v>2</v>
      </c>
      <c r="C659">
        <v>2013</v>
      </c>
      <c r="D659" s="1">
        <v>41639</v>
      </c>
      <c r="E659" s="2">
        <v>2486017000</v>
      </c>
      <c r="F659" s="2">
        <v>815095000</v>
      </c>
      <c r="G659" s="2">
        <v>76864000</v>
      </c>
      <c r="H659">
        <v>0</v>
      </c>
      <c r="I659" s="2">
        <v>749722000</v>
      </c>
      <c r="J659" t="s">
        <v>48</v>
      </c>
      <c r="K659" t="s">
        <v>261</v>
      </c>
      <c r="L659" s="37">
        <f t="shared" si="40"/>
        <v>0.67212814715265423</v>
      </c>
      <c r="M659" s="2">
        <f t="shared" si="41"/>
        <v>1670922000</v>
      </c>
      <c r="N659" s="37">
        <f t="shared" si="42"/>
        <v>0.33963404111878559</v>
      </c>
      <c r="O659" s="2">
        <f t="shared" si="43"/>
        <v>844336000</v>
      </c>
    </row>
    <row r="660" spans="1:15" x14ac:dyDescent="0.3">
      <c r="A660" t="s">
        <v>265</v>
      </c>
      <c r="B660">
        <v>3</v>
      </c>
      <c r="C660">
        <v>2014</v>
      </c>
      <c r="D660" s="1">
        <v>42004</v>
      </c>
      <c r="E660" s="2">
        <v>2535559000</v>
      </c>
      <c r="F660" s="2">
        <v>783602000</v>
      </c>
      <c r="G660" s="2">
        <v>88705000</v>
      </c>
      <c r="H660">
        <v>0</v>
      </c>
      <c r="I660" s="2">
        <v>708406000</v>
      </c>
      <c r="J660" t="s">
        <v>48</v>
      </c>
      <c r="K660" t="s">
        <v>261</v>
      </c>
      <c r="L660" s="37">
        <f t="shared" si="40"/>
        <v>0.69095493340916148</v>
      </c>
      <c r="M660" s="2">
        <f t="shared" si="41"/>
        <v>1751957000</v>
      </c>
      <c r="N660" s="37">
        <f t="shared" si="42"/>
        <v>0.37658204758792835</v>
      </c>
      <c r="O660" s="2">
        <f t="shared" si="43"/>
        <v>954846000</v>
      </c>
    </row>
    <row r="661" spans="1:15" x14ac:dyDescent="0.3">
      <c r="A661" t="s">
        <v>265</v>
      </c>
      <c r="B661">
        <v>4</v>
      </c>
      <c r="C661">
        <v>2015</v>
      </c>
      <c r="D661" s="1">
        <v>42369</v>
      </c>
      <c r="E661" s="2">
        <v>2403906000</v>
      </c>
      <c r="F661" s="2">
        <v>747276000</v>
      </c>
      <c r="G661" s="2">
        <v>72363000</v>
      </c>
      <c r="H661">
        <v>0</v>
      </c>
      <c r="I661" s="2">
        <v>643689000</v>
      </c>
      <c r="J661" t="s">
        <v>48</v>
      </c>
      <c r="K661" t="s">
        <v>261</v>
      </c>
      <c r="L661" s="37">
        <f t="shared" si="40"/>
        <v>0.68914092314757736</v>
      </c>
      <c r="M661" s="2">
        <f t="shared" si="41"/>
        <v>1656630000</v>
      </c>
      <c r="N661" s="37">
        <f t="shared" si="42"/>
        <v>0.3912707069244804</v>
      </c>
      <c r="O661" s="2">
        <f t="shared" si="43"/>
        <v>940578000</v>
      </c>
    </row>
    <row r="662" spans="1:15" x14ac:dyDescent="0.3">
      <c r="A662" t="s">
        <v>525</v>
      </c>
      <c r="B662">
        <v>1</v>
      </c>
      <c r="C662">
        <v>2012</v>
      </c>
      <c r="D662" s="1">
        <v>41274</v>
      </c>
      <c r="E662" s="2">
        <v>10515400000</v>
      </c>
      <c r="F662" s="2">
        <v>7172100000</v>
      </c>
      <c r="G662" s="2">
        <v>786800000</v>
      </c>
      <c r="H662">
        <v>0</v>
      </c>
      <c r="I662" s="2">
        <v>1161600000</v>
      </c>
      <c r="J662" t="s">
        <v>43</v>
      </c>
      <c r="K662" t="s">
        <v>375</v>
      </c>
      <c r="L662" s="37">
        <f t="shared" si="40"/>
        <v>0.31794320710576873</v>
      </c>
      <c r="M662" s="2">
        <f t="shared" si="41"/>
        <v>3343300000</v>
      </c>
      <c r="N662" s="37">
        <f t="shared" si="42"/>
        <v>0.1326530612244898</v>
      </c>
      <c r="O662" s="2">
        <f t="shared" si="43"/>
        <v>1394900000</v>
      </c>
    </row>
    <row r="663" spans="1:15" x14ac:dyDescent="0.3">
      <c r="A663" t="s">
        <v>525</v>
      </c>
      <c r="B663">
        <v>2</v>
      </c>
      <c r="C663">
        <v>2013</v>
      </c>
      <c r="D663" s="1">
        <v>41639</v>
      </c>
      <c r="E663" s="2">
        <v>10368600000</v>
      </c>
      <c r="F663" s="2">
        <v>7038400000</v>
      </c>
      <c r="G663" s="2">
        <v>790400000</v>
      </c>
      <c r="H663">
        <v>0</v>
      </c>
      <c r="I663" s="2">
        <v>1170400000</v>
      </c>
      <c r="J663" t="s">
        <v>43</v>
      </c>
      <c r="K663" t="s">
        <v>375</v>
      </c>
      <c r="L663" s="37">
        <f t="shared" si="40"/>
        <v>0.32118125880060955</v>
      </c>
      <c r="M663" s="2">
        <f t="shared" si="41"/>
        <v>3330200000</v>
      </c>
      <c r="N663" s="37">
        <f t="shared" si="42"/>
        <v>0.13207183226279343</v>
      </c>
      <c r="O663" s="2">
        <f t="shared" si="43"/>
        <v>1369400000</v>
      </c>
    </row>
    <row r="664" spans="1:15" x14ac:dyDescent="0.3">
      <c r="A664" t="s">
        <v>525</v>
      </c>
      <c r="B664">
        <v>3</v>
      </c>
      <c r="C664">
        <v>2014</v>
      </c>
      <c r="D664" s="1">
        <v>42004</v>
      </c>
      <c r="E664" s="2">
        <v>10524500000</v>
      </c>
      <c r="F664" s="2">
        <v>7722100000</v>
      </c>
      <c r="G664" s="2">
        <v>820900000</v>
      </c>
      <c r="H664">
        <v>0</v>
      </c>
      <c r="I664" s="2">
        <v>1272000000</v>
      </c>
      <c r="J664" t="s">
        <v>43</v>
      </c>
      <c r="K664" t="s">
        <v>375</v>
      </c>
      <c r="L664" s="37">
        <f t="shared" si="40"/>
        <v>0.26627393225331375</v>
      </c>
      <c r="M664" s="2">
        <f t="shared" si="41"/>
        <v>2802400000</v>
      </c>
      <c r="N664" s="37">
        <f t="shared" si="42"/>
        <v>6.7414128937241677E-2</v>
      </c>
      <c r="O664" s="2">
        <f t="shared" si="43"/>
        <v>709500000</v>
      </c>
    </row>
    <row r="665" spans="1:15" x14ac:dyDescent="0.3">
      <c r="A665" t="s">
        <v>525</v>
      </c>
      <c r="B665">
        <v>4</v>
      </c>
      <c r="C665">
        <v>2015</v>
      </c>
      <c r="D665" s="1">
        <v>42369</v>
      </c>
      <c r="E665" s="2">
        <v>10731300000</v>
      </c>
      <c r="F665" s="2">
        <v>7209400000</v>
      </c>
      <c r="G665" s="2">
        <v>835100000</v>
      </c>
      <c r="H665">
        <v>0</v>
      </c>
      <c r="I665" s="2">
        <v>1295700000</v>
      </c>
      <c r="J665" t="s">
        <v>43</v>
      </c>
      <c r="K665" t="s">
        <v>375</v>
      </c>
      <c r="L665" s="37">
        <f t="shared" si="40"/>
        <v>0.32818950173790684</v>
      </c>
      <c r="M665" s="2">
        <f t="shared" si="41"/>
        <v>3521900000</v>
      </c>
      <c r="N665" s="37">
        <f t="shared" si="42"/>
        <v>0.12963014732604625</v>
      </c>
      <c r="O665" s="2">
        <f t="shared" si="43"/>
        <v>1391100000</v>
      </c>
    </row>
    <row r="666" spans="1:15" x14ac:dyDescent="0.3">
      <c r="A666" t="s">
        <v>267</v>
      </c>
      <c r="B666">
        <v>1</v>
      </c>
      <c r="C666">
        <v>2013</v>
      </c>
      <c r="D666" s="1">
        <v>41420</v>
      </c>
      <c r="E666" s="2">
        <v>17774100000</v>
      </c>
      <c r="F666" s="2">
        <v>11350200000</v>
      </c>
      <c r="G666" s="2">
        <v>3552300000</v>
      </c>
      <c r="H666">
        <v>0</v>
      </c>
      <c r="I666">
        <v>0</v>
      </c>
      <c r="J666" t="s">
        <v>32</v>
      </c>
      <c r="K666" t="s">
        <v>120</v>
      </c>
      <c r="L666" s="37">
        <f t="shared" si="40"/>
        <v>0.36141914358532923</v>
      </c>
      <c r="M666" s="2">
        <f t="shared" si="41"/>
        <v>6423900000</v>
      </c>
      <c r="N666" s="37">
        <f t="shared" si="42"/>
        <v>0.16156092291592825</v>
      </c>
      <c r="O666" s="2">
        <f t="shared" si="43"/>
        <v>2871600000</v>
      </c>
    </row>
    <row r="667" spans="1:15" x14ac:dyDescent="0.3">
      <c r="A667" t="s">
        <v>267</v>
      </c>
      <c r="B667">
        <v>2</v>
      </c>
      <c r="C667">
        <v>2014</v>
      </c>
      <c r="D667" s="1">
        <v>41784</v>
      </c>
      <c r="E667" s="2">
        <v>17909600000</v>
      </c>
      <c r="F667" s="2">
        <v>11539800000</v>
      </c>
      <c r="G667" s="2">
        <v>3474300000</v>
      </c>
      <c r="H667">
        <v>0</v>
      </c>
      <c r="I667">
        <v>0</v>
      </c>
      <c r="J667" t="s">
        <v>32</v>
      </c>
      <c r="K667" t="s">
        <v>120</v>
      </c>
      <c r="L667" s="37">
        <f t="shared" si="40"/>
        <v>0.35566400142940102</v>
      </c>
      <c r="M667" s="2">
        <f t="shared" si="41"/>
        <v>6369800000</v>
      </c>
      <c r="N667" s="37">
        <f t="shared" si="42"/>
        <v>0.16167306919194174</v>
      </c>
      <c r="O667" s="2">
        <f t="shared" si="43"/>
        <v>2895500000</v>
      </c>
    </row>
    <row r="668" spans="1:15" x14ac:dyDescent="0.3">
      <c r="A668" t="s">
        <v>267</v>
      </c>
      <c r="B668">
        <v>3</v>
      </c>
      <c r="C668">
        <v>2015</v>
      </c>
      <c r="D668" s="1">
        <v>42155</v>
      </c>
      <c r="E668" s="2">
        <v>17630300000</v>
      </c>
      <c r="F668" s="2">
        <v>11681100000</v>
      </c>
      <c r="G668" s="2">
        <v>3328000000</v>
      </c>
      <c r="H668">
        <v>0</v>
      </c>
      <c r="I668">
        <v>0</v>
      </c>
      <c r="J668" t="s">
        <v>32</v>
      </c>
      <c r="K668" t="s">
        <v>120</v>
      </c>
      <c r="L668" s="37">
        <f t="shared" si="40"/>
        <v>0.33744179055376256</v>
      </c>
      <c r="M668" s="2">
        <f t="shared" si="41"/>
        <v>5949200000</v>
      </c>
      <c r="N668" s="37">
        <f t="shared" si="42"/>
        <v>0.14867585917426249</v>
      </c>
      <c r="O668" s="2">
        <f t="shared" si="43"/>
        <v>2621200000</v>
      </c>
    </row>
    <row r="669" spans="1:15" x14ac:dyDescent="0.3">
      <c r="A669" t="s">
        <v>267</v>
      </c>
      <c r="B669">
        <v>4</v>
      </c>
      <c r="C669">
        <v>2016</v>
      </c>
      <c r="D669" s="1">
        <v>42519</v>
      </c>
      <c r="E669" s="2">
        <v>16563100000</v>
      </c>
      <c r="F669" s="2">
        <v>10733600000</v>
      </c>
      <c r="G669" s="2">
        <v>3118900000</v>
      </c>
      <c r="H669">
        <v>0</v>
      </c>
      <c r="I669">
        <v>0</v>
      </c>
      <c r="J669" t="s">
        <v>32</v>
      </c>
      <c r="K669" t="s">
        <v>120</v>
      </c>
      <c r="L669" s="37">
        <f t="shared" si="40"/>
        <v>0.35195706117816106</v>
      </c>
      <c r="M669" s="2">
        <f t="shared" si="41"/>
        <v>5829500000</v>
      </c>
      <c r="N669" s="37">
        <f t="shared" si="42"/>
        <v>0.16365293936521544</v>
      </c>
      <c r="O669" s="2">
        <f t="shared" si="43"/>
        <v>2710600000</v>
      </c>
    </row>
    <row r="670" spans="1:15" x14ac:dyDescent="0.3">
      <c r="A670" t="s">
        <v>268</v>
      </c>
      <c r="B670">
        <v>1</v>
      </c>
      <c r="C670">
        <v>2013</v>
      </c>
      <c r="D670" s="1">
        <v>41639</v>
      </c>
      <c r="E670" s="2">
        <v>7819000000</v>
      </c>
      <c r="F670" s="2">
        <v>4495000000</v>
      </c>
      <c r="G670" s="2">
        <v>1126000000</v>
      </c>
      <c r="H670" s="2">
        <v>710000000</v>
      </c>
      <c r="I670" s="2">
        <v>31000000</v>
      </c>
      <c r="J670" t="s">
        <v>18</v>
      </c>
      <c r="K670" t="s">
        <v>85</v>
      </c>
      <c r="L670" s="37">
        <f t="shared" si="40"/>
        <v>0.42511830157309116</v>
      </c>
      <c r="M670" s="2">
        <f t="shared" si="41"/>
        <v>3324000000</v>
      </c>
      <c r="N670" s="37">
        <f t="shared" si="42"/>
        <v>0.18634096431768768</v>
      </c>
      <c r="O670" s="2">
        <f t="shared" si="43"/>
        <v>1457000000</v>
      </c>
    </row>
    <row r="671" spans="1:15" x14ac:dyDescent="0.3">
      <c r="A671" t="s">
        <v>268</v>
      </c>
      <c r="B671">
        <v>2</v>
      </c>
      <c r="C671">
        <v>2014</v>
      </c>
      <c r="D671" s="1">
        <v>42004</v>
      </c>
      <c r="E671" s="2">
        <v>9715000000</v>
      </c>
      <c r="F671" s="2">
        <v>5663000000</v>
      </c>
      <c r="G671" s="2">
        <v>1202000000</v>
      </c>
      <c r="H671" s="2">
        <v>815000000</v>
      </c>
      <c r="I671" s="2">
        <v>33000000</v>
      </c>
      <c r="J671" t="s">
        <v>18</v>
      </c>
      <c r="K671" t="s">
        <v>85</v>
      </c>
      <c r="L671" s="37">
        <f t="shared" si="40"/>
        <v>0.41708697889861035</v>
      </c>
      <c r="M671" s="2">
        <f t="shared" si="41"/>
        <v>4052000000</v>
      </c>
      <c r="N671" s="37">
        <f t="shared" si="42"/>
        <v>0.20607308286155429</v>
      </c>
      <c r="O671" s="2">
        <f t="shared" si="43"/>
        <v>2002000000</v>
      </c>
    </row>
    <row r="672" spans="1:15" x14ac:dyDescent="0.3">
      <c r="A672" t="s">
        <v>268</v>
      </c>
      <c r="B672">
        <v>3</v>
      </c>
      <c r="C672">
        <v>2015</v>
      </c>
      <c r="D672" s="1">
        <v>42369</v>
      </c>
      <c r="E672" s="2">
        <v>9111000000</v>
      </c>
      <c r="F672" s="2">
        <v>5458000000</v>
      </c>
      <c r="G672" s="2">
        <v>1508000000</v>
      </c>
      <c r="H672" s="2">
        <v>769000000</v>
      </c>
      <c r="I672" s="2">
        <v>54000000</v>
      </c>
      <c r="J672" t="s">
        <v>18</v>
      </c>
      <c r="K672" t="s">
        <v>85</v>
      </c>
      <c r="L672" s="37">
        <f t="shared" si="40"/>
        <v>0.40094391395017015</v>
      </c>
      <c r="M672" s="2">
        <f t="shared" si="41"/>
        <v>3653000000</v>
      </c>
      <c r="N672" s="37">
        <f t="shared" si="42"/>
        <v>0.14509933047963999</v>
      </c>
      <c r="O672" s="2">
        <f t="shared" si="43"/>
        <v>1322000000</v>
      </c>
    </row>
    <row r="673" spans="1:15" x14ac:dyDescent="0.3">
      <c r="A673" t="s">
        <v>268</v>
      </c>
      <c r="B673">
        <v>4</v>
      </c>
      <c r="C673">
        <v>2016</v>
      </c>
      <c r="D673" s="1">
        <v>42735</v>
      </c>
      <c r="E673" s="2">
        <v>9390000000</v>
      </c>
      <c r="F673" s="2">
        <v>5644000000</v>
      </c>
      <c r="G673" s="2">
        <v>1472000000</v>
      </c>
      <c r="H673" s="2">
        <v>742000000</v>
      </c>
      <c r="I673" s="2">
        <v>64000000</v>
      </c>
      <c r="J673" t="s">
        <v>18</v>
      </c>
      <c r="K673" t="s">
        <v>85</v>
      </c>
      <c r="L673" s="37">
        <f t="shared" si="40"/>
        <v>0.39893503727369539</v>
      </c>
      <c r="M673" s="2">
        <f t="shared" si="41"/>
        <v>3746000000</v>
      </c>
      <c r="N673" s="37">
        <f t="shared" si="42"/>
        <v>0.15633652822151226</v>
      </c>
      <c r="O673" s="2">
        <f t="shared" si="43"/>
        <v>1468000000</v>
      </c>
    </row>
    <row r="674" spans="1:15" x14ac:dyDescent="0.3">
      <c r="A674" t="s">
        <v>269</v>
      </c>
      <c r="B674">
        <v>1</v>
      </c>
      <c r="C674">
        <v>2013</v>
      </c>
      <c r="D674" s="1">
        <v>41639</v>
      </c>
      <c r="E674" s="2">
        <v>155427000000</v>
      </c>
      <c r="F674" s="2">
        <v>137373000000</v>
      </c>
      <c r="G674" s="2">
        <v>12382000000</v>
      </c>
      <c r="H674">
        <v>0</v>
      </c>
      <c r="I674">
        <v>0</v>
      </c>
      <c r="J674" t="s">
        <v>15</v>
      </c>
      <c r="K674" t="s">
        <v>241</v>
      </c>
      <c r="L674" s="37">
        <f t="shared" si="40"/>
        <v>0.11615742438572452</v>
      </c>
      <c r="M674" s="2">
        <f t="shared" si="41"/>
        <v>18054000000</v>
      </c>
      <c r="N674" s="37">
        <f t="shared" si="42"/>
        <v>3.6493016013948672E-2</v>
      </c>
      <c r="O674" s="2">
        <f t="shared" si="43"/>
        <v>5672000000</v>
      </c>
    </row>
    <row r="675" spans="1:15" x14ac:dyDescent="0.3">
      <c r="A675" t="s">
        <v>269</v>
      </c>
      <c r="B675">
        <v>2</v>
      </c>
      <c r="C675">
        <v>2014</v>
      </c>
      <c r="D675" s="1">
        <v>42004</v>
      </c>
      <c r="E675" s="2">
        <v>155929000000</v>
      </c>
      <c r="F675" s="2">
        <v>142121000000</v>
      </c>
      <c r="G675" s="2">
        <v>12158000000</v>
      </c>
      <c r="H675">
        <v>0</v>
      </c>
      <c r="I675">
        <v>0</v>
      </c>
      <c r="J675" t="s">
        <v>15</v>
      </c>
      <c r="K675" t="s">
        <v>241</v>
      </c>
      <c r="L675" s="37">
        <f t="shared" si="40"/>
        <v>8.8553123536994405E-2</v>
      </c>
      <c r="M675" s="2">
        <f t="shared" si="41"/>
        <v>13808000000</v>
      </c>
      <c r="N675" s="37">
        <f t="shared" si="42"/>
        <v>1.0581739124858108E-2</v>
      </c>
      <c r="O675" s="2">
        <f t="shared" si="43"/>
        <v>1650000000</v>
      </c>
    </row>
    <row r="676" spans="1:15" x14ac:dyDescent="0.3">
      <c r="A676" t="s">
        <v>269</v>
      </c>
      <c r="B676">
        <v>3</v>
      </c>
      <c r="C676">
        <v>2015</v>
      </c>
      <c r="D676" s="1">
        <v>42369</v>
      </c>
      <c r="E676" s="2">
        <v>152356000000</v>
      </c>
      <c r="F676" s="2">
        <v>134054000000</v>
      </c>
      <c r="G676" s="2">
        <v>13405000000</v>
      </c>
      <c r="H676">
        <v>0</v>
      </c>
      <c r="I676">
        <v>0</v>
      </c>
      <c r="J676" t="s">
        <v>15</v>
      </c>
      <c r="K676" t="s">
        <v>241</v>
      </c>
      <c r="L676" s="37">
        <f t="shared" si="40"/>
        <v>0.12012654572186199</v>
      </c>
      <c r="M676" s="2">
        <f t="shared" si="41"/>
        <v>18302000000</v>
      </c>
      <c r="N676" s="37">
        <f t="shared" si="42"/>
        <v>3.2141825723962299E-2</v>
      </c>
      <c r="O676" s="2">
        <f t="shared" si="43"/>
        <v>4897000000</v>
      </c>
    </row>
    <row r="677" spans="1:15" x14ac:dyDescent="0.3">
      <c r="A677" t="s">
        <v>269</v>
      </c>
      <c r="B677">
        <v>4</v>
      </c>
      <c r="C677">
        <v>2016</v>
      </c>
      <c r="D677" s="1">
        <v>42735</v>
      </c>
      <c r="E677" s="2">
        <v>166380000000</v>
      </c>
      <c r="F677" s="2">
        <v>145125000000</v>
      </c>
      <c r="G677" s="2">
        <v>11710000000</v>
      </c>
      <c r="H677">
        <v>0</v>
      </c>
      <c r="I677">
        <v>0</v>
      </c>
      <c r="J677" t="s">
        <v>15</v>
      </c>
      <c r="K677" t="s">
        <v>241</v>
      </c>
      <c r="L677" s="37">
        <f t="shared" si="40"/>
        <v>0.12774972953479991</v>
      </c>
      <c r="M677" s="2">
        <f t="shared" si="41"/>
        <v>21255000000</v>
      </c>
      <c r="N677" s="37">
        <f t="shared" si="42"/>
        <v>5.7368674119485513E-2</v>
      </c>
      <c r="O677" s="2">
        <f t="shared" si="43"/>
        <v>9545000000</v>
      </c>
    </row>
    <row r="678" spans="1:15" x14ac:dyDescent="0.3">
      <c r="A678" t="s">
        <v>270</v>
      </c>
      <c r="B678">
        <v>1</v>
      </c>
      <c r="C678">
        <v>2012</v>
      </c>
      <c r="D678" s="1">
        <v>41274</v>
      </c>
      <c r="E678" s="2">
        <v>13013868000</v>
      </c>
      <c r="F678" s="2">
        <v>9235777000</v>
      </c>
      <c r="G678" s="2">
        <v>2656530000</v>
      </c>
      <c r="H678">
        <v>0</v>
      </c>
      <c r="I678" s="2">
        <v>98383000</v>
      </c>
      <c r="J678" t="s">
        <v>15</v>
      </c>
      <c r="K678" t="s">
        <v>75</v>
      </c>
      <c r="L678" s="37">
        <f t="shared" si="40"/>
        <v>0.29031268797255361</v>
      </c>
      <c r="M678" s="2">
        <f t="shared" si="41"/>
        <v>3778091000</v>
      </c>
      <c r="N678" s="37">
        <f t="shared" si="42"/>
        <v>7.8622128332637153E-2</v>
      </c>
      <c r="O678" s="2">
        <f t="shared" si="43"/>
        <v>1023178000</v>
      </c>
    </row>
    <row r="679" spans="1:15" x14ac:dyDescent="0.3">
      <c r="A679" t="s">
        <v>270</v>
      </c>
      <c r="B679">
        <v>2</v>
      </c>
      <c r="C679">
        <v>2013</v>
      </c>
      <c r="D679" s="1">
        <v>41639</v>
      </c>
      <c r="E679" s="2">
        <v>14077843000</v>
      </c>
      <c r="F679" s="2">
        <v>9857923000</v>
      </c>
      <c r="G679" s="2">
        <v>3028028000</v>
      </c>
      <c r="H679">
        <v>0</v>
      </c>
      <c r="I679" s="2">
        <v>133957000</v>
      </c>
      <c r="J679" t="s">
        <v>15</v>
      </c>
      <c r="K679" t="s">
        <v>75</v>
      </c>
      <c r="L679" s="37">
        <f t="shared" si="40"/>
        <v>0.29975614872249956</v>
      </c>
      <c r="M679" s="2">
        <f t="shared" si="41"/>
        <v>4219920000</v>
      </c>
      <c r="N679" s="37">
        <f t="shared" si="42"/>
        <v>7.5148941496222116E-2</v>
      </c>
      <c r="O679" s="2">
        <f t="shared" si="43"/>
        <v>1057935000</v>
      </c>
    </row>
    <row r="680" spans="1:15" x14ac:dyDescent="0.3">
      <c r="A680" t="s">
        <v>270</v>
      </c>
      <c r="B680">
        <v>3</v>
      </c>
      <c r="C680">
        <v>2014</v>
      </c>
      <c r="D680" s="1">
        <v>42004</v>
      </c>
      <c r="E680" s="2">
        <v>15341647000</v>
      </c>
      <c r="F680" s="2">
        <v>10747886000</v>
      </c>
      <c r="G680" s="2">
        <v>3314030000</v>
      </c>
      <c r="H680">
        <v>0</v>
      </c>
      <c r="I680" s="2">
        <v>148313000</v>
      </c>
      <c r="J680" t="s">
        <v>15</v>
      </c>
      <c r="K680" t="s">
        <v>75</v>
      </c>
      <c r="L680" s="37">
        <f t="shared" si="40"/>
        <v>0.29943075864019031</v>
      </c>
      <c r="M680" s="2">
        <f t="shared" si="41"/>
        <v>4593761000</v>
      </c>
      <c r="N680" s="37">
        <f t="shared" si="42"/>
        <v>7.3748144511472588E-2</v>
      </c>
      <c r="O680" s="2">
        <f t="shared" si="43"/>
        <v>1131418000</v>
      </c>
    </row>
    <row r="681" spans="1:15" x14ac:dyDescent="0.3">
      <c r="A681" t="s">
        <v>270</v>
      </c>
      <c r="B681">
        <v>4</v>
      </c>
      <c r="C681">
        <v>2015</v>
      </c>
      <c r="D681" s="1">
        <v>42369</v>
      </c>
      <c r="E681" s="2">
        <v>15280044000</v>
      </c>
      <c r="F681" s="2">
        <v>10724192000</v>
      </c>
      <c r="G681" s="2">
        <v>3277390000</v>
      </c>
      <c r="H681">
        <v>0</v>
      </c>
      <c r="I681" s="2">
        <v>141675000</v>
      </c>
      <c r="J681" t="s">
        <v>15</v>
      </c>
      <c r="K681" t="s">
        <v>75</v>
      </c>
      <c r="L681" s="37">
        <f t="shared" si="40"/>
        <v>0.29815699483587876</v>
      </c>
      <c r="M681" s="2">
        <f t="shared" si="41"/>
        <v>4555852000</v>
      </c>
      <c r="N681" s="37">
        <f t="shared" si="42"/>
        <v>7.4396840742081638E-2</v>
      </c>
      <c r="O681" s="2">
        <f t="shared" si="43"/>
        <v>1136787000</v>
      </c>
    </row>
    <row r="682" spans="1:15" x14ac:dyDescent="0.3">
      <c r="A682" t="s">
        <v>271</v>
      </c>
      <c r="B682">
        <v>1</v>
      </c>
      <c r="C682">
        <v>2013</v>
      </c>
      <c r="D682" s="1">
        <v>41425</v>
      </c>
      <c r="E682" s="2">
        <v>2375923000</v>
      </c>
      <c r="F682" s="2">
        <v>862075000</v>
      </c>
      <c r="G682" s="2">
        <v>1156635000</v>
      </c>
      <c r="H682">
        <v>0</v>
      </c>
      <c r="I682">
        <v>0</v>
      </c>
      <c r="J682" t="s">
        <v>18</v>
      </c>
      <c r="K682" t="s">
        <v>35</v>
      </c>
      <c r="L682" s="37">
        <f t="shared" si="40"/>
        <v>0.63716206291197142</v>
      </c>
      <c r="M682" s="2">
        <f t="shared" si="41"/>
        <v>1513848000</v>
      </c>
      <c r="N682" s="37">
        <f t="shared" si="42"/>
        <v>0.15034704407508157</v>
      </c>
      <c r="O682" s="2">
        <f t="shared" si="43"/>
        <v>357213000</v>
      </c>
    </row>
    <row r="683" spans="1:15" x14ac:dyDescent="0.3">
      <c r="A683" t="s">
        <v>271</v>
      </c>
      <c r="B683">
        <v>2</v>
      </c>
      <c r="C683">
        <v>2014</v>
      </c>
      <c r="D683" s="1">
        <v>41790</v>
      </c>
      <c r="E683" s="2">
        <v>2554236000</v>
      </c>
      <c r="F683" s="2">
        <v>952225000</v>
      </c>
      <c r="G683" s="2">
        <v>1196512000</v>
      </c>
      <c r="H683">
        <v>0</v>
      </c>
      <c r="I683">
        <v>0</v>
      </c>
      <c r="J683" t="s">
        <v>18</v>
      </c>
      <c r="K683" t="s">
        <v>35</v>
      </c>
      <c r="L683" s="37">
        <f t="shared" si="40"/>
        <v>0.62719772174536725</v>
      </c>
      <c r="M683" s="2">
        <f t="shared" si="41"/>
        <v>1602011000</v>
      </c>
      <c r="N683" s="37">
        <f t="shared" si="42"/>
        <v>0.15875549479374654</v>
      </c>
      <c r="O683" s="2">
        <f t="shared" si="43"/>
        <v>405499000</v>
      </c>
    </row>
    <row r="684" spans="1:15" x14ac:dyDescent="0.3">
      <c r="A684" t="s">
        <v>271</v>
      </c>
      <c r="B684">
        <v>3</v>
      </c>
      <c r="C684">
        <v>2015</v>
      </c>
      <c r="D684" s="1">
        <v>42155</v>
      </c>
      <c r="E684" s="2">
        <v>2773718000</v>
      </c>
      <c r="F684" s="2">
        <v>1022107000</v>
      </c>
      <c r="G684" s="2">
        <v>1295014000</v>
      </c>
      <c r="H684">
        <v>0</v>
      </c>
      <c r="I684">
        <v>0</v>
      </c>
      <c r="J684" t="s">
        <v>18</v>
      </c>
      <c r="K684" t="s">
        <v>35</v>
      </c>
      <c r="L684" s="37">
        <f t="shared" si="40"/>
        <v>0.63150291413907256</v>
      </c>
      <c r="M684" s="2">
        <f t="shared" si="41"/>
        <v>1751611000</v>
      </c>
      <c r="N684" s="37">
        <f t="shared" si="42"/>
        <v>0.1646155088585069</v>
      </c>
      <c r="O684" s="2">
        <f t="shared" si="43"/>
        <v>456597000</v>
      </c>
    </row>
    <row r="685" spans="1:15" x14ac:dyDescent="0.3">
      <c r="A685" t="s">
        <v>271</v>
      </c>
      <c r="B685">
        <v>4</v>
      </c>
      <c r="C685">
        <v>2016</v>
      </c>
      <c r="D685" s="1">
        <v>42521</v>
      </c>
      <c r="E685" s="2">
        <v>2898150000</v>
      </c>
      <c r="F685" s="2">
        <v>1147639000</v>
      </c>
      <c r="G685" s="2">
        <v>1325567000</v>
      </c>
      <c r="H685">
        <v>0</v>
      </c>
      <c r="I685">
        <v>0</v>
      </c>
      <c r="J685" t="s">
        <v>18</v>
      </c>
      <c r="K685" t="s">
        <v>35</v>
      </c>
      <c r="L685" s="37">
        <f t="shared" si="40"/>
        <v>0.60400979935476085</v>
      </c>
      <c r="M685" s="2">
        <f t="shared" si="41"/>
        <v>1750511000</v>
      </c>
      <c r="N685" s="37">
        <f t="shared" si="42"/>
        <v>0.14662595103773096</v>
      </c>
      <c r="O685" s="2">
        <f t="shared" si="43"/>
        <v>424944000</v>
      </c>
    </row>
    <row r="686" spans="1:15" x14ac:dyDescent="0.3">
      <c r="A686" t="s">
        <v>272</v>
      </c>
      <c r="B686">
        <v>1</v>
      </c>
      <c r="C686">
        <v>2013</v>
      </c>
      <c r="D686" s="1">
        <v>41307</v>
      </c>
      <c r="E686" s="2">
        <v>15651000000</v>
      </c>
      <c r="F686" s="2">
        <v>9480000000</v>
      </c>
      <c r="G686">
        <v>0</v>
      </c>
      <c r="H686">
        <v>0</v>
      </c>
      <c r="I686">
        <v>0</v>
      </c>
      <c r="J686" t="s">
        <v>15</v>
      </c>
      <c r="K686" t="s">
        <v>253</v>
      </c>
      <c r="L686" s="37">
        <f t="shared" si="40"/>
        <v>0.3942879049262028</v>
      </c>
      <c r="M686" s="2">
        <f t="shared" si="41"/>
        <v>6171000000</v>
      </c>
      <c r="N686" s="37">
        <f t="shared" si="42"/>
        <v>0.3942879049262028</v>
      </c>
      <c r="O686" s="2">
        <f t="shared" si="43"/>
        <v>6171000000</v>
      </c>
    </row>
    <row r="687" spans="1:15" x14ac:dyDescent="0.3">
      <c r="A687" t="s">
        <v>272</v>
      </c>
      <c r="B687">
        <v>2</v>
      </c>
      <c r="C687">
        <v>2014</v>
      </c>
      <c r="D687" s="1">
        <v>41671</v>
      </c>
      <c r="E687" s="2">
        <v>16148000000</v>
      </c>
      <c r="F687" s="2">
        <v>9855000000</v>
      </c>
      <c r="G687">
        <v>0</v>
      </c>
      <c r="H687">
        <v>0</v>
      </c>
      <c r="I687">
        <v>0</v>
      </c>
      <c r="J687" t="s">
        <v>15</v>
      </c>
      <c r="K687" t="s">
        <v>253</v>
      </c>
      <c r="L687" s="37">
        <f t="shared" si="40"/>
        <v>0.38970770374040131</v>
      </c>
      <c r="M687" s="2">
        <f t="shared" si="41"/>
        <v>6293000000</v>
      </c>
      <c r="N687" s="37">
        <f t="shared" si="42"/>
        <v>0.38970770374040131</v>
      </c>
      <c r="O687" s="2">
        <f t="shared" si="43"/>
        <v>6293000000</v>
      </c>
    </row>
    <row r="688" spans="1:15" x14ac:dyDescent="0.3">
      <c r="A688" t="s">
        <v>272</v>
      </c>
      <c r="B688">
        <v>3</v>
      </c>
      <c r="C688">
        <v>2015</v>
      </c>
      <c r="D688" s="1">
        <v>42035</v>
      </c>
      <c r="E688" s="2">
        <v>16435000000</v>
      </c>
      <c r="F688" s="2">
        <v>10146000000</v>
      </c>
      <c r="G688">
        <v>0</v>
      </c>
      <c r="H688">
        <v>0</v>
      </c>
      <c r="I688">
        <v>0</v>
      </c>
      <c r="J688" t="s">
        <v>15</v>
      </c>
      <c r="K688" t="s">
        <v>253</v>
      </c>
      <c r="L688" s="37">
        <f t="shared" si="40"/>
        <v>0.38265895953757223</v>
      </c>
      <c r="M688" s="2">
        <f t="shared" si="41"/>
        <v>6289000000</v>
      </c>
      <c r="N688" s="37">
        <f t="shared" si="42"/>
        <v>0.38265895953757223</v>
      </c>
      <c r="O688" s="2">
        <f t="shared" si="43"/>
        <v>6289000000</v>
      </c>
    </row>
    <row r="689" spans="1:15" x14ac:dyDescent="0.3">
      <c r="A689" t="s">
        <v>272</v>
      </c>
      <c r="B689">
        <v>4</v>
      </c>
      <c r="C689">
        <v>2016</v>
      </c>
      <c r="D689" s="1">
        <v>42399</v>
      </c>
      <c r="E689" s="2">
        <v>15797000000</v>
      </c>
      <c r="F689" s="2">
        <v>10077000000</v>
      </c>
      <c r="G689">
        <v>0</v>
      </c>
      <c r="H689">
        <v>0</v>
      </c>
      <c r="I689">
        <v>0</v>
      </c>
      <c r="J689" t="s">
        <v>15</v>
      </c>
      <c r="K689" t="s">
        <v>253</v>
      </c>
      <c r="L689" s="37">
        <f t="shared" si="40"/>
        <v>0.36209406849401782</v>
      </c>
      <c r="M689" s="2">
        <f t="shared" si="41"/>
        <v>5720000000</v>
      </c>
      <c r="N689" s="37">
        <f t="shared" si="42"/>
        <v>0.36209406849401787</v>
      </c>
      <c r="O689" s="2">
        <f t="shared" si="43"/>
        <v>5720000000</v>
      </c>
    </row>
    <row r="690" spans="1:15" x14ac:dyDescent="0.3">
      <c r="A690" t="s">
        <v>273</v>
      </c>
      <c r="B690">
        <v>1</v>
      </c>
      <c r="C690">
        <v>2012</v>
      </c>
      <c r="D690" s="1">
        <v>41272</v>
      </c>
      <c r="E690" s="2">
        <v>2715675000</v>
      </c>
      <c r="F690" s="2">
        <v>1277195000</v>
      </c>
      <c r="G690" s="2">
        <v>508547000</v>
      </c>
      <c r="H690" s="2">
        <v>325773000</v>
      </c>
      <c r="I690">
        <v>0</v>
      </c>
      <c r="J690" t="s">
        <v>15</v>
      </c>
      <c r="K690" t="s">
        <v>274</v>
      </c>
      <c r="L690" s="37">
        <f t="shared" si="40"/>
        <v>0.52969519548546862</v>
      </c>
      <c r="M690" s="2">
        <f t="shared" si="41"/>
        <v>1438480000</v>
      </c>
      <c r="N690" s="37">
        <f t="shared" si="42"/>
        <v>0.2224713929317757</v>
      </c>
      <c r="O690" s="2">
        <f t="shared" si="43"/>
        <v>604160000</v>
      </c>
    </row>
    <row r="691" spans="1:15" x14ac:dyDescent="0.3">
      <c r="A691" t="s">
        <v>273</v>
      </c>
      <c r="B691">
        <v>2</v>
      </c>
      <c r="C691">
        <v>2013</v>
      </c>
      <c r="D691" s="1">
        <v>41636</v>
      </c>
      <c r="E691" s="2">
        <v>2631851000</v>
      </c>
      <c r="F691" s="2">
        <v>1224551000</v>
      </c>
      <c r="G691" s="2">
        <v>468345000</v>
      </c>
      <c r="H691" s="2">
        <v>364923000</v>
      </c>
      <c r="I691">
        <v>0</v>
      </c>
      <c r="J691" t="s">
        <v>15</v>
      </c>
      <c r="K691" t="s">
        <v>274</v>
      </c>
      <c r="L691" s="37">
        <f t="shared" si="40"/>
        <v>0.53471872077864591</v>
      </c>
      <c r="M691" s="2">
        <f t="shared" si="41"/>
        <v>1407300000</v>
      </c>
      <c r="N691" s="37">
        <f t="shared" si="42"/>
        <v>0.21810961182832919</v>
      </c>
      <c r="O691" s="2">
        <f t="shared" si="43"/>
        <v>574032000</v>
      </c>
    </row>
    <row r="692" spans="1:15" x14ac:dyDescent="0.3">
      <c r="A692" t="s">
        <v>273</v>
      </c>
      <c r="B692">
        <v>3</v>
      </c>
      <c r="C692">
        <v>2014</v>
      </c>
      <c r="D692" s="1">
        <v>42000</v>
      </c>
      <c r="E692" s="2">
        <v>2870658000</v>
      </c>
      <c r="F692" s="2">
        <v>1266246000</v>
      </c>
      <c r="G692" s="2">
        <v>518665000</v>
      </c>
      <c r="H692" s="2">
        <v>395121000</v>
      </c>
      <c r="I692">
        <v>0</v>
      </c>
      <c r="J692" t="s">
        <v>15</v>
      </c>
      <c r="K692" t="s">
        <v>274</v>
      </c>
      <c r="L692" s="37">
        <f t="shared" si="40"/>
        <v>0.55890043328045347</v>
      </c>
      <c r="M692" s="2">
        <f t="shared" si="41"/>
        <v>1604412000</v>
      </c>
      <c r="N692" s="37">
        <f t="shared" si="42"/>
        <v>0.24058107932049028</v>
      </c>
      <c r="O692" s="2">
        <f t="shared" si="43"/>
        <v>690626000</v>
      </c>
    </row>
    <row r="693" spans="1:15" x14ac:dyDescent="0.3">
      <c r="A693" t="s">
        <v>273</v>
      </c>
      <c r="B693">
        <v>4</v>
      </c>
      <c r="C693">
        <v>2015</v>
      </c>
      <c r="D693" s="1">
        <v>42364</v>
      </c>
      <c r="E693" s="2">
        <v>2820270000</v>
      </c>
      <c r="F693" s="2">
        <v>1281566000</v>
      </c>
      <c r="G693" s="2">
        <v>562080000</v>
      </c>
      <c r="H693" s="2">
        <v>427043000</v>
      </c>
      <c r="I693">
        <v>0</v>
      </c>
      <c r="J693" t="s">
        <v>15</v>
      </c>
      <c r="K693" t="s">
        <v>274</v>
      </c>
      <c r="L693" s="37">
        <f t="shared" si="40"/>
        <v>0.54558747921298312</v>
      </c>
      <c r="M693" s="2">
        <f t="shared" si="41"/>
        <v>1538704000</v>
      </c>
      <c r="N693" s="37">
        <f t="shared" si="42"/>
        <v>0.19486822183691632</v>
      </c>
      <c r="O693" s="2">
        <f t="shared" si="43"/>
        <v>549581000</v>
      </c>
    </row>
    <row r="694" spans="1:15" x14ac:dyDescent="0.3">
      <c r="A694" t="s">
        <v>275</v>
      </c>
      <c r="B694">
        <v>1</v>
      </c>
      <c r="C694">
        <v>2013</v>
      </c>
      <c r="D694" s="1">
        <v>41639</v>
      </c>
      <c r="E694" s="2">
        <v>19540000000</v>
      </c>
      <c r="F694" s="2">
        <v>15422000000</v>
      </c>
      <c r="G694" s="2">
        <v>2816000000</v>
      </c>
      <c r="H694">
        <v>0</v>
      </c>
      <c r="I694">
        <v>0</v>
      </c>
      <c r="J694" t="s">
        <v>15</v>
      </c>
      <c r="K694" t="s">
        <v>276</v>
      </c>
      <c r="L694" s="37">
        <f t="shared" si="40"/>
        <v>0.21074718526100311</v>
      </c>
      <c r="M694" s="2">
        <f t="shared" si="41"/>
        <v>4118000000</v>
      </c>
      <c r="N694" s="37">
        <f t="shared" si="42"/>
        <v>6.6632548618219031E-2</v>
      </c>
      <c r="O694" s="2">
        <f t="shared" si="43"/>
        <v>1302000000</v>
      </c>
    </row>
    <row r="695" spans="1:15" x14ac:dyDescent="0.3">
      <c r="A695" t="s">
        <v>275</v>
      </c>
      <c r="B695">
        <v>2</v>
      </c>
      <c r="C695">
        <v>2014</v>
      </c>
      <c r="D695" s="1">
        <v>42004</v>
      </c>
      <c r="E695" s="2">
        <v>18138000000</v>
      </c>
      <c r="F695" s="2">
        <v>13906000000</v>
      </c>
      <c r="G695" s="2">
        <v>2815000000</v>
      </c>
      <c r="H695">
        <v>0</v>
      </c>
      <c r="I695">
        <v>0</v>
      </c>
      <c r="J695" t="s">
        <v>15</v>
      </c>
      <c r="K695" t="s">
        <v>276</v>
      </c>
      <c r="L695" s="37">
        <f t="shared" si="40"/>
        <v>0.23332230675928989</v>
      </c>
      <c r="M695" s="2">
        <f t="shared" si="41"/>
        <v>4232000000</v>
      </c>
      <c r="N695" s="37">
        <f t="shared" si="42"/>
        <v>7.8123277097805713E-2</v>
      </c>
      <c r="O695" s="2">
        <f t="shared" si="43"/>
        <v>1417000000</v>
      </c>
    </row>
    <row r="696" spans="1:15" x14ac:dyDescent="0.3">
      <c r="A696" t="s">
        <v>275</v>
      </c>
      <c r="B696">
        <v>3</v>
      </c>
      <c r="C696">
        <v>2015</v>
      </c>
      <c r="D696" s="1">
        <v>42369</v>
      </c>
      <c r="E696" s="2">
        <v>16443000000</v>
      </c>
      <c r="F696" s="2">
        <v>12164000000</v>
      </c>
      <c r="G696" s="2">
        <v>2728000000</v>
      </c>
      <c r="H696">
        <v>0</v>
      </c>
      <c r="I696">
        <v>0</v>
      </c>
      <c r="J696" t="s">
        <v>15</v>
      </c>
      <c r="K696" t="s">
        <v>276</v>
      </c>
      <c r="L696" s="37">
        <f t="shared" si="40"/>
        <v>0.26023231770358202</v>
      </c>
      <c r="M696" s="2">
        <f t="shared" si="41"/>
        <v>4279000000</v>
      </c>
      <c r="N696" s="37">
        <f t="shared" si="42"/>
        <v>9.4325852946542596E-2</v>
      </c>
      <c r="O696" s="2">
        <f t="shared" si="43"/>
        <v>1551000000</v>
      </c>
    </row>
    <row r="697" spans="1:15" x14ac:dyDescent="0.3">
      <c r="A697" t="s">
        <v>275</v>
      </c>
      <c r="B697">
        <v>4</v>
      </c>
      <c r="C697">
        <v>2016</v>
      </c>
      <c r="D697" s="1">
        <v>42735</v>
      </c>
      <c r="E697" s="2">
        <v>15158000000</v>
      </c>
      <c r="F697" s="2">
        <v>10972000000</v>
      </c>
      <c r="G697" s="2">
        <v>2617000000</v>
      </c>
      <c r="H697">
        <v>0</v>
      </c>
      <c r="I697">
        <v>0</v>
      </c>
      <c r="J697" t="s">
        <v>15</v>
      </c>
      <c r="K697" t="s">
        <v>276</v>
      </c>
      <c r="L697" s="37">
        <f t="shared" si="40"/>
        <v>0.27615780445969129</v>
      </c>
      <c r="M697" s="2">
        <f t="shared" si="41"/>
        <v>4186000000</v>
      </c>
      <c r="N697" s="37">
        <f t="shared" si="42"/>
        <v>0.10350969784932049</v>
      </c>
      <c r="O697" s="2">
        <f t="shared" si="43"/>
        <v>1569000000</v>
      </c>
    </row>
    <row r="698" spans="1:15" x14ac:dyDescent="0.3">
      <c r="A698" t="s">
        <v>277</v>
      </c>
      <c r="B698">
        <v>1</v>
      </c>
      <c r="C698">
        <v>2012</v>
      </c>
      <c r="D698" s="1">
        <v>41274</v>
      </c>
      <c r="E698" s="2">
        <v>8950045000</v>
      </c>
      <c r="F698" s="2">
        <v>5033885000</v>
      </c>
      <c r="G698" s="2">
        <v>2785035000</v>
      </c>
      <c r="H698">
        <v>0</v>
      </c>
      <c r="I698">
        <v>0</v>
      </c>
      <c r="J698" t="s">
        <v>12</v>
      </c>
      <c r="K698" t="s">
        <v>278</v>
      </c>
      <c r="L698" s="37">
        <f t="shared" si="40"/>
        <v>0.43755757652615157</v>
      </c>
      <c r="M698" s="2">
        <f t="shared" si="41"/>
        <v>3916160000</v>
      </c>
      <c r="N698" s="37">
        <f t="shared" si="42"/>
        <v>0.12638204612379045</v>
      </c>
      <c r="O698" s="2">
        <f t="shared" si="43"/>
        <v>1131125000</v>
      </c>
    </row>
    <row r="699" spans="1:15" x14ac:dyDescent="0.3">
      <c r="A699" t="s">
        <v>277</v>
      </c>
      <c r="B699">
        <v>2</v>
      </c>
      <c r="C699">
        <v>2013</v>
      </c>
      <c r="D699" s="1">
        <v>41639</v>
      </c>
      <c r="E699" s="2">
        <v>9437758000</v>
      </c>
      <c r="F699" s="2">
        <v>5301275000</v>
      </c>
      <c r="G699" s="2">
        <v>2839629000</v>
      </c>
      <c r="H699">
        <v>0</v>
      </c>
      <c r="I699">
        <v>0</v>
      </c>
      <c r="J699" t="s">
        <v>12</v>
      </c>
      <c r="K699" t="s">
        <v>278</v>
      </c>
      <c r="L699" s="37">
        <f t="shared" si="40"/>
        <v>0.43829085255205735</v>
      </c>
      <c r="M699" s="2">
        <f t="shared" si="41"/>
        <v>4136483000</v>
      </c>
      <c r="N699" s="37">
        <f t="shared" si="42"/>
        <v>0.13741123686367038</v>
      </c>
      <c r="O699" s="2">
        <f t="shared" si="43"/>
        <v>1296854000</v>
      </c>
    </row>
    <row r="700" spans="1:15" x14ac:dyDescent="0.3">
      <c r="A700" t="s">
        <v>277</v>
      </c>
      <c r="B700">
        <v>3</v>
      </c>
      <c r="C700">
        <v>2014</v>
      </c>
      <c r="D700" s="1">
        <v>42004</v>
      </c>
      <c r="E700" s="2">
        <v>9964953000</v>
      </c>
      <c r="F700" s="2">
        <v>5650711000</v>
      </c>
      <c r="G700" s="2">
        <v>2967125000</v>
      </c>
      <c r="H700">
        <v>0</v>
      </c>
      <c r="I700">
        <v>0</v>
      </c>
      <c r="J700" t="s">
        <v>12</v>
      </c>
      <c r="K700" t="s">
        <v>278</v>
      </c>
      <c r="L700" s="37">
        <f t="shared" si="40"/>
        <v>0.43294153018082471</v>
      </c>
      <c r="M700" s="2">
        <f t="shared" si="41"/>
        <v>4314242000</v>
      </c>
      <c r="N700" s="37">
        <f t="shared" si="42"/>
        <v>0.13518548456776464</v>
      </c>
      <c r="O700" s="2">
        <f t="shared" si="43"/>
        <v>1347117000</v>
      </c>
    </row>
    <row r="701" spans="1:15" x14ac:dyDescent="0.3">
      <c r="A701" t="s">
        <v>277</v>
      </c>
      <c r="B701">
        <v>4</v>
      </c>
      <c r="C701">
        <v>2015</v>
      </c>
      <c r="D701" s="1">
        <v>42369</v>
      </c>
      <c r="E701" s="2">
        <v>9973384000</v>
      </c>
      <c r="F701" s="2">
        <v>5741956000</v>
      </c>
      <c r="G701" s="2">
        <v>2931108000</v>
      </c>
      <c r="H701">
        <v>0</v>
      </c>
      <c r="I701">
        <v>0</v>
      </c>
      <c r="J701" t="s">
        <v>12</v>
      </c>
      <c r="K701" t="s">
        <v>278</v>
      </c>
      <c r="L701" s="37">
        <f t="shared" si="40"/>
        <v>0.42427204246823347</v>
      </c>
      <c r="M701" s="2">
        <f t="shared" si="41"/>
        <v>4231428000</v>
      </c>
      <c r="N701" s="37">
        <f t="shared" si="42"/>
        <v>0.13037901679109118</v>
      </c>
      <c r="O701" s="2">
        <f t="shared" si="43"/>
        <v>1300320000</v>
      </c>
    </row>
    <row r="702" spans="1:15" x14ac:dyDescent="0.3">
      <c r="A702" t="s">
        <v>279</v>
      </c>
      <c r="B702">
        <v>1</v>
      </c>
      <c r="C702">
        <v>2013</v>
      </c>
      <c r="D702" s="1">
        <v>41639</v>
      </c>
      <c r="E702" s="2">
        <v>29402000000</v>
      </c>
      <c r="F702" s="2">
        <v>24931000000</v>
      </c>
      <c r="G702" s="2">
        <v>1333000000</v>
      </c>
      <c r="H702">
        <v>0</v>
      </c>
      <c r="I702">
        <v>0</v>
      </c>
      <c r="J702" t="s">
        <v>79</v>
      </c>
      <c r="K702" t="s">
        <v>110</v>
      </c>
      <c r="L702" s="37">
        <f t="shared" si="40"/>
        <v>0.15206448540915585</v>
      </c>
      <c r="M702" s="2">
        <f t="shared" si="41"/>
        <v>4471000000</v>
      </c>
      <c r="N702" s="37">
        <f t="shared" si="42"/>
        <v>0.10672743350792463</v>
      </c>
      <c r="O702" s="2">
        <f t="shared" si="43"/>
        <v>3138000000</v>
      </c>
    </row>
    <row r="703" spans="1:15" x14ac:dyDescent="0.3">
      <c r="A703" t="s">
        <v>279</v>
      </c>
      <c r="B703">
        <v>2</v>
      </c>
      <c r="C703">
        <v>2014</v>
      </c>
      <c r="D703" s="1">
        <v>42004</v>
      </c>
      <c r="E703" s="2">
        <v>32870000000</v>
      </c>
      <c r="F703" s="2">
        <v>27334000000</v>
      </c>
      <c r="G703" s="2">
        <v>293000000</v>
      </c>
      <c r="H703">
        <v>0</v>
      </c>
      <c r="I703">
        <v>0</v>
      </c>
      <c r="J703" t="s">
        <v>79</v>
      </c>
      <c r="K703" t="s">
        <v>110</v>
      </c>
      <c r="L703" s="37">
        <f t="shared" si="40"/>
        <v>0.16842105263157892</v>
      </c>
      <c r="M703" s="2">
        <f t="shared" si="41"/>
        <v>5536000000</v>
      </c>
      <c r="N703" s="37">
        <f t="shared" si="42"/>
        <v>0.15950714937633101</v>
      </c>
      <c r="O703" s="2">
        <f t="shared" si="43"/>
        <v>5243000000</v>
      </c>
    </row>
    <row r="704" spans="1:15" x14ac:dyDescent="0.3">
      <c r="A704" t="s">
        <v>279</v>
      </c>
      <c r="B704">
        <v>3</v>
      </c>
      <c r="C704">
        <v>2015</v>
      </c>
      <c r="D704" s="1">
        <v>42369</v>
      </c>
      <c r="E704" s="2">
        <v>23633000000</v>
      </c>
      <c r="F704" s="2">
        <v>21113000000</v>
      </c>
      <c r="G704" s="2">
        <v>200000000</v>
      </c>
      <c r="H704">
        <v>0</v>
      </c>
      <c r="I704">
        <v>0</v>
      </c>
      <c r="J704" t="s">
        <v>79</v>
      </c>
      <c r="K704" t="s">
        <v>110</v>
      </c>
      <c r="L704" s="37">
        <f t="shared" si="40"/>
        <v>0.10663055896416029</v>
      </c>
      <c r="M704" s="2">
        <f t="shared" si="41"/>
        <v>2520000000</v>
      </c>
      <c r="N704" s="37">
        <f t="shared" si="42"/>
        <v>9.8167816189226931E-2</v>
      </c>
      <c r="O704" s="2">
        <f t="shared" si="43"/>
        <v>2320000000</v>
      </c>
    </row>
    <row r="705" spans="1:15" x14ac:dyDescent="0.3">
      <c r="A705" t="s">
        <v>279</v>
      </c>
      <c r="B705">
        <v>4</v>
      </c>
      <c r="C705">
        <v>2016</v>
      </c>
      <c r="D705" s="1">
        <v>42735</v>
      </c>
      <c r="E705" s="2">
        <v>15887000000</v>
      </c>
      <c r="F705" s="2">
        <v>15023000000</v>
      </c>
      <c r="G705" s="2">
        <v>228000000</v>
      </c>
      <c r="H705">
        <v>0</v>
      </c>
      <c r="I705">
        <v>0</v>
      </c>
      <c r="J705" t="s">
        <v>79</v>
      </c>
      <c r="K705" t="s">
        <v>110</v>
      </c>
      <c r="L705" s="37">
        <f t="shared" si="40"/>
        <v>5.4384087618807864E-2</v>
      </c>
      <c r="M705" s="2">
        <f t="shared" si="41"/>
        <v>864000000</v>
      </c>
      <c r="N705" s="37">
        <f t="shared" si="42"/>
        <v>4.0032731163844655E-2</v>
      </c>
      <c r="O705" s="2">
        <f t="shared" si="43"/>
        <v>636000000</v>
      </c>
    </row>
    <row r="706" spans="1:15" x14ac:dyDescent="0.3">
      <c r="A706" t="s">
        <v>280</v>
      </c>
      <c r="B706">
        <v>1</v>
      </c>
      <c r="C706">
        <v>2013</v>
      </c>
      <c r="D706" s="1">
        <v>41455</v>
      </c>
      <c r="E706" s="2">
        <v>4297842000</v>
      </c>
      <c r="F706" s="2">
        <v>3193722000</v>
      </c>
      <c r="G706" s="2">
        <v>902869000</v>
      </c>
      <c r="H706">
        <v>0</v>
      </c>
      <c r="I706">
        <v>0</v>
      </c>
      <c r="J706" t="s">
        <v>15</v>
      </c>
      <c r="K706" t="s">
        <v>274</v>
      </c>
      <c r="L706" s="37">
        <f t="shared" ref="L706:L769" si="44">1-(F706/E706)</f>
        <v>0.25690102148938931</v>
      </c>
      <c r="M706" s="2">
        <f t="shared" ref="M706:M769" si="45">E706-F706</f>
        <v>1104120000</v>
      </c>
      <c r="N706" s="37">
        <f t="shared" ref="N706:N769" si="46">O706/E706</f>
        <v>4.682605828692632E-2</v>
      </c>
      <c r="O706" s="2">
        <f t="shared" ref="O706:O769" si="47">M706-SUM(G706:I706)</f>
        <v>201251000</v>
      </c>
    </row>
    <row r="707" spans="1:15" x14ac:dyDescent="0.3">
      <c r="A707" t="s">
        <v>280</v>
      </c>
      <c r="B707">
        <v>2</v>
      </c>
      <c r="C707">
        <v>2014</v>
      </c>
      <c r="D707" s="1">
        <v>41820</v>
      </c>
      <c r="E707" s="2">
        <v>5348483000</v>
      </c>
      <c r="F707" s="2">
        <v>3891816000</v>
      </c>
      <c r="G707" s="2">
        <v>1126940000</v>
      </c>
      <c r="H707">
        <v>0</v>
      </c>
      <c r="I707">
        <v>0</v>
      </c>
      <c r="J707" t="s">
        <v>15</v>
      </c>
      <c r="K707" t="s">
        <v>274</v>
      </c>
      <c r="L707" s="37">
        <f t="shared" si="44"/>
        <v>0.27235143123760508</v>
      </c>
      <c r="M707" s="2">
        <f t="shared" si="45"/>
        <v>1456667000</v>
      </c>
      <c r="N707" s="37">
        <f t="shared" si="46"/>
        <v>6.1648695527311205E-2</v>
      </c>
      <c r="O707" s="2">
        <f t="shared" si="47"/>
        <v>329727000</v>
      </c>
    </row>
    <row r="708" spans="1:15" x14ac:dyDescent="0.3">
      <c r="A708" t="s">
        <v>280</v>
      </c>
      <c r="B708">
        <v>3</v>
      </c>
      <c r="C708">
        <v>2015</v>
      </c>
      <c r="D708" s="1">
        <v>42185</v>
      </c>
      <c r="E708" s="2">
        <v>6155297000</v>
      </c>
      <c r="F708" s="2">
        <v>4338193000</v>
      </c>
      <c r="G708" s="2">
        <v>1347510000</v>
      </c>
      <c r="H708">
        <v>0</v>
      </c>
      <c r="I708">
        <v>0</v>
      </c>
      <c r="J708" t="s">
        <v>15</v>
      </c>
      <c r="K708" t="s">
        <v>274</v>
      </c>
      <c r="L708" s="37">
        <f t="shared" si="44"/>
        <v>0.29520980059938617</v>
      </c>
      <c r="M708" s="2">
        <f t="shared" si="45"/>
        <v>1817104000</v>
      </c>
      <c r="N708" s="37">
        <f t="shared" si="46"/>
        <v>7.6291038434051189E-2</v>
      </c>
      <c r="O708" s="2">
        <f t="shared" si="47"/>
        <v>469594000</v>
      </c>
    </row>
    <row r="709" spans="1:15" x14ac:dyDescent="0.3">
      <c r="A709" t="s">
        <v>280</v>
      </c>
      <c r="B709">
        <v>4</v>
      </c>
      <c r="C709">
        <v>2016</v>
      </c>
      <c r="D709" s="1">
        <v>42551</v>
      </c>
      <c r="E709" s="2">
        <v>6911676000</v>
      </c>
      <c r="F709" s="2">
        <v>4818585000</v>
      </c>
      <c r="G709" s="2">
        <v>1513064000</v>
      </c>
      <c r="H709">
        <v>0</v>
      </c>
      <c r="I709">
        <v>0</v>
      </c>
      <c r="J709" t="s">
        <v>15</v>
      </c>
      <c r="K709" t="s">
        <v>274</v>
      </c>
      <c r="L709" s="37">
        <f t="shared" si="44"/>
        <v>0.3028340738194325</v>
      </c>
      <c r="M709" s="2">
        <f t="shared" si="45"/>
        <v>2093091000</v>
      </c>
      <c r="N709" s="37">
        <f t="shared" si="46"/>
        <v>8.3919877031272877E-2</v>
      </c>
      <c r="O709" s="2">
        <f t="shared" si="47"/>
        <v>580027000</v>
      </c>
    </row>
    <row r="710" spans="1:15" x14ac:dyDescent="0.3">
      <c r="A710" t="s">
        <v>281</v>
      </c>
      <c r="B710">
        <v>1</v>
      </c>
      <c r="C710">
        <v>2012</v>
      </c>
      <c r="D710" s="1">
        <v>41274</v>
      </c>
      <c r="E710" s="2">
        <v>4088983000</v>
      </c>
      <c r="F710" s="2">
        <v>1671980000</v>
      </c>
      <c r="G710" s="2">
        <v>1269586000</v>
      </c>
      <c r="H710" s="2">
        <v>201197000</v>
      </c>
      <c r="I710" s="2">
        <v>92369000</v>
      </c>
      <c r="J710" t="s">
        <v>15</v>
      </c>
      <c r="K710" t="s">
        <v>282</v>
      </c>
      <c r="L710" s="37">
        <f t="shared" si="44"/>
        <v>0.59110125916395351</v>
      </c>
      <c r="M710" s="2">
        <f t="shared" si="45"/>
        <v>2417003000</v>
      </c>
      <c r="N710" s="37">
        <f t="shared" si="46"/>
        <v>0.20881744922881801</v>
      </c>
      <c r="O710" s="2">
        <f t="shared" si="47"/>
        <v>853851000</v>
      </c>
    </row>
    <row r="711" spans="1:15" x14ac:dyDescent="0.3">
      <c r="A711" t="s">
        <v>281</v>
      </c>
      <c r="B711">
        <v>2</v>
      </c>
      <c r="C711">
        <v>2013</v>
      </c>
      <c r="D711" s="1">
        <v>41637</v>
      </c>
      <c r="E711" s="2">
        <v>4082157000</v>
      </c>
      <c r="F711" s="2">
        <v>1672901000</v>
      </c>
      <c r="G711" s="2">
        <v>1269777000</v>
      </c>
      <c r="H711" s="2">
        <v>207591000</v>
      </c>
      <c r="I711" s="2">
        <v>125876000</v>
      </c>
      <c r="J711" t="s">
        <v>15</v>
      </c>
      <c r="K711" t="s">
        <v>282</v>
      </c>
      <c r="L711" s="37">
        <f t="shared" si="44"/>
        <v>0.59019190099743835</v>
      </c>
      <c r="M711" s="2">
        <f t="shared" si="45"/>
        <v>2409256000</v>
      </c>
      <c r="N711" s="37">
        <f t="shared" si="46"/>
        <v>0.19744757489729081</v>
      </c>
      <c r="O711" s="2">
        <f t="shared" si="47"/>
        <v>806012000</v>
      </c>
    </row>
    <row r="712" spans="1:15" x14ac:dyDescent="0.3">
      <c r="A712" t="s">
        <v>281</v>
      </c>
      <c r="B712">
        <v>3</v>
      </c>
      <c r="C712">
        <v>2014</v>
      </c>
      <c r="D712" s="1">
        <v>42001</v>
      </c>
      <c r="E712" s="2">
        <v>4277207000</v>
      </c>
      <c r="F712" s="2">
        <v>1698372000</v>
      </c>
      <c r="G712" s="2">
        <v>1315793000</v>
      </c>
      <c r="H712" s="2">
        <v>222556000</v>
      </c>
      <c r="I712" s="2">
        <v>99794000</v>
      </c>
      <c r="J712" t="s">
        <v>15</v>
      </c>
      <c r="K712" t="s">
        <v>282</v>
      </c>
      <c r="L712" s="37">
        <f t="shared" si="44"/>
        <v>0.60292499287502332</v>
      </c>
      <c r="M712" s="2">
        <f t="shared" si="45"/>
        <v>2578835000</v>
      </c>
      <c r="N712" s="37">
        <f t="shared" si="46"/>
        <v>0.21993137110268454</v>
      </c>
      <c r="O712" s="2">
        <f t="shared" si="47"/>
        <v>940692000</v>
      </c>
    </row>
    <row r="713" spans="1:15" x14ac:dyDescent="0.3">
      <c r="A713" t="s">
        <v>281</v>
      </c>
      <c r="B713">
        <v>4</v>
      </c>
      <c r="C713">
        <v>2015</v>
      </c>
      <c r="D713" s="1">
        <v>42365</v>
      </c>
      <c r="E713" s="2">
        <v>4447509000</v>
      </c>
      <c r="F713" s="2">
        <v>1677033000</v>
      </c>
      <c r="G713" s="2">
        <v>1370183000</v>
      </c>
      <c r="H713" s="2">
        <v>242944000</v>
      </c>
      <c r="I713" s="2">
        <v>86171000</v>
      </c>
      <c r="J713" t="s">
        <v>15</v>
      </c>
      <c r="K713" t="s">
        <v>282</v>
      </c>
      <c r="L713" s="37">
        <f t="shared" si="44"/>
        <v>0.62292757586325287</v>
      </c>
      <c r="M713" s="2">
        <f t="shared" si="45"/>
        <v>2770476000</v>
      </c>
      <c r="N713" s="37">
        <f t="shared" si="46"/>
        <v>0.24084897860802529</v>
      </c>
      <c r="O713" s="2">
        <f t="shared" si="47"/>
        <v>1071178000</v>
      </c>
    </row>
    <row r="714" spans="1:15" x14ac:dyDescent="0.3">
      <c r="A714" t="s">
        <v>529</v>
      </c>
      <c r="B714">
        <v>1</v>
      </c>
      <c r="C714">
        <v>2013</v>
      </c>
      <c r="D714" s="1">
        <v>41486</v>
      </c>
      <c r="E714" s="2">
        <v>2436948000</v>
      </c>
      <c r="F714" s="2">
        <v>1589821000</v>
      </c>
      <c r="G714" s="2">
        <v>441168000</v>
      </c>
      <c r="H714" s="2">
        <v>62630000</v>
      </c>
      <c r="I714">
        <v>0</v>
      </c>
      <c r="J714" t="s">
        <v>43</v>
      </c>
      <c r="K714" t="s">
        <v>101</v>
      </c>
      <c r="L714" s="37">
        <f t="shared" si="44"/>
        <v>0.34761800415930089</v>
      </c>
      <c r="M714" s="2">
        <f t="shared" si="45"/>
        <v>847127000</v>
      </c>
      <c r="N714" s="37">
        <f t="shared" si="46"/>
        <v>0.14088482807183411</v>
      </c>
      <c r="O714" s="2">
        <f t="shared" si="47"/>
        <v>343329000</v>
      </c>
    </row>
    <row r="715" spans="1:15" x14ac:dyDescent="0.3">
      <c r="A715" t="s">
        <v>529</v>
      </c>
      <c r="B715">
        <v>2</v>
      </c>
      <c r="C715">
        <v>2014</v>
      </c>
      <c r="D715" s="1">
        <v>41851</v>
      </c>
      <c r="E715" s="2">
        <v>2473500000</v>
      </c>
      <c r="F715" s="2">
        <v>1595700000</v>
      </c>
      <c r="G715" s="2">
        <v>460300000</v>
      </c>
      <c r="H715" s="2">
        <v>61800000</v>
      </c>
      <c r="I715">
        <v>0</v>
      </c>
      <c r="J715" t="s">
        <v>43</v>
      </c>
      <c r="K715" t="s">
        <v>101</v>
      </c>
      <c r="L715" s="37">
        <f t="shared" si="44"/>
        <v>0.35488174651303817</v>
      </c>
      <c r="M715" s="2">
        <f t="shared" si="45"/>
        <v>877800000</v>
      </c>
      <c r="N715" s="37">
        <f t="shared" si="46"/>
        <v>0.14380432585405295</v>
      </c>
      <c r="O715" s="2">
        <f t="shared" si="47"/>
        <v>355700000</v>
      </c>
    </row>
    <row r="716" spans="1:15" x14ac:dyDescent="0.3">
      <c r="A716" t="s">
        <v>529</v>
      </c>
      <c r="B716">
        <v>3</v>
      </c>
      <c r="C716">
        <v>2015</v>
      </c>
      <c r="D716" s="1">
        <v>42216</v>
      </c>
      <c r="E716" s="2">
        <v>2371200000</v>
      </c>
      <c r="F716" s="2">
        <v>1562600000</v>
      </c>
      <c r="G716" s="2">
        <v>460100000</v>
      </c>
      <c r="H716" s="2">
        <v>60200000</v>
      </c>
      <c r="I716">
        <v>0</v>
      </c>
      <c r="J716" t="s">
        <v>43</v>
      </c>
      <c r="K716" t="s">
        <v>101</v>
      </c>
      <c r="L716" s="37">
        <f t="shared" si="44"/>
        <v>0.34100877192982459</v>
      </c>
      <c r="M716" s="2">
        <f t="shared" si="45"/>
        <v>808600000</v>
      </c>
      <c r="N716" s="37">
        <f t="shared" si="46"/>
        <v>0.12158400809716599</v>
      </c>
      <c r="O716" s="2">
        <f t="shared" si="47"/>
        <v>288300000</v>
      </c>
    </row>
    <row r="717" spans="1:15" x14ac:dyDescent="0.3">
      <c r="A717" t="s">
        <v>529</v>
      </c>
      <c r="B717">
        <v>4</v>
      </c>
      <c r="C717">
        <v>2016</v>
      </c>
      <c r="D717" s="1">
        <v>42582</v>
      </c>
      <c r="E717" s="2">
        <v>2220300000</v>
      </c>
      <c r="F717" s="2">
        <v>1465500000</v>
      </c>
      <c r="G717" s="2">
        <v>425100000</v>
      </c>
      <c r="H717" s="2">
        <v>55500000</v>
      </c>
      <c r="I717">
        <v>0</v>
      </c>
      <c r="J717" t="s">
        <v>43</v>
      </c>
      <c r="K717" t="s">
        <v>101</v>
      </c>
      <c r="L717" s="37">
        <f t="shared" si="44"/>
        <v>0.33995406026212671</v>
      </c>
      <c r="M717" s="2">
        <f t="shared" si="45"/>
        <v>754800000</v>
      </c>
      <c r="N717" s="37">
        <f t="shared" si="46"/>
        <v>0.1234968247534117</v>
      </c>
      <c r="O717" s="2">
        <f t="shared" si="47"/>
        <v>274200000</v>
      </c>
    </row>
    <row r="718" spans="1:15" x14ac:dyDescent="0.3">
      <c r="A718" t="s">
        <v>284</v>
      </c>
      <c r="B718">
        <v>1</v>
      </c>
      <c r="C718">
        <v>2013</v>
      </c>
      <c r="D718" s="1">
        <v>41636</v>
      </c>
      <c r="E718" s="2">
        <v>4627802000</v>
      </c>
      <c r="F718" s="2">
        <v>3016109000</v>
      </c>
      <c r="G718" s="2">
        <v>1096507000</v>
      </c>
      <c r="H718">
        <v>0</v>
      </c>
      <c r="I718">
        <v>0</v>
      </c>
      <c r="J718" t="s">
        <v>15</v>
      </c>
      <c r="K718" t="s">
        <v>285</v>
      </c>
      <c r="L718" s="37">
        <f t="shared" si="44"/>
        <v>0.34826317115555072</v>
      </c>
      <c r="M718" s="2">
        <f t="shared" si="45"/>
        <v>1611693000</v>
      </c>
      <c r="N718" s="37">
        <f t="shared" si="46"/>
        <v>0.11132412320146799</v>
      </c>
      <c r="O718" s="2">
        <f t="shared" si="47"/>
        <v>515186000</v>
      </c>
    </row>
    <row r="719" spans="1:15" x14ac:dyDescent="0.3">
      <c r="A719" t="s">
        <v>284</v>
      </c>
      <c r="B719">
        <v>2</v>
      </c>
      <c r="C719">
        <v>2015</v>
      </c>
      <c r="D719" s="1">
        <v>42007</v>
      </c>
      <c r="E719" s="2">
        <v>5324746000</v>
      </c>
      <c r="F719" s="2">
        <v>3420339000</v>
      </c>
      <c r="G719" s="2">
        <v>1340453000</v>
      </c>
      <c r="H719">
        <v>0</v>
      </c>
      <c r="I719">
        <v>0</v>
      </c>
      <c r="J719" t="s">
        <v>15</v>
      </c>
      <c r="K719" t="s">
        <v>285</v>
      </c>
      <c r="L719" s="37">
        <f t="shared" si="44"/>
        <v>0.35765217721183318</v>
      </c>
      <c r="M719" s="2">
        <f t="shared" si="45"/>
        <v>1904407000</v>
      </c>
      <c r="N719" s="37">
        <f t="shared" si="46"/>
        <v>0.10591190640830567</v>
      </c>
      <c r="O719" s="2">
        <f t="shared" si="47"/>
        <v>563954000</v>
      </c>
    </row>
    <row r="720" spans="1:15" x14ac:dyDescent="0.3">
      <c r="A720" t="s">
        <v>284</v>
      </c>
      <c r="B720">
        <v>3</v>
      </c>
      <c r="C720">
        <v>2016</v>
      </c>
      <c r="D720" s="1">
        <v>42371</v>
      </c>
      <c r="E720" s="2">
        <v>5731549000</v>
      </c>
      <c r="F720" s="2">
        <v>3595217000</v>
      </c>
      <c r="G720" s="2">
        <v>1541214000</v>
      </c>
      <c r="H720">
        <v>0</v>
      </c>
      <c r="I720">
        <v>0</v>
      </c>
      <c r="J720" t="s">
        <v>15</v>
      </c>
      <c r="K720" t="s">
        <v>285</v>
      </c>
      <c r="L720" s="37">
        <f t="shared" si="44"/>
        <v>0.37273204852649777</v>
      </c>
      <c r="M720" s="2">
        <f t="shared" si="45"/>
        <v>2136332000</v>
      </c>
      <c r="N720" s="37">
        <f t="shared" si="46"/>
        <v>0.10383196584378848</v>
      </c>
      <c r="O720" s="2">
        <f t="shared" si="47"/>
        <v>595118000</v>
      </c>
    </row>
    <row r="721" spans="1:15" x14ac:dyDescent="0.3">
      <c r="A721" t="s">
        <v>284</v>
      </c>
      <c r="B721">
        <v>4</v>
      </c>
      <c r="C721">
        <v>2016</v>
      </c>
      <c r="D721" s="1">
        <v>42735</v>
      </c>
      <c r="E721" s="2">
        <v>6028199000</v>
      </c>
      <c r="F721" s="2">
        <v>3752151000</v>
      </c>
      <c r="G721" s="2">
        <v>1500399000</v>
      </c>
      <c r="H721">
        <v>0</v>
      </c>
      <c r="I721">
        <v>0</v>
      </c>
      <c r="J721" t="s">
        <v>15</v>
      </c>
      <c r="K721" t="s">
        <v>285</v>
      </c>
      <c r="L721" s="37">
        <f t="shared" si="44"/>
        <v>0.3775668321500335</v>
      </c>
      <c r="M721" s="2">
        <f t="shared" si="45"/>
        <v>2276048000</v>
      </c>
      <c r="N721" s="37">
        <f t="shared" si="46"/>
        <v>0.12867010528351835</v>
      </c>
      <c r="O721" s="2">
        <f t="shared" si="47"/>
        <v>775649000</v>
      </c>
    </row>
    <row r="722" spans="1:15" x14ac:dyDescent="0.3">
      <c r="A722" t="s">
        <v>546</v>
      </c>
      <c r="B722">
        <v>1</v>
      </c>
      <c r="C722">
        <v>2012</v>
      </c>
      <c r="D722" s="1">
        <v>41274</v>
      </c>
      <c r="E722" s="2">
        <v>91247000000</v>
      </c>
      <c r="F722" s="2">
        <v>1727000000</v>
      </c>
      <c r="G722" s="2">
        <v>48724000000</v>
      </c>
      <c r="H722">
        <v>0</v>
      </c>
      <c r="I722" s="2">
        <v>8891000000</v>
      </c>
      <c r="J722" t="s">
        <v>43</v>
      </c>
      <c r="K722" t="s">
        <v>101</v>
      </c>
      <c r="L722" s="37">
        <f t="shared" si="44"/>
        <v>0.98107335035672405</v>
      </c>
      <c r="M722" s="2">
        <f t="shared" si="45"/>
        <v>89520000000</v>
      </c>
      <c r="N722" s="37">
        <f t="shared" si="46"/>
        <v>0.3496553311341743</v>
      </c>
      <c r="O722" s="2">
        <f t="shared" si="47"/>
        <v>31905000000</v>
      </c>
    </row>
    <row r="723" spans="1:15" x14ac:dyDescent="0.3">
      <c r="A723" t="s">
        <v>546</v>
      </c>
      <c r="B723">
        <v>2</v>
      </c>
      <c r="C723">
        <v>2013</v>
      </c>
      <c r="D723" s="1">
        <v>41639</v>
      </c>
      <c r="E723" s="2">
        <v>88069000000</v>
      </c>
      <c r="F723" s="2">
        <v>1337000000</v>
      </c>
      <c r="G723" s="2">
        <v>47338000000</v>
      </c>
      <c r="H723">
        <v>0</v>
      </c>
      <c r="I723" s="2">
        <v>3813000000</v>
      </c>
      <c r="J723" t="s">
        <v>43</v>
      </c>
      <c r="K723" t="s">
        <v>101</v>
      </c>
      <c r="L723" s="37">
        <f t="shared" si="44"/>
        <v>0.98481872168413398</v>
      </c>
      <c r="M723" s="2">
        <f t="shared" si="45"/>
        <v>86732000000</v>
      </c>
      <c r="N723" s="37">
        <f t="shared" si="46"/>
        <v>0.40401276272013992</v>
      </c>
      <c r="O723" s="2">
        <f t="shared" si="47"/>
        <v>35581000000</v>
      </c>
    </row>
    <row r="724" spans="1:15" x14ac:dyDescent="0.3">
      <c r="A724" t="s">
        <v>546</v>
      </c>
      <c r="B724">
        <v>3</v>
      </c>
      <c r="C724">
        <v>2014</v>
      </c>
      <c r="D724" s="1">
        <v>42004</v>
      </c>
      <c r="E724" s="2">
        <v>88372000000</v>
      </c>
      <c r="F724" s="2">
        <v>1096000000</v>
      </c>
      <c r="G724" s="2">
        <v>47667000000</v>
      </c>
      <c r="H724">
        <v>0</v>
      </c>
      <c r="I724" s="2">
        <v>2765000000</v>
      </c>
      <c r="J724" t="s">
        <v>43</v>
      </c>
      <c r="K724" t="s">
        <v>101</v>
      </c>
      <c r="L724" s="37">
        <f t="shared" si="44"/>
        <v>0.9875978816819807</v>
      </c>
      <c r="M724" s="2">
        <f t="shared" si="45"/>
        <v>87276000000</v>
      </c>
      <c r="N724" s="37">
        <f t="shared" si="46"/>
        <v>0.41691938623093289</v>
      </c>
      <c r="O724" s="2">
        <f t="shared" si="47"/>
        <v>36844000000</v>
      </c>
    </row>
    <row r="725" spans="1:15" x14ac:dyDescent="0.3">
      <c r="A725" t="s">
        <v>546</v>
      </c>
      <c r="B725">
        <v>4</v>
      </c>
      <c r="C725">
        <v>2015</v>
      </c>
      <c r="D725" s="1">
        <v>42369</v>
      </c>
      <c r="E725" s="2">
        <v>90033000000</v>
      </c>
      <c r="F725" s="2">
        <v>963000000</v>
      </c>
      <c r="G725" s="2">
        <v>48728000000</v>
      </c>
      <c r="H725">
        <v>0</v>
      </c>
      <c r="I725" s="2">
        <v>3688000000</v>
      </c>
      <c r="J725" t="s">
        <v>43</v>
      </c>
      <c r="K725" t="s">
        <v>101</v>
      </c>
      <c r="L725" s="37">
        <f t="shared" si="44"/>
        <v>0.98930392189530503</v>
      </c>
      <c r="M725" s="2">
        <f t="shared" si="45"/>
        <v>89070000000</v>
      </c>
      <c r="N725" s="37">
        <f t="shared" si="46"/>
        <v>0.40711739029022692</v>
      </c>
      <c r="O725" s="2">
        <f t="shared" si="47"/>
        <v>36654000000</v>
      </c>
    </row>
    <row r="726" spans="1:15" x14ac:dyDescent="0.3">
      <c r="A726" t="s">
        <v>287</v>
      </c>
      <c r="B726">
        <v>1</v>
      </c>
      <c r="C726">
        <v>2012</v>
      </c>
      <c r="D726" s="1">
        <v>41274</v>
      </c>
      <c r="E726" s="2">
        <v>1765979000</v>
      </c>
      <c r="F726" s="2">
        <v>567989000</v>
      </c>
      <c r="G726" s="2">
        <v>158950000</v>
      </c>
      <c r="H726">
        <v>0</v>
      </c>
      <c r="I726" s="2">
        <v>506220000</v>
      </c>
      <c r="J726" t="s">
        <v>48</v>
      </c>
      <c r="K726" t="s">
        <v>49</v>
      </c>
      <c r="L726" s="37">
        <f t="shared" si="44"/>
        <v>0.67837160011529019</v>
      </c>
      <c r="M726" s="2">
        <f t="shared" si="45"/>
        <v>1197990000</v>
      </c>
      <c r="N726" s="37">
        <f t="shared" si="46"/>
        <v>0.30171366703681074</v>
      </c>
      <c r="O726" s="2">
        <f t="shared" si="47"/>
        <v>532820000</v>
      </c>
    </row>
    <row r="727" spans="1:15" x14ac:dyDescent="0.3">
      <c r="A727" t="s">
        <v>287</v>
      </c>
      <c r="B727">
        <v>2</v>
      </c>
      <c r="C727">
        <v>2013</v>
      </c>
      <c r="D727" s="1">
        <v>41639</v>
      </c>
      <c r="E727" s="2">
        <v>2847945000</v>
      </c>
      <c r="F727" s="2">
        <v>1206813000</v>
      </c>
      <c r="G727" s="2">
        <v>241719000</v>
      </c>
      <c r="H727">
        <v>0</v>
      </c>
      <c r="I727" s="2">
        <v>865800000</v>
      </c>
      <c r="J727" t="s">
        <v>48</v>
      </c>
      <c r="K727" t="s">
        <v>49</v>
      </c>
      <c r="L727" s="37">
        <f t="shared" si="44"/>
        <v>0.57625129698782807</v>
      </c>
      <c r="M727" s="2">
        <f t="shared" si="45"/>
        <v>1641132000</v>
      </c>
      <c r="N727" s="37">
        <f t="shared" si="46"/>
        <v>0.18736773357631556</v>
      </c>
      <c r="O727" s="2">
        <f t="shared" si="47"/>
        <v>533613000</v>
      </c>
    </row>
    <row r="728" spans="1:15" x14ac:dyDescent="0.3">
      <c r="A728" t="s">
        <v>287</v>
      </c>
      <c r="B728">
        <v>3</v>
      </c>
      <c r="C728">
        <v>2014</v>
      </c>
      <c r="D728" s="1">
        <v>42004</v>
      </c>
      <c r="E728" s="2">
        <v>3305879000</v>
      </c>
      <c r="F728" s="2">
        <v>1403358000</v>
      </c>
      <c r="G728" s="2">
        <v>212481000</v>
      </c>
      <c r="H728">
        <v>0</v>
      </c>
      <c r="I728" s="2">
        <v>844130000</v>
      </c>
      <c r="J728" t="s">
        <v>48</v>
      </c>
      <c r="K728" t="s">
        <v>49</v>
      </c>
      <c r="L728" s="37">
        <f t="shared" si="44"/>
        <v>0.57549625984496111</v>
      </c>
      <c r="M728" s="2">
        <f t="shared" si="45"/>
        <v>1902521000</v>
      </c>
      <c r="N728" s="37">
        <f t="shared" si="46"/>
        <v>0.25588050863325607</v>
      </c>
      <c r="O728" s="2">
        <f t="shared" si="47"/>
        <v>845910000</v>
      </c>
    </row>
    <row r="729" spans="1:15" x14ac:dyDescent="0.3">
      <c r="A729" t="s">
        <v>287</v>
      </c>
      <c r="B729">
        <v>4</v>
      </c>
      <c r="C729">
        <v>2015</v>
      </c>
      <c r="D729" s="1">
        <v>42369</v>
      </c>
      <c r="E729" s="2">
        <v>3775685000</v>
      </c>
      <c r="F729" s="2">
        <v>1622257000</v>
      </c>
      <c r="G729" s="2">
        <v>258342000</v>
      </c>
      <c r="H729">
        <v>0</v>
      </c>
      <c r="I729" s="2">
        <v>826240000</v>
      </c>
      <c r="J729" t="s">
        <v>48</v>
      </c>
      <c r="K729" t="s">
        <v>49</v>
      </c>
      <c r="L729" s="37">
        <f t="shared" si="44"/>
        <v>0.57034101096887058</v>
      </c>
      <c r="M729" s="2">
        <f t="shared" si="45"/>
        <v>2153428000</v>
      </c>
      <c r="N729" s="37">
        <f t="shared" si="46"/>
        <v>0.28308664520477739</v>
      </c>
      <c r="O729" s="2">
        <f t="shared" si="47"/>
        <v>1068846000</v>
      </c>
    </row>
    <row r="730" spans="1:15" x14ac:dyDescent="0.3">
      <c r="A730" t="s">
        <v>288</v>
      </c>
      <c r="B730">
        <v>1</v>
      </c>
      <c r="C730">
        <v>2013</v>
      </c>
      <c r="D730" s="1">
        <v>41639</v>
      </c>
      <c r="E730" s="2">
        <v>2013719000</v>
      </c>
      <c r="F730">
        <v>0</v>
      </c>
      <c r="G730" s="2">
        <v>401324000</v>
      </c>
      <c r="H730">
        <v>0</v>
      </c>
      <c r="I730" s="2">
        <v>423312000</v>
      </c>
      <c r="J730" t="s">
        <v>48</v>
      </c>
      <c r="K730" t="s">
        <v>49</v>
      </c>
      <c r="L730" s="37">
        <f t="shared" si="44"/>
        <v>1</v>
      </c>
      <c r="M730" s="2">
        <f t="shared" si="45"/>
        <v>2013719000</v>
      </c>
      <c r="N730" s="37">
        <f t="shared" si="46"/>
        <v>0.59049102680165411</v>
      </c>
      <c r="O730" s="2">
        <f t="shared" si="47"/>
        <v>1189083000</v>
      </c>
    </row>
    <row r="731" spans="1:15" x14ac:dyDescent="0.3">
      <c r="A731" t="s">
        <v>288</v>
      </c>
      <c r="B731">
        <v>2</v>
      </c>
      <c r="C731">
        <v>2014</v>
      </c>
      <c r="D731" s="1">
        <v>42004</v>
      </c>
      <c r="E731" s="2">
        <v>1563210000</v>
      </c>
      <c r="F731">
        <v>0</v>
      </c>
      <c r="G731" s="2">
        <v>463059000</v>
      </c>
      <c r="H731">
        <v>0</v>
      </c>
      <c r="I731" s="2">
        <v>455016000</v>
      </c>
      <c r="J731" t="s">
        <v>48</v>
      </c>
      <c r="K731" t="s">
        <v>49</v>
      </c>
      <c r="L731" s="37">
        <f t="shared" si="44"/>
        <v>1</v>
      </c>
      <c r="M731" s="2">
        <f t="shared" si="45"/>
        <v>1563210000</v>
      </c>
      <c r="N731" s="37">
        <f t="shared" si="46"/>
        <v>0.4126988696336385</v>
      </c>
      <c r="O731" s="2">
        <f t="shared" si="47"/>
        <v>645135000</v>
      </c>
    </row>
    <row r="732" spans="1:15" x14ac:dyDescent="0.3">
      <c r="A732" t="s">
        <v>288</v>
      </c>
      <c r="B732">
        <v>3</v>
      </c>
      <c r="C732">
        <v>2015</v>
      </c>
      <c r="D732" s="1">
        <v>42369</v>
      </c>
      <c r="E732" s="2">
        <v>1828305000</v>
      </c>
      <c r="F732">
        <v>0</v>
      </c>
      <c r="G732" s="2">
        <v>706644000</v>
      </c>
      <c r="H732">
        <v>0</v>
      </c>
      <c r="I732" s="2">
        <v>504905000</v>
      </c>
      <c r="J732" t="s">
        <v>48</v>
      </c>
      <c r="K732" t="s">
        <v>49</v>
      </c>
      <c r="L732" s="37">
        <f t="shared" si="44"/>
        <v>1</v>
      </c>
      <c r="M732" s="2">
        <f t="shared" si="45"/>
        <v>1828305000</v>
      </c>
      <c r="N732" s="37">
        <f t="shared" si="46"/>
        <v>0.33733758864084495</v>
      </c>
      <c r="O732" s="2">
        <f t="shared" si="47"/>
        <v>616756000</v>
      </c>
    </row>
    <row r="733" spans="1:15" x14ac:dyDescent="0.3">
      <c r="A733" t="s">
        <v>288</v>
      </c>
      <c r="B733">
        <v>4</v>
      </c>
      <c r="C733">
        <v>2016</v>
      </c>
      <c r="D733" s="1">
        <v>42735</v>
      </c>
      <c r="E733" s="2">
        <v>2040486000</v>
      </c>
      <c r="F733">
        <v>0</v>
      </c>
      <c r="G733" s="2">
        <v>842010000</v>
      </c>
      <c r="H733">
        <v>0</v>
      </c>
      <c r="I733" s="2">
        <v>568108000</v>
      </c>
      <c r="J733" t="s">
        <v>48</v>
      </c>
      <c r="K733" t="s">
        <v>49</v>
      </c>
      <c r="L733" s="37">
        <f t="shared" si="44"/>
        <v>1</v>
      </c>
      <c r="M733" s="2">
        <f t="shared" si="45"/>
        <v>2040486000</v>
      </c>
      <c r="N733" s="37">
        <f t="shared" si="46"/>
        <v>0.3089303234621556</v>
      </c>
      <c r="O733" s="2">
        <f t="shared" si="47"/>
        <v>630368000</v>
      </c>
    </row>
    <row r="734" spans="1:15" x14ac:dyDescent="0.3">
      <c r="A734" t="s">
        <v>289</v>
      </c>
      <c r="B734">
        <v>1</v>
      </c>
      <c r="C734">
        <v>2013</v>
      </c>
      <c r="D734" s="1">
        <v>41308</v>
      </c>
      <c r="E734" s="2">
        <v>74754000000</v>
      </c>
      <c r="F734" s="2">
        <v>48912000000</v>
      </c>
      <c r="G734" s="2">
        <v>16508000000</v>
      </c>
      <c r="H734">
        <v>0</v>
      </c>
      <c r="I734" s="2">
        <v>1568000000</v>
      </c>
      <c r="J734" t="s">
        <v>15</v>
      </c>
      <c r="K734" t="s">
        <v>290</v>
      </c>
      <c r="L734" s="37">
        <f t="shared" si="44"/>
        <v>0.34569387591299461</v>
      </c>
      <c r="M734" s="2">
        <f t="shared" si="45"/>
        <v>25842000000</v>
      </c>
      <c r="N734" s="37">
        <f t="shared" si="46"/>
        <v>0.10388741739572464</v>
      </c>
      <c r="O734" s="2">
        <f t="shared" si="47"/>
        <v>7766000000</v>
      </c>
    </row>
    <row r="735" spans="1:15" x14ac:dyDescent="0.3">
      <c r="A735" t="s">
        <v>289</v>
      </c>
      <c r="B735">
        <v>2</v>
      </c>
      <c r="C735">
        <v>2014</v>
      </c>
      <c r="D735" s="1">
        <v>41672</v>
      </c>
      <c r="E735" s="2">
        <v>78812000000</v>
      </c>
      <c r="F735" s="2">
        <v>51897000000</v>
      </c>
      <c r="G735" s="2">
        <v>16122000000</v>
      </c>
      <c r="H735">
        <v>0</v>
      </c>
      <c r="I735" s="2">
        <v>1627000000</v>
      </c>
      <c r="J735" t="s">
        <v>15</v>
      </c>
      <c r="K735" t="s">
        <v>290</v>
      </c>
      <c r="L735" s="37">
        <f t="shared" si="44"/>
        <v>0.34150890727300409</v>
      </c>
      <c r="M735" s="2">
        <f t="shared" si="45"/>
        <v>26915000000</v>
      </c>
      <c r="N735" s="37">
        <f t="shared" si="46"/>
        <v>0.11630208597675482</v>
      </c>
      <c r="O735" s="2">
        <f t="shared" si="47"/>
        <v>9166000000</v>
      </c>
    </row>
    <row r="736" spans="1:15" x14ac:dyDescent="0.3">
      <c r="A736" t="s">
        <v>289</v>
      </c>
      <c r="B736">
        <v>3</v>
      </c>
      <c r="C736">
        <v>2015</v>
      </c>
      <c r="D736" s="1">
        <v>42036</v>
      </c>
      <c r="E736" s="2">
        <v>83176000000</v>
      </c>
      <c r="F736" s="2">
        <v>54787000000</v>
      </c>
      <c r="G736" s="2">
        <v>16280000000</v>
      </c>
      <c r="H736">
        <v>0</v>
      </c>
      <c r="I736" s="2">
        <v>1640000000</v>
      </c>
      <c r="J736" t="s">
        <v>15</v>
      </c>
      <c r="K736" t="s">
        <v>290</v>
      </c>
      <c r="L736" s="37">
        <f t="shared" si="44"/>
        <v>0.34131239780705969</v>
      </c>
      <c r="M736" s="2">
        <f t="shared" si="45"/>
        <v>28389000000</v>
      </c>
      <c r="N736" s="37">
        <f t="shared" si="46"/>
        <v>0.12586563431759162</v>
      </c>
      <c r="O736" s="2">
        <f t="shared" si="47"/>
        <v>10469000000</v>
      </c>
    </row>
    <row r="737" spans="1:15" x14ac:dyDescent="0.3">
      <c r="A737" t="s">
        <v>289</v>
      </c>
      <c r="B737">
        <v>4</v>
      </c>
      <c r="C737">
        <v>2016</v>
      </c>
      <c r="D737" s="1">
        <v>42400</v>
      </c>
      <c r="E737" s="2">
        <v>88519000000</v>
      </c>
      <c r="F737" s="2">
        <v>58254000000</v>
      </c>
      <c r="G737" s="2">
        <v>16801000000</v>
      </c>
      <c r="H737">
        <v>0</v>
      </c>
      <c r="I737" s="2">
        <v>1690000000</v>
      </c>
      <c r="J737" t="s">
        <v>15</v>
      </c>
      <c r="K737" t="s">
        <v>290</v>
      </c>
      <c r="L737" s="37">
        <f t="shared" si="44"/>
        <v>0.34190399801172633</v>
      </c>
      <c r="M737" s="2">
        <f t="shared" si="45"/>
        <v>30265000000</v>
      </c>
      <c r="N737" s="37">
        <f t="shared" si="46"/>
        <v>0.13301099199042013</v>
      </c>
      <c r="O737" s="2">
        <f t="shared" si="47"/>
        <v>11774000000</v>
      </c>
    </row>
    <row r="738" spans="1:15" x14ac:dyDescent="0.3">
      <c r="A738" t="s">
        <v>291</v>
      </c>
      <c r="B738">
        <v>1</v>
      </c>
      <c r="C738">
        <v>2012</v>
      </c>
      <c r="D738" s="1">
        <v>41274</v>
      </c>
      <c r="E738" s="2">
        <v>12245000000</v>
      </c>
      <c r="F738" s="2">
        <v>3535000000</v>
      </c>
      <c r="G738" s="2">
        <v>1126000000</v>
      </c>
      <c r="H738">
        <v>0</v>
      </c>
      <c r="I738" s="2">
        <v>2866000000</v>
      </c>
      <c r="J738" t="s">
        <v>79</v>
      </c>
      <c r="K738" t="s">
        <v>140</v>
      </c>
      <c r="L738" s="37">
        <f t="shared" si="44"/>
        <v>0.71131073907717435</v>
      </c>
      <c r="M738" s="2">
        <f t="shared" si="45"/>
        <v>8710000000</v>
      </c>
      <c r="N738" s="37">
        <f t="shared" si="46"/>
        <v>0.38530012249897916</v>
      </c>
      <c r="O738" s="2">
        <f t="shared" si="47"/>
        <v>4718000000</v>
      </c>
    </row>
    <row r="739" spans="1:15" x14ac:dyDescent="0.3">
      <c r="A739" t="s">
        <v>291</v>
      </c>
      <c r="B739">
        <v>2</v>
      </c>
      <c r="C739">
        <v>2013</v>
      </c>
      <c r="D739" s="1">
        <v>41639</v>
      </c>
      <c r="E739" s="2">
        <v>11905000000</v>
      </c>
      <c r="F739" s="2">
        <v>3969000000</v>
      </c>
      <c r="G739" s="2">
        <v>1045000000</v>
      </c>
      <c r="H739">
        <v>0</v>
      </c>
      <c r="I739" s="2">
        <v>2687000000</v>
      </c>
      <c r="J739" t="s">
        <v>79</v>
      </c>
      <c r="K739" t="s">
        <v>140</v>
      </c>
      <c r="L739" s="37">
        <f t="shared" si="44"/>
        <v>0.66661066778664424</v>
      </c>
      <c r="M739" s="2">
        <f t="shared" si="45"/>
        <v>7936000000</v>
      </c>
      <c r="N739" s="37">
        <f t="shared" si="46"/>
        <v>0.35312893742125157</v>
      </c>
      <c r="O739" s="2">
        <f t="shared" si="47"/>
        <v>4204000000</v>
      </c>
    </row>
    <row r="740" spans="1:15" x14ac:dyDescent="0.3">
      <c r="A740" t="s">
        <v>291</v>
      </c>
      <c r="B740">
        <v>3</v>
      </c>
      <c r="C740">
        <v>2014</v>
      </c>
      <c r="D740" s="1">
        <v>42004</v>
      </c>
      <c r="E740" s="2">
        <v>10737000000</v>
      </c>
      <c r="F740" s="2">
        <v>3753000000</v>
      </c>
      <c r="G740" s="2">
        <v>863000000</v>
      </c>
      <c r="H740">
        <v>0</v>
      </c>
      <c r="I740" s="2">
        <v>3224000000</v>
      </c>
      <c r="J740" t="s">
        <v>79</v>
      </c>
      <c r="K740" t="s">
        <v>140</v>
      </c>
      <c r="L740" s="37">
        <f t="shared" si="44"/>
        <v>0.6504610226320201</v>
      </c>
      <c r="M740" s="2">
        <f t="shared" si="45"/>
        <v>6984000000</v>
      </c>
      <c r="N740" s="37">
        <f t="shared" si="46"/>
        <v>0.26981465958833939</v>
      </c>
      <c r="O740" s="2">
        <f t="shared" si="47"/>
        <v>2897000000</v>
      </c>
    </row>
    <row r="741" spans="1:15" x14ac:dyDescent="0.3">
      <c r="A741" t="s">
        <v>291</v>
      </c>
      <c r="B741">
        <v>4</v>
      </c>
      <c r="C741">
        <v>2015</v>
      </c>
      <c r="D741" s="1">
        <v>42369</v>
      </c>
      <c r="E741" s="2">
        <v>6636000000</v>
      </c>
      <c r="F741" s="2">
        <v>3323000000</v>
      </c>
      <c r="G741" s="2">
        <v>703000000</v>
      </c>
      <c r="H741">
        <v>0</v>
      </c>
      <c r="I741" s="2">
        <v>3955000000</v>
      </c>
      <c r="J741" t="s">
        <v>79</v>
      </c>
      <c r="K741" t="s">
        <v>140</v>
      </c>
      <c r="L741" s="37">
        <f t="shared" si="44"/>
        <v>0.49924653405666064</v>
      </c>
      <c r="M741" s="2">
        <f t="shared" si="45"/>
        <v>3313000000</v>
      </c>
      <c r="N741" s="37">
        <f t="shared" si="46"/>
        <v>-0.20268233875828812</v>
      </c>
      <c r="O741" s="2">
        <f t="shared" si="47"/>
        <v>-1345000000</v>
      </c>
    </row>
    <row r="742" spans="1:15" x14ac:dyDescent="0.3">
      <c r="A742" t="s">
        <v>561</v>
      </c>
      <c r="B742">
        <v>1</v>
      </c>
      <c r="C742">
        <v>2012</v>
      </c>
      <c r="D742" s="1">
        <v>41274</v>
      </c>
      <c r="E742" s="2">
        <v>7232397000</v>
      </c>
      <c r="F742" s="2">
        <v>5165169000</v>
      </c>
      <c r="G742">
        <v>0</v>
      </c>
      <c r="H742">
        <v>0</v>
      </c>
      <c r="I742" s="2">
        <v>1173955000</v>
      </c>
      <c r="J742" t="s">
        <v>43</v>
      </c>
      <c r="K742" t="s">
        <v>46</v>
      </c>
      <c r="L742" s="37">
        <f t="shared" si="44"/>
        <v>0.28582888909444548</v>
      </c>
      <c r="M742" s="2">
        <f t="shared" si="45"/>
        <v>2067228000</v>
      </c>
      <c r="N742" s="37">
        <f t="shared" si="46"/>
        <v>0.12350995112685324</v>
      </c>
      <c r="O742" s="2">
        <f t="shared" si="47"/>
        <v>893273000</v>
      </c>
    </row>
    <row r="743" spans="1:15" x14ac:dyDescent="0.3">
      <c r="A743" t="s">
        <v>561</v>
      </c>
      <c r="B743">
        <v>2</v>
      </c>
      <c r="C743">
        <v>2013</v>
      </c>
      <c r="D743" s="1">
        <v>41639</v>
      </c>
      <c r="E743" s="2">
        <v>7541234000</v>
      </c>
      <c r="F743" s="2">
        <v>5106489000</v>
      </c>
      <c r="G743">
        <v>0</v>
      </c>
      <c r="H743">
        <v>0</v>
      </c>
      <c r="I743" s="2">
        <v>1213178000</v>
      </c>
      <c r="J743" t="s">
        <v>43</v>
      </c>
      <c r="K743" t="s">
        <v>46</v>
      </c>
      <c r="L743" s="37">
        <f t="shared" si="44"/>
        <v>0.32285763841832782</v>
      </c>
      <c r="M743" s="2">
        <f t="shared" si="45"/>
        <v>2434745000</v>
      </c>
      <c r="N743" s="37">
        <f t="shared" si="46"/>
        <v>0.16198502791452965</v>
      </c>
      <c r="O743" s="2">
        <f t="shared" si="47"/>
        <v>1221567000</v>
      </c>
    </row>
    <row r="744" spans="1:15" x14ac:dyDescent="0.3">
      <c r="A744" t="s">
        <v>561</v>
      </c>
      <c r="B744">
        <v>3</v>
      </c>
      <c r="C744">
        <v>2014</v>
      </c>
      <c r="D744" s="1">
        <v>42004</v>
      </c>
      <c r="E744" s="2">
        <v>6602267000</v>
      </c>
      <c r="F744" s="2">
        <v>4239474000</v>
      </c>
      <c r="G744">
        <v>0</v>
      </c>
      <c r="H744">
        <v>0</v>
      </c>
      <c r="I744" s="2">
        <v>1341315000</v>
      </c>
      <c r="J744" t="s">
        <v>43</v>
      </c>
      <c r="K744" t="s">
        <v>46</v>
      </c>
      <c r="L744" s="37">
        <f t="shared" si="44"/>
        <v>0.35787601440535499</v>
      </c>
      <c r="M744" s="2">
        <f t="shared" si="45"/>
        <v>2362793000</v>
      </c>
      <c r="N744" s="37">
        <f t="shared" si="46"/>
        <v>0.15471625125127475</v>
      </c>
      <c r="O744" s="2">
        <f t="shared" si="47"/>
        <v>1021478000</v>
      </c>
    </row>
    <row r="745" spans="1:15" x14ac:dyDescent="0.3">
      <c r="A745" t="s">
        <v>561</v>
      </c>
      <c r="B745">
        <v>4</v>
      </c>
      <c r="C745">
        <v>2015</v>
      </c>
      <c r="D745" s="1">
        <v>42369</v>
      </c>
      <c r="E745" s="2">
        <v>9308926000</v>
      </c>
      <c r="F745" s="2">
        <v>6199645000</v>
      </c>
      <c r="G745">
        <v>0</v>
      </c>
      <c r="H745">
        <v>0</v>
      </c>
      <c r="I745" s="2">
        <v>1966939000</v>
      </c>
      <c r="J745" t="s">
        <v>43</v>
      </c>
      <c r="K745" t="s">
        <v>46</v>
      </c>
      <c r="L745" s="37">
        <f t="shared" si="44"/>
        <v>0.33401071186944664</v>
      </c>
      <c r="M745" s="2">
        <f t="shared" si="45"/>
        <v>3109281000</v>
      </c>
      <c r="N745" s="37">
        <f t="shared" si="46"/>
        <v>0.12271469340286946</v>
      </c>
      <c r="O745" s="2">
        <f t="shared" si="47"/>
        <v>1142342000</v>
      </c>
    </row>
    <row r="746" spans="1:15" x14ac:dyDescent="0.3">
      <c r="A746" t="s">
        <v>293</v>
      </c>
      <c r="B746">
        <v>1</v>
      </c>
      <c r="C746">
        <v>2012</v>
      </c>
      <c r="D746" s="1">
        <v>41274</v>
      </c>
      <c r="E746" s="2">
        <v>5580506000</v>
      </c>
      <c r="F746" s="2">
        <v>3440623000</v>
      </c>
      <c r="G746" s="2">
        <v>1111232000</v>
      </c>
      <c r="H746">
        <v>0</v>
      </c>
      <c r="I746">
        <v>0</v>
      </c>
      <c r="J746" t="s">
        <v>15</v>
      </c>
      <c r="K746" t="s">
        <v>294</v>
      </c>
      <c r="L746" s="37">
        <f t="shared" si="44"/>
        <v>0.38345680481304023</v>
      </c>
      <c r="M746" s="2">
        <f t="shared" si="45"/>
        <v>2139883000</v>
      </c>
      <c r="N746" s="37">
        <f t="shared" si="46"/>
        <v>0.18432934217793154</v>
      </c>
      <c r="O746" s="2">
        <f t="shared" si="47"/>
        <v>1028651000</v>
      </c>
    </row>
    <row r="747" spans="1:15" x14ac:dyDescent="0.3">
      <c r="A747" t="s">
        <v>293</v>
      </c>
      <c r="B747">
        <v>2</v>
      </c>
      <c r="C747">
        <v>2013</v>
      </c>
      <c r="D747" s="1">
        <v>41639</v>
      </c>
      <c r="E747" s="2">
        <v>5899872000</v>
      </c>
      <c r="F747" s="2">
        <v>3621417000</v>
      </c>
      <c r="G747" s="2">
        <v>1124753000</v>
      </c>
      <c r="H747">
        <v>0</v>
      </c>
      <c r="I747">
        <v>0</v>
      </c>
      <c r="J747" t="s">
        <v>15</v>
      </c>
      <c r="K747" t="s">
        <v>294</v>
      </c>
      <c r="L747" s="37">
        <f t="shared" si="44"/>
        <v>0.38618719185772166</v>
      </c>
      <c r="M747" s="2">
        <f t="shared" si="45"/>
        <v>2278455000</v>
      </c>
      <c r="N747" s="37">
        <f t="shared" si="46"/>
        <v>0.19554695423900723</v>
      </c>
      <c r="O747" s="2">
        <f t="shared" si="47"/>
        <v>1153702000</v>
      </c>
    </row>
    <row r="748" spans="1:15" x14ac:dyDescent="0.3">
      <c r="A748" t="s">
        <v>293</v>
      </c>
      <c r="B748">
        <v>3</v>
      </c>
      <c r="C748">
        <v>2014</v>
      </c>
      <c r="D748" s="1">
        <v>42004</v>
      </c>
      <c r="E748" s="2">
        <v>6228508000</v>
      </c>
      <c r="F748" s="2">
        <v>3788023000</v>
      </c>
      <c r="G748" s="2">
        <v>1159502000</v>
      </c>
      <c r="H748">
        <v>0</v>
      </c>
      <c r="I748">
        <v>0</v>
      </c>
      <c r="J748" t="s">
        <v>15</v>
      </c>
      <c r="K748" t="s">
        <v>294</v>
      </c>
      <c r="L748" s="37">
        <f t="shared" si="44"/>
        <v>0.39182497638278702</v>
      </c>
      <c r="M748" s="2">
        <f t="shared" si="45"/>
        <v>2440485000</v>
      </c>
      <c r="N748" s="37">
        <f t="shared" si="46"/>
        <v>0.2056645026385131</v>
      </c>
      <c r="O748" s="2">
        <f t="shared" si="47"/>
        <v>1280983000</v>
      </c>
    </row>
    <row r="749" spans="1:15" x14ac:dyDescent="0.3">
      <c r="A749" t="s">
        <v>293</v>
      </c>
      <c r="B749">
        <v>4</v>
      </c>
      <c r="C749">
        <v>2015</v>
      </c>
      <c r="D749" s="1">
        <v>42369</v>
      </c>
      <c r="E749" s="2">
        <v>5995402000</v>
      </c>
      <c r="F749" s="2">
        <v>3619612000</v>
      </c>
      <c r="G749" s="2">
        <v>1220095000</v>
      </c>
      <c r="H749">
        <v>0</v>
      </c>
      <c r="I749">
        <v>0</v>
      </c>
      <c r="J749" t="s">
        <v>15</v>
      </c>
      <c r="K749" t="s">
        <v>294</v>
      </c>
      <c r="L749" s="37">
        <f t="shared" si="44"/>
        <v>0.39626867389376064</v>
      </c>
      <c r="M749" s="2">
        <f t="shared" si="45"/>
        <v>2375790000</v>
      </c>
      <c r="N749" s="37">
        <f t="shared" si="46"/>
        <v>0.19276355447057594</v>
      </c>
      <c r="O749" s="2">
        <f t="shared" si="47"/>
        <v>1155695000</v>
      </c>
    </row>
    <row r="750" spans="1:15" x14ac:dyDescent="0.3">
      <c r="A750" t="s">
        <v>570</v>
      </c>
      <c r="B750">
        <v>1</v>
      </c>
      <c r="C750">
        <v>2012</v>
      </c>
      <c r="D750" s="1">
        <v>41274</v>
      </c>
      <c r="E750" s="2">
        <v>2458592000</v>
      </c>
      <c r="F750" s="2">
        <v>80146000</v>
      </c>
      <c r="G750" s="2">
        <v>1579007000</v>
      </c>
      <c r="H750">
        <v>0</v>
      </c>
      <c r="I750" s="2">
        <v>31237000</v>
      </c>
      <c r="J750" t="s">
        <v>43</v>
      </c>
      <c r="K750" t="s">
        <v>136</v>
      </c>
      <c r="L750" s="37">
        <f t="shared" si="44"/>
        <v>0.96740166729575305</v>
      </c>
      <c r="M750" s="2">
        <f t="shared" si="45"/>
        <v>2378446000</v>
      </c>
      <c r="N750" s="37">
        <f t="shared" si="46"/>
        <v>0.31245607241868517</v>
      </c>
      <c r="O750" s="2">
        <f t="shared" si="47"/>
        <v>768202000</v>
      </c>
    </row>
    <row r="751" spans="1:15" x14ac:dyDescent="0.3">
      <c r="A751" t="s">
        <v>570</v>
      </c>
      <c r="B751">
        <v>2</v>
      </c>
      <c r="C751">
        <v>2013</v>
      </c>
      <c r="D751" s="1">
        <v>41639</v>
      </c>
      <c r="E751" s="2">
        <v>2278812000</v>
      </c>
      <c r="F751" s="2">
        <v>58913000</v>
      </c>
      <c r="G751" s="2">
        <v>1700064000</v>
      </c>
      <c r="H751">
        <v>0</v>
      </c>
      <c r="I751" s="2">
        <v>-72761000</v>
      </c>
      <c r="J751" t="s">
        <v>43</v>
      </c>
      <c r="K751" t="s">
        <v>136</v>
      </c>
      <c r="L751" s="37">
        <f t="shared" si="44"/>
        <v>0.97414749439620296</v>
      </c>
      <c r="M751" s="2">
        <f t="shared" si="45"/>
        <v>2219899000</v>
      </c>
      <c r="N751" s="37">
        <f t="shared" si="46"/>
        <v>0.26004602398091636</v>
      </c>
      <c r="O751" s="2">
        <f t="shared" si="47"/>
        <v>592596000</v>
      </c>
    </row>
    <row r="752" spans="1:15" x14ac:dyDescent="0.3">
      <c r="A752" t="s">
        <v>570</v>
      </c>
      <c r="B752">
        <v>3</v>
      </c>
      <c r="C752">
        <v>2014</v>
      </c>
      <c r="D752" s="1">
        <v>42004</v>
      </c>
      <c r="E752" s="2">
        <v>2361631000</v>
      </c>
      <c r="F752" s="2">
        <v>49736000</v>
      </c>
      <c r="G752" s="2">
        <v>1654369000</v>
      </c>
      <c r="H752">
        <v>0</v>
      </c>
      <c r="I752" s="2">
        <v>-87159000</v>
      </c>
      <c r="J752" t="s">
        <v>43</v>
      </c>
      <c r="K752" t="s">
        <v>136</v>
      </c>
      <c r="L752" s="37">
        <f t="shared" si="44"/>
        <v>0.97893997834547397</v>
      </c>
      <c r="M752" s="2">
        <f t="shared" si="45"/>
        <v>2311895000</v>
      </c>
      <c r="N752" s="37">
        <f t="shared" si="46"/>
        <v>0.31532656879927473</v>
      </c>
      <c r="O752" s="2">
        <f t="shared" si="47"/>
        <v>744685000</v>
      </c>
    </row>
    <row r="753" spans="1:15" x14ac:dyDescent="0.3">
      <c r="A753" t="s">
        <v>570</v>
      </c>
      <c r="B753">
        <v>4</v>
      </c>
      <c r="C753">
        <v>2015</v>
      </c>
      <c r="D753" s="1">
        <v>42369</v>
      </c>
      <c r="E753" s="2">
        <v>2210591000</v>
      </c>
      <c r="F753" s="2">
        <v>49344000</v>
      </c>
      <c r="G753" s="2">
        <v>1591239000</v>
      </c>
      <c r="H753">
        <v>0</v>
      </c>
      <c r="I753" s="2">
        <v>49282000</v>
      </c>
      <c r="J753" t="s">
        <v>43</v>
      </c>
      <c r="K753" t="s">
        <v>136</v>
      </c>
      <c r="L753" s="37">
        <f t="shared" si="44"/>
        <v>0.97767836745919978</v>
      </c>
      <c r="M753" s="2">
        <f t="shared" si="45"/>
        <v>2161247000</v>
      </c>
      <c r="N753" s="37">
        <f t="shared" si="46"/>
        <v>0.23555963088603907</v>
      </c>
      <c r="O753" s="2">
        <f t="shared" si="47"/>
        <v>520726000</v>
      </c>
    </row>
    <row r="754" spans="1:15" x14ac:dyDescent="0.3">
      <c r="A754" t="s">
        <v>296</v>
      </c>
      <c r="B754">
        <v>1</v>
      </c>
      <c r="C754">
        <v>2013</v>
      </c>
      <c r="D754" s="1">
        <v>41639</v>
      </c>
      <c r="E754" s="2">
        <v>39055000000</v>
      </c>
      <c r="F754" s="2">
        <v>28364000000</v>
      </c>
      <c r="G754" s="2">
        <v>5190000000</v>
      </c>
      <c r="H754">
        <v>0</v>
      </c>
      <c r="I754">
        <v>0</v>
      </c>
      <c r="J754" t="s">
        <v>12</v>
      </c>
      <c r="K754" t="s">
        <v>160</v>
      </c>
      <c r="L754" s="37">
        <f t="shared" si="44"/>
        <v>0.27374215849443095</v>
      </c>
      <c r="M754" s="2">
        <f t="shared" si="45"/>
        <v>10691000000</v>
      </c>
      <c r="N754" s="37">
        <f t="shared" si="46"/>
        <v>0.14085264370759185</v>
      </c>
      <c r="O754" s="2">
        <f t="shared" si="47"/>
        <v>5501000000</v>
      </c>
    </row>
    <row r="755" spans="1:15" x14ac:dyDescent="0.3">
      <c r="A755" t="s">
        <v>296</v>
      </c>
      <c r="B755">
        <v>2</v>
      </c>
      <c r="C755">
        <v>2014</v>
      </c>
      <c r="D755" s="1">
        <v>42004</v>
      </c>
      <c r="E755" s="2">
        <v>40306000000</v>
      </c>
      <c r="F755" s="2">
        <v>28957000000</v>
      </c>
      <c r="G755" s="2">
        <v>5518000000</v>
      </c>
      <c r="H755">
        <v>0</v>
      </c>
      <c r="I755">
        <v>0</v>
      </c>
      <c r="J755" t="s">
        <v>12</v>
      </c>
      <c r="K755" t="s">
        <v>160</v>
      </c>
      <c r="L755" s="37">
        <f t="shared" si="44"/>
        <v>0.2815709819877934</v>
      </c>
      <c r="M755" s="2">
        <f t="shared" si="45"/>
        <v>11349000000</v>
      </c>
      <c r="N755" s="37">
        <f t="shared" si="46"/>
        <v>0.14466828759986106</v>
      </c>
      <c r="O755" s="2">
        <f t="shared" si="47"/>
        <v>5831000000</v>
      </c>
    </row>
    <row r="756" spans="1:15" x14ac:dyDescent="0.3">
      <c r="A756" t="s">
        <v>296</v>
      </c>
      <c r="B756">
        <v>3</v>
      </c>
      <c r="C756">
        <v>2015</v>
      </c>
      <c r="D756" s="1">
        <v>42369</v>
      </c>
      <c r="E756" s="2">
        <v>38581000000</v>
      </c>
      <c r="F756" s="2">
        <v>26747000000</v>
      </c>
      <c r="G756" s="2">
        <v>5006000000</v>
      </c>
      <c r="H756">
        <v>0</v>
      </c>
      <c r="I756">
        <v>0</v>
      </c>
      <c r="J756" t="s">
        <v>12</v>
      </c>
      <c r="K756" t="s">
        <v>160</v>
      </c>
      <c r="L756" s="37">
        <f t="shared" si="44"/>
        <v>0.30673129260516829</v>
      </c>
      <c r="M756" s="2">
        <f t="shared" si="45"/>
        <v>11834000000</v>
      </c>
      <c r="N756" s="37">
        <f t="shared" si="46"/>
        <v>0.17697830538347892</v>
      </c>
      <c r="O756" s="2">
        <f t="shared" si="47"/>
        <v>6828000000</v>
      </c>
    </row>
    <row r="757" spans="1:15" x14ac:dyDescent="0.3">
      <c r="A757" t="s">
        <v>296</v>
      </c>
      <c r="B757">
        <v>4</v>
      </c>
      <c r="C757">
        <v>2016</v>
      </c>
      <c r="D757" s="1">
        <v>42735</v>
      </c>
      <c r="E757" s="2">
        <v>39302000000</v>
      </c>
      <c r="F757" s="2">
        <v>27150000000</v>
      </c>
      <c r="G757" s="2">
        <v>5469000000</v>
      </c>
      <c r="H757">
        <v>0</v>
      </c>
      <c r="I757">
        <v>0</v>
      </c>
      <c r="J757" t="s">
        <v>12</v>
      </c>
      <c r="K757" t="s">
        <v>160</v>
      </c>
      <c r="L757" s="37">
        <f t="shared" si="44"/>
        <v>0.3091954607907994</v>
      </c>
      <c r="M757" s="2">
        <f t="shared" si="45"/>
        <v>12152000000</v>
      </c>
      <c r="N757" s="37">
        <f t="shared" si="46"/>
        <v>0.17004223703628313</v>
      </c>
      <c r="O757" s="2">
        <f t="shared" si="47"/>
        <v>6683000000</v>
      </c>
    </row>
    <row r="758" spans="1:15" x14ac:dyDescent="0.3">
      <c r="A758" t="s">
        <v>297</v>
      </c>
      <c r="B758">
        <v>1</v>
      </c>
      <c r="C758">
        <v>2013</v>
      </c>
      <c r="D758" s="1">
        <v>41547</v>
      </c>
      <c r="E758" s="2">
        <v>3387614000</v>
      </c>
      <c r="F758" s="2">
        <v>1852768000</v>
      </c>
      <c r="G758" s="2">
        <v>126250000</v>
      </c>
      <c r="H758" s="2">
        <v>15235000</v>
      </c>
      <c r="I758" s="2">
        <v>455623000</v>
      </c>
      <c r="J758" t="s">
        <v>79</v>
      </c>
      <c r="K758" t="s">
        <v>298</v>
      </c>
      <c r="L758" s="37">
        <f t="shared" si="44"/>
        <v>0.45307582268818114</v>
      </c>
      <c r="M758" s="2">
        <f t="shared" si="45"/>
        <v>1534846000</v>
      </c>
      <c r="N758" s="37">
        <f t="shared" si="46"/>
        <v>0.27681371018067585</v>
      </c>
      <c r="O758" s="2">
        <f t="shared" si="47"/>
        <v>937738000</v>
      </c>
    </row>
    <row r="759" spans="1:15" x14ac:dyDescent="0.3">
      <c r="A759" t="s">
        <v>297</v>
      </c>
      <c r="B759">
        <v>2</v>
      </c>
      <c r="C759">
        <v>2014</v>
      </c>
      <c r="D759" s="1">
        <v>41912</v>
      </c>
      <c r="E759" s="2">
        <v>3715968000</v>
      </c>
      <c r="F759" s="2">
        <v>2006715000</v>
      </c>
      <c r="G759" s="2">
        <v>116190000</v>
      </c>
      <c r="H759" s="2">
        <v>15905000</v>
      </c>
      <c r="I759" s="2">
        <v>523984000</v>
      </c>
      <c r="J759" t="s">
        <v>79</v>
      </c>
      <c r="K759" t="s">
        <v>298</v>
      </c>
      <c r="L759" s="37">
        <f t="shared" si="44"/>
        <v>0.45997516663222071</v>
      </c>
      <c r="M759" s="2">
        <f t="shared" si="45"/>
        <v>1709253000</v>
      </c>
      <c r="N759" s="37">
        <f t="shared" si="46"/>
        <v>0.28341847938410664</v>
      </c>
      <c r="O759" s="2">
        <f t="shared" si="47"/>
        <v>1053174000</v>
      </c>
    </row>
    <row r="760" spans="1:15" x14ac:dyDescent="0.3">
      <c r="A760" t="s">
        <v>297</v>
      </c>
      <c r="B760">
        <v>3</v>
      </c>
      <c r="C760">
        <v>2015</v>
      </c>
      <c r="D760" s="1">
        <v>42277</v>
      </c>
      <c r="E760" s="2">
        <v>3161702000</v>
      </c>
      <c r="F760" s="2">
        <v>1703476000</v>
      </c>
      <c r="G760" s="2">
        <v>122878000</v>
      </c>
      <c r="H760" s="2">
        <v>16104000</v>
      </c>
      <c r="I760" s="2">
        <v>608039000</v>
      </c>
      <c r="J760" t="s">
        <v>79</v>
      </c>
      <c r="K760" t="s">
        <v>298</v>
      </c>
      <c r="L760" s="37">
        <f t="shared" si="44"/>
        <v>0.46121550987411208</v>
      </c>
      <c r="M760" s="2">
        <f t="shared" si="45"/>
        <v>1458226000</v>
      </c>
      <c r="N760" s="37">
        <f t="shared" si="46"/>
        <v>0.22494371702329949</v>
      </c>
      <c r="O760" s="2">
        <f t="shared" si="47"/>
        <v>711205000</v>
      </c>
    </row>
    <row r="761" spans="1:15" x14ac:dyDescent="0.3">
      <c r="A761" t="s">
        <v>297</v>
      </c>
      <c r="B761">
        <v>4</v>
      </c>
      <c r="C761">
        <v>2016</v>
      </c>
      <c r="D761" s="1">
        <v>42643</v>
      </c>
      <c r="E761" s="2">
        <v>1624232000</v>
      </c>
      <c r="F761" s="2">
        <v>898805000</v>
      </c>
      <c r="G761" s="2">
        <v>136287000</v>
      </c>
      <c r="H761" s="2">
        <v>10269000</v>
      </c>
      <c r="I761" s="2">
        <v>598587000</v>
      </c>
      <c r="J761" t="s">
        <v>79</v>
      </c>
      <c r="K761" t="s">
        <v>298</v>
      </c>
      <c r="L761" s="37">
        <f t="shared" si="44"/>
        <v>0.44662769850612472</v>
      </c>
      <c r="M761" s="2">
        <f t="shared" si="45"/>
        <v>725427000</v>
      </c>
      <c r="N761" s="37">
        <f t="shared" si="46"/>
        <v>-1.2138659994385039E-2</v>
      </c>
      <c r="O761" s="2">
        <f t="shared" si="47"/>
        <v>-19716000</v>
      </c>
    </row>
    <row r="762" spans="1:15" x14ac:dyDescent="0.3">
      <c r="A762" t="s">
        <v>299</v>
      </c>
      <c r="B762">
        <v>1</v>
      </c>
      <c r="C762">
        <v>2014</v>
      </c>
      <c r="D762" s="1">
        <v>41943</v>
      </c>
      <c r="E762" s="2">
        <v>55123000000</v>
      </c>
      <c r="F762" s="2">
        <v>39486000000</v>
      </c>
      <c r="G762" s="2">
        <v>8717000000</v>
      </c>
      <c r="H762" s="2">
        <v>2197000000</v>
      </c>
      <c r="I762" s="2">
        <v>906000000</v>
      </c>
      <c r="J762" t="s">
        <v>18</v>
      </c>
      <c r="K762" t="s">
        <v>300</v>
      </c>
      <c r="L762" s="37">
        <f t="shared" si="44"/>
        <v>0.28367469114525701</v>
      </c>
      <c r="M762" s="2">
        <f t="shared" si="45"/>
        <v>15637000000</v>
      </c>
      <c r="N762" s="37">
        <f t="shared" si="46"/>
        <v>6.9245142680913599E-2</v>
      </c>
      <c r="O762" s="2">
        <f t="shared" si="47"/>
        <v>3817000000</v>
      </c>
    </row>
    <row r="763" spans="1:15" x14ac:dyDescent="0.3">
      <c r="A763" t="s">
        <v>299</v>
      </c>
      <c r="B763">
        <v>2</v>
      </c>
      <c r="C763">
        <v>2015</v>
      </c>
      <c r="D763" s="1">
        <v>42308</v>
      </c>
      <c r="E763" s="2">
        <v>52107000000</v>
      </c>
      <c r="F763" s="2">
        <v>37168000000</v>
      </c>
      <c r="G763" s="2">
        <v>9047000000</v>
      </c>
      <c r="H763" s="2">
        <v>2338000000</v>
      </c>
      <c r="I763" s="2">
        <v>852000000</v>
      </c>
      <c r="J763" t="s">
        <v>18</v>
      </c>
      <c r="K763" t="s">
        <v>300</v>
      </c>
      <c r="L763" s="37">
        <f t="shared" si="44"/>
        <v>0.28669852419060782</v>
      </c>
      <c r="M763" s="2">
        <f t="shared" si="45"/>
        <v>14939000000</v>
      </c>
      <c r="N763" s="37">
        <f t="shared" si="46"/>
        <v>5.1854837161993593E-2</v>
      </c>
      <c r="O763" s="2">
        <f t="shared" si="47"/>
        <v>2702000000</v>
      </c>
    </row>
    <row r="764" spans="1:15" x14ac:dyDescent="0.3">
      <c r="A764" t="s">
        <v>299</v>
      </c>
      <c r="B764">
        <v>3</v>
      </c>
      <c r="C764">
        <v>2016</v>
      </c>
      <c r="D764" s="1">
        <v>42674</v>
      </c>
      <c r="E764" s="2">
        <v>50123000000</v>
      </c>
      <c r="F764" s="2">
        <v>35507000000</v>
      </c>
      <c r="G764" s="2">
        <v>8419000000</v>
      </c>
      <c r="H764" s="2">
        <v>2298000000</v>
      </c>
      <c r="I764" s="2">
        <v>755000000</v>
      </c>
      <c r="J764" t="s">
        <v>18</v>
      </c>
      <c r="K764" t="s">
        <v>300</v>
      </c>
      <c r="L764" s="37">
        <f t="shared" si="44"/>
        <v>0.29160265746264191</v>
      </c>
      <c r="M764" s="2">
        <f t="shared" si="45"/>
        <v>14616000000</v>
      </c>
      <c r="N764" s="37">
        <f t="shared" si="46"/>
        <v>6.2725694790814593E-2</v>
      </c>
      <c r="O764" s="2">
        <f t="shared" si="47"/>
        <v>3144000000</v>
      </c>
    </row>
    <row r="765" spans="1:15" x14ac:dyDescent="0.3">
      <c r="A765" t="s">
        <v>301</v>
      </c>
      <c r="B765">
        <v>1</v>
      </c>
      <c r="C765">
        <v>2013</v>
      </c>
      <c r="D765" s="1">
        <v>41578</v>
      </c>
      <c r="E765" s="2">
        <v>112298000000</v>
      </c>
      <c r="F765" s="2">
        <v>86380000000</v>
      </c>
      <c r="G765" s="2">
        <v>13267000000</v>
      </c>
      <c r="H765" s="2">
        <v>3135000000</v>
      </c>
      <c r="I765" s="2">
        <v>1373000000</v>
      </c>
      <c r="J765" t="s">
        <v>18</v>
      </c>
      <c r="K765" t="s">
        <v>19</v>
      </c>
      <c r="L765" s="37">
        <f t="shared" si="44"/>
        <v>0.2307966303941299</v>
      </c>
      <c r="M765" s="2">
        <f t="shared" si="45"/>
        <v>25918000000</v>
      </c>
      <c r="N765" s="37">
        <f t="shared" si="46"/>
        <v>7.2512422304938651E-2</v>
      </c>
      <c r="O765" s="2">
        <f t="shared" si="47"/>
        <v>8143000000</v>
      </c>
    </row>
    <row r="766" spans="1:15" x14ac:dyDescent="0.3">
      <c r="A766" t="s">
        <v>301</v>
      </c>
      <c r="B766">
        <v>2</v>
      </c>
      <c r="C766">
        <v>2014</v>
      </c>
      <c r="D766" s="1">
        <v>41943</v>
      </c>
      <c r="E766" s="2">
        <v>56651000000</v>
      </c>
      <c r="F766" s="2">
        <v>45431000000</v>
      </c>
      <c r="G766" s="2">
        <v>5361000000</v>
      </c>
      <c r="H766" s="2">
        <v>1298000000</v>
      </c>
      <c r="I766" s="2">
        <v>129000000</v>
      </c>
      <c r="J766" t="s">
        <v>18</v>
      </c>
      <c r="K766" t="s">
        <v>19</v>
      </c>
      <c r="L766" s="37">
        <f t="shared" si="44"/>
        <v>0.19805475631498115</v>
      </c>
      <c r="M766" s="2">
        <f t="shared" si="45"/>
        <v>11220000000</v>
      </c>
      <c r="N766" s="37">
        <f t="shared" si="46"/>
        <v>7.8233393938324125E-2</v>
      </c>
      <c r="O766" s="2">
        <f t="shared" si="47"/>
        <v>4432000000</v>
      </c>
    </row>
    <row r="767" spans="1:15" x14ac:dyDescent="0.3">
      <c r="A767" t="s">
        <v>301</v>
      </c>
      <c r="B767">
        <v>3</v>
      </c>
      <c r="C767">
        <v>2015</v>
      </c>
      <c r="D767" s="1">
        <v>42308</v>
      </c>
      <c r="E767" s="2">
        <v>51463000000</v>
      </c>
      <c r="F767" s="2">
        <v>41524000000</v>
      </c>
      <c r="G767" s="2">
        <v>4663000000</v>
      </c>
      <c r="H767" s="2">
        <v>1191000000</v>
      </c>
      <c r="I767" s="2">
        <v>102000000</v>
      </c>
      <c r="J767" t="s">
        <v>18</v>
      </c>
      <c r="K767" t="s">
        <v>19</v>
      </c>
      <c r="L767" s="37">
        <f t="shared" si="44"/>
        <v>0.19312904416765442</v>
      </c>
      <c r="M767" s="2">
        <f t="shared" si="45"/>
        <v>9939000000</v>
      </c>
      <c r="N767" s="37">
        <f t="shared" si="46"/>
        <v>7.7395410294774883E-2</v>
      </c>
      <c r="O767" s="2">
        <f t="shared" si="47"/>
        <v>3983000000</v>
      </c>
    </row>
    <row r="768" spans="1:15" x14ac:dyDescent="0.3">
      <c r="A768" t="s">
        <v>301</v>
      </c>
      <c r="B768">
        <v>4</v>
      </c>
      <c r="C768">
        <v>2016</v>
      </c>
      <c r="D768" s="1">
        <v>42674</v>
      </c>
      <c r="E768" s="2">
        <v>48238000000</v>
      </c>
      <c r="F768" s="2">
        <v>39240000000</v>
      </c>
      <c r="G768" s="2">
        <v>4019000000</v>
      </c>
      <c r="H768" s="2">
        <v>1209000000</v>
      </c>
      <c r="I768" s="2">
        <v>16000000</v>
      </c>
      <c r="J768" t="s">
        <v>18</v>
      </c>
      <c r="K768" t="s">
        <v>19</v>
      </c>
      <c r="L768" s="37">
        <f t="shared" si="44"/>
        <v>0.18653343836809155</v>
      </c>
      <c r="M768" s="2">
        <f t="shared" si="45"/>
        <v>8998000000</v>
      </c>
      <c r="N768" s="37">
        <f t="shared" si="46"/>
        <v>7.7822463617894605E-2</v>
      </c>
      <c r="O768" s="2">
        <f t="shared" si="47"/>
        <v>3754000000</v>
      </c>
    </row>
    <row r="769" spans="1:15" x14ac:dyDescent="0.3">
      <c r="A769" t="s">
        <v>20</v>
      </c>
      <c r="B769">
        <v>1</v>
      </c>
      <c r="C769">
        <v>2012</v>
      </c>
      <c r="D769" s="1">
        <v>41274</v>
      </c>
      <c r="E769" s="2">
        <v>18380000000</v>
      </c>
      <c r="F769" s="2">
        <v>4508000000</v>
      </c>
      <c r="G769" s="2">
        <v>4989000000</v>
      </c>
      <c r="H769" s="2">
        <v>2778000000</v>
      </c>
      <c r="I769">
        <v>0</v>
      </c>
      <c r="J769" t="s">
        <v>21</v>
      </c>
      <c r="K769" t="s">
        <v>22</v>
      </c>
      <c r="L769" s="37">
        <f t="shared" si="44"/>
        <v>0.75473340587595206</v>
      </c>
      <c r="M769" s="2">
        <f t="shared" si="45"/>
        <v>13872000000</v>
      </c>
      <c r="N769" s="37">
        <f t="shared" si="46"/>
        <v>0.33215451577801958</v>
      </c>
      <c r="O769" s="2">
        <f t="shared" si="47"/>
        <v>6105000000</v>
      </c>
    </row>
    <row r="770" spans="1:15" x14ac:dyDescent="0.3">
      <c r="A770" t="s">
        <v>20</v>
      </c>
      <c r="B770">
        <v>2</v>
      </c>
      <c r="C770">
        <v>2013</v>
      </c>
      <c r="D770" s="1">
        <v>41639</v>
      </c>
      <c r="E770" s="2">
        <v>18790000000</v>
      </c>
      <c r="F770" s="2">
        <v>4581000000</v>
      </c>
      <c r="G770" s="2">
        <v>5352000000</v>
      </c>
      <c r="H770" s="2">
        <v>2855000000</v>
      </c>
      <c r="I770">
        <v>0</v>
      </c>
      <c r="J770" t="s">
        <v>21</v>
      </c>
      <c r="K770" t="s">
        <v>22</v>
      </c>
      <c r="L770" s="37">
        <f t="shared" ref="L770:L833" si="48">1-(F770/E770)</f>
        <v>0.75620010643959557</v>
      </c>
      <c r="M770" s="2">
        <f t="shared" ref="M770:M833" si="49">E770-F770</f>
        <v>14209000000</v>
      </c>
      <c r="N770" s="37">
        <f t="shared" ref="N770:N833" si="50">O770/E770</f>
        <v>0.31942522618414049</v>
      </c>
      <c r="O770" s="2">
        <f t="shared" ref="O770:O833" si="51">M770-SUM(G770:I770)</f>
        <v>6002000000</v>
      </c>
    </row>
    <row r="771" spans="1:15" x14ac:dyDescent="0.3">
      <c r="A771" t="s">
        <v>20</v>
      </c>
      <c r="B771">
        <v>3</v>
      </c>
      <c r="C771">
        <v>2014</v>
      </c>
      <c r="D771" s="1">
        <v>42004</v>
      </c>
      <c r="E771" s="2">
        <v>19960000000</v>
      </c>
      <c r="F771" s="2">
        <v>4426000000</v>
      </c>
      <c r="G771" s="2">
        <v>8474000000</v>
      </c>
      <c r="H771" s="2">
        <v>3297000000</v>
      </c>
      <c r="I771">
        <v>0</v>
      </c>
      <c r="J771" t="s">
        <v>21</v>
      </c>
      <c r="K771" t="s">
        <v>22</v>
      </c>
      <c r="L771" s="37">
        <f t="shared" si="48"/>
        <v>0.77825651302605214</v>
      </c>
      <c r="M771" s="2">
        <f t="shared" si="49"/>
        <v>15534000000</v>
      </c>
      <c r="N771" s="37">
        <f t="shared" si="50"/>
        <v>0.18852705410821644</v>
      </c>
      <c r="O771" s="2">
        <f t="shared" si="51"/>
        <v>3763000000</v>
      </c>
    </row>
    <row r="772" spans="1:15" x14ac:dyDescent="0.3">
      <c r="A772" t="s">
        <v>20</v>
      </c>
      <c r="B772">
        <v>4</v>
      </c>
      <c r="C772">
        <v>2015</v>
      </c>
      <c r="D772" s="1">
        <v>42369</v>
      </c>
      <c r="E772" s="2">
        <v>22859000000</v>
      </c>
      <c r="F772" s="2">
        <v>4500000000</v>
      </c>
      <c r="G772" s="2">
        <v>6387000000</v>
      </c>
      <c r="H772" s="2">
        <v>4285000000</v>
      </c>
      <c r="I772">
        <v>0</v>
      </c>
      <c r="J772" t="s">
        <v>21</v>
      </c>
      <c r="K772" t="s">
        <v>22</v>
      </c>
      <c r="L772" s="37">
        <f t="shared" si="48"/>
        <v>0.803140994794173</v>
      </c>
      <c r="M772" s="2">
        <f t="shared" si="49"/>
        <v>18359000000</v>
      </c>
      <c r="N772" s="37">
        <f t="shared" si="50"/>
        <v>0.33627892733715387</v>
      </c>
      <c r="O772" s="2">
        <f t="shared" si="51"/>
        <v>7687000000</v>
      </c>
    </row>
    <row r="773" spans="1:15" x14ac:dyDescent="0.3">
      <c r="A773" t="s">
        <v>303</v>
      </c>
      <c r="B773">
        <v>1</v>
      </c>
      <c r="C773">
        <v>2013</v>
      </c>
      <c r="D773" s="1">
        <v>41574</v>
      </c>
      <c r="E773" s="2">
        <v>8751654000</v>
      </c>
      <c r="F773" s="2">
        <v>7338838000</v>
      </c>
      <c r="G773" s="2">
        <v>627340000</v>
      </c>
      <c r="H773">
        <v>0</v>
      </c>
      <c r="I773">
        <v>0</v>
      </c>
      <c r="J773" t="s">
        <v>32</v>
      </c>
      <c r="K773" t="s">
        <v>120</v>
      </c>
      <c r="L773" s="37">
        <f t="shared" si="48"/>
        <v>0.16143417004374261</v>
      </c>
      <c r="M773" s="2">
        <f t="shared" si="49"/>
        <v>1412816000</v>
      </c>
      <c r="N773" s="37">
        <f t="shared" si="50"/>
        <v>8.9751720074856711E-2</v>
      </c>
      <c r="O773" s="2">
        <f t="shared" si="51"/>
        <v>785476000</v>
      </c>
    </row>
    <row r="774" spans="1:15" x14ac:dyDescent="0.3">
      <c r="A774" t="s">
        <v>303</v>
      </c>
      <c r="B774">
        <v>2</v>
      </c>
      <c r="C774">
        <v>2014</v>
      </c>
      <c r="D774" s="1">
        <v>41938</v>
      </c>
      <c r="E774" s="2">
        <v>9316256000</v>
      </c>
      <c r="F774" s="2">
        <v>7751273000</v>
      </c>
      <c r="G774" s="2">
        <v>650948000</v>
      </c>
      <c r="H774">
        <v>0</v>
      </c>
      <c r="I774">
        <v>0</v>
      </c>
      <c r="J774" t="s">
        <v>32</v>
      </c>
      <c r="K774" t="s">
        <v>120</v>
      </c>
      <c r="L774" s="37">
        <f t="shared" si="48"/>
        <v>0.1679841129312033</v>
      </c>
      <c r="M774" s="2">
        <f t="shared" si="49"/>
        <v>1564983000</v>
      </c>
      <c r="N774" s="37">
        <f t="shared" si="50"/>
        <v>9.8111838060267992E-2</v>
      </c>
      <c r="O774" s="2">
        <f t="shared" si="51"/>
        <v>914035000</v>
      </c>
    </row>
    <row r="775" spans="1:15" x14ac:dyDescent="0.3">
      <c r="A775" t="s">
        <v>303</v>
      </c>
      <c r="B775">
        <v>3</v>
      </c>
      <c r="C775">
        <v>2015</v>
      </c>
      <c r="D775" s="1">
        <v>42308</v>
      </c>
      <c r="E775" s="2">
        <v>9263863000</v>
      </c>
      <c r="F775" s="2">
        <v>7455282000</v>
      </c>
      <c r="G775" s="2">
        <v>743611000</v>
      </c>
      <c r="H775">
        <v>0</v>
      </c>
      <c r="I775">
        <v>0</v>
      </c>
      <c r="J775" t="s">
        <v>32</v>
      </c>
      <c r="K775" t="s">
        <v>120</v>
      </c>
      <c r="L775" s="37">
        <f t="shared" si="48"/>
        <v>0.19522967902267119</v>
      </c>
      <c r="M775" s="2">
        <f t="shared" si="49"/>
        <v>1808581000</v>
      </c>
      <c r="N775" s="37">
        <f t="shared" si="50"/>
        <v>0.11495960162623303</v>
      </c>
      <c r="O775" s="2">
        <f t="shared" si="51"/>
        <v>1064970000</v>
      </c>
    </row>
    <row r="776" spans="1:15" x14ac:dyDescent="0.3">
      <c r="A776" t="s">
        <v>303</v>
      </c>
      <c r="B776">
        <v>4</v>
      </c>
      <c r="C776">
        <v>2016</v>
      </c>
      <c r="D776" s="1">
        <v>42673</v>
      </c>
      <c r="E776" s="2">
        <v>9523224000</v>
      </c>
      <c r="F776" s="2">
        <v>7365049000</v>
      </c>
      <c r="G776" s="2">
        <v>871974000</v>
      </c>
      <c r="H776">
        <v>0</v>
      </c>
      <c r="I776">
        <v>0</v>
      </c>
      <c r="J776" t="s">
        <v>32</v>
      </c>
      <c r="K776" t="s">
        <v>120</v>
      </c>
      <c r="L776" s="37">
        <f t="shared" si="48"/>
        <v>0.22662230773947978</v>
      </c>
      <c r="M776" s="2">
        <f t="shared" si="49"/>
        <v>2158175000</v>
      </c>
      <c r="N776" s="37">
        <f t="shared" si="50"/>
        <v>0.13505940845243167</v>
      </c>
      <c r="O776" s="2">
        <f t="shared" si="51"/>
        <v>1286201000</v>
      </c>
    </row>
    <row r="777" spans="1:15" x14ac:dyDescent="0.3">
      <c r="A777" t="s">
        <v>304</v>
      </c>
      <c r="B777">
        <v>1</v>
      </c>
      <c r="C777">
        <v>2013</v>
      </c>
      <c r="D777" s="1">
        <v>41453</v>
      </c>
      <c r="E777" s="2">
        <v>5112000000</v>
      </c>
      <c r="F777" s="2">
        <v>3385000000</v>
      </c>
      <c r="G777" s="2">
        <v>914000000</v>
      </c>
      <c r="H777">
        <v>0</v>
      </c>
      <c r="I777">
        <v>0</v>
      </c>
      <c r="J777" t="s">
        <v>18</v>
      </c>
      <c r="K777" t="s">
        <v>305</v>
      </c>
      <c r="L777" s="37">
        <f t="shared" si="48"/>
        <v>0.33783255086071984</v>
      </c>
      <c r="M777" s="2">
        <f t="shared" si="49"/>
        <v>1727000000</v>
      </c>
      <c r="N777" s="37">
        <f t="shared" si="50"/>
        <v>0.159037558685446</v>
      </c>
      <c r="O777" s="2">
        <f t="shared" si="51"/>
        <v>813000000</v>
      </c>
    </row>
    <row r="778" spans="1:15" x14ac:dyDescent="0.3">
      <c r="A778" t="s">
        <v>304</v>
      </c>
      <c r="B778">
        <v>2</v>
      </c>
      <c r="C778">
        <v>2014</v>
      </c>
      <c r="D778" s="1">
        <v>41817</v>
      </c>
      <c r="E778" s="2">
        <v>5012000000</v>
      </c>
      <c r="F778" s="2">
        <v>3310000000</v>
      </c>
      <c r="G778" s="2">
        <v>820000000</v>
      </c>
      <c r="H778">
        <v>0</v>
      </c>
      <c r="I778">
        <v>0</v>
      </c>
      <c r="J778" t="s">
        <v>18</v>
      </c>
      <c r="K778" t="s">
        <v>305</v>
      </c>
      <c r="L778" s="37">
        <f t="shared" si="48"/>
        <v>0.33958499600957703</v>
      </c>
      <c r="M778" s="2">
        <f t="shared" si="49"/>
        <v>1702000000</v>
      </c>
      <c r="N778" s="37">
        <f t="shared" si="50"/>
        <v>0.17597765363128492</v>
      </c>
      <c r="O778" s="2">
        <f t="shared" si="51"/>
        <v>882000000</v>
      </c>
    </row>
    <row r="779" spans="1:15" x14ac:dyDescent="0.3">
      <c r="A779" t="s">
        <v>304</v>
      </c>
      <c r="B779">
        <v>3</v>
      </c>
      <c r="C779">
        <v>2015</v>
      </c>
      <c r="D779" s="1">
        <v>42188</v>
      </c>
      <c r="E779" s="2">
        <v>5083000000</v>
      </c>
      <c r="F779" s="2">
        <v>3348000000</v>
      </c>
      <c r="G779" s="2">
        <v>976000000</v>
      </c>
      <c r="H779">
        <v>0</v>
      </c>
      <c r="I779">
        <v>0</v>
      </c>
      <c r="J779" t="s">
        <v>18</v>
      </c>
      <c r="K779" t="s">
        <v>305</v>
      </c>
      <c r="L779" s="37">
        <f t="shared" si="48"/>
        <v>0.34133385795789883</v>
      </c>
      <c r="M779" s="2">
        <f t="shared" si="49"/>
        <v>1735000000</v>
      </c>
      <c r="N779" s="37">
        <f t="shared" si="50"/>
        <v>0.14932126696832579</v>
      </c>
      <c r="O779" s="2">
        <f t="shared" si="51"/>
        <v>759000000</v>
      </c>
    </row>
    <row r="780" spans="1:15" x14ac:dyDescent="0.3">
      <c r="A780" t="s">
        <v>304</v>
      </c>
      <c r="B780">
        <v>4</v>
      </c>
      <c r="C780">
        <v>2016</v>
      </c>
      <c r="D780" s="1">
        <v>42552</v>
      </c>
      <c r="E780" s="2">
        <v>7467000000</v>
      </c>
      <c r="F780" s="2">
        <v>5132000000</v>
      </c>
      <c r="G780" s="2">
        <v>1186000000</v>
      </c>
      <c r="H780">
        <v>0</v>
      </c>
      <c r="I780">
        <v>0</v>
      </c>
      <c r="J780" t="s">
        <v>18</v>
      </c>
      <c r="K780" t="s">
        <v>305</v>
      </c>
      <c r="L780" s="37">
        <f t="shared" si="48"/>
        <v>0.31270925405115846</v>
      </c>
      <c r="M780" s="2">
        <f t="shared" si="49"/>
        <v>2335000000</v>
      </c>
      <c r="N780" s="37">
        <f t="shared" si="50"/>
        <v>0.1538770590598634</v>
      </c>
      <c r="O780" s="2">
        <f t="shared" si="51"/>
        <v>1149000000</v>
      </c>
    </row>
    <row r="781" spans="1:15" x14ac:dyDescent="0.3">
      <c r="A781" t="s">
        <v>23</v>
      </c>
      <c r="B781">
        <v>1</v>
      </c>
      <c r="C781">
        <v>2013</v>
      </c>
      <c r="D781" s="1">
        <v>41547</v>
      </c>
      <c r="E781" s="2">
        <v>87959167000</v>
      </c>
      <c r="F781" s="2">
        <v>85451348000</v>
      </c>
      <c r="G781" s="2">
        <v>1447234000</v>
      </c>
      <c r="H781">
        <v>0</v>
      </c>
      <c r="I781" s="2">
        <v>162186000</v>
      </c>
      <c r="J781" t="s">
        <v>21</v>
      </c>
      <c r="K781" t="s">
        <v>24</v>
      </c>
      <c r="L781" s="37">
        <f t="shared" si="48"/>
        <v>2.8511172689936859E-2</v>
      </c>
      <c r="M781" s="2">
        <f t="shared" si="49"/>
        <v>2507819000</v>
      </c>
      <c r="N781" s="37">
        <f t="shared" si="50"/>
        <v>1.0213818873477963E-2</v>
      </c>
      <c r="O781" s="2">
        <f t="shared" si="51"/>
        <v>898399000</v>
      </c>
    </row>
    <row r="782" spans="1:15" x14ac:dyDescent="0.3">
      <c r="A782" t="s">
        <v>23</v>
      </c>
      <c r="B782">
        <v>2</v>
      </c>
      <c r="C782">
        <v>2014</v>
      </c>
      <c r="D782" s="1">
        <v>41912</v>
      </c>
      <c r="E782" s="2">
        <v>119569127000</v>
      </c>
      <c r="F782" s="2">
        <v>116586761000</v>
      </c>
      <c r="G782" s="2">
        <v>2011595000</v>
      </c>
      <c r="H782">
        <v>0</v>
      </c>
      <c r="I782" s="2">
        <v>188680000</v>
      </c>
      <c r="J782" t="s">
        <v>21</v>
      </c>
      <c r="K782" t="s">
        <v>24</v>
      </c>
      <c r="L782" s="37">
        <f t="shared" si="48"/>
        <v>2.4942609140234051E-2</v>
      </c>
      <c r="M782" s="2">
        <f t="shared" si="49"/>
        <v>2982366000</v>
      </c>
      <c r="N782" s="37">
        <f t="shared" si="50"/>
        <v>6.5409108490020167E-3</v>
      </c>
      <c r="O782" s="2">
        <f t="shared" si="51"/>
        <v>782091000</v>
      </c>
    </row>
    <row r="783" spans="1:15" x14ac:dyDescent="0.3">
      <c r="A783" t="s">
        <v>23</v>
      </c>
      <c r="B783">
        <v>3</v>
      </c>
      <c r="C783">
        <v>2015</v>
      </c>
      <c r="D783" s="1">
        <v>42277</v>
      </c>
      <c r="E783" s="2">
        <v>135961803000</v>
      </c>
      <c r="F783" s="2">
        <v>132432490000</v>
      </c>
      <c r="G783" s="2">
        <v>2858458000</v>
      </c>
      <c r="H783">
        <v>0</v>
      </c>
      <c r="I783" s="2">
        <v>248635000</v>
      </c>
      <c r="J783" t="s">
        <v>21</v>
      </c>
      <c r="K783" t="s">
        <v>24</v>
      </c>
      <c r="L783" s="37">
        <f t="shared" si="48"/>
        <v>2.5958121487988817E-2</v>
      </c>
      <c r="M783" s="2">
        <f t="shared" si="49"/>
        <v>3529313000</v>
      </c>
      <c r="N783" s="37">
        <f t="shared" si="50"/>
        <v>3.1054310157978709E-3</v>
      </c>
      <c r="O783" s="2">
        <f t="shared" si="51"/>
        <v>422220000</v>
      </c>
    </row>
    <row r="784" spans="1:15" x14ac:dyDescent="0.3">
      <c r="A784" t="s">
        <v>23</v>
      </c>
      <c r="B784">
        <v>4</v>
      </c>
      <c r="C784">
        <v>2016</v>
      </c>
      <c r="D784" s="1">
        <v>42643</v>
      </c>
      <c r="E784" s="2">
        <v>146849686000</v>
      </c>
      <c r="F784" s="2">
        <v>142577080000</v>
      </c>
      <c r="G784" s="2">
        <v>2382097000</v>
      </c>
      <c r="H784">
        <v>0</v>
      </c>
      <c r="I784" s="2">
        <v>364735000</v>
      </c>
      <c r="J784" t="s">
        <v>21</v>
      </c>
      <c r="K784" t="s">
        <v>24</v>
      </c>
      <c r="L784" s="37">
        <f t="shared" si="48"/>
        <v>2.9095097962960614E-2</v>
      </c>
      <c r="M784" s="2">
        <f t="shared" si="49"/>
        <v>4272606000</v>
      </c>
      <c r="N784" s="37">
        <f t="shared" si="50"/>
        <v>1.0390039240533343E-2</v>
      </c>
      <c r="O784" s="2">
        <f t="shared" si="51"/>
        <v>1525774000</v>
      </c>
    </row>
    <row r="785" spans="1:15" x14ac:dyDescent="0.3">
      <c r="A785" t="s">
        <v>307</v>
      </c>
      <c r="B785">
        <v>1</v>
      </c>
      <c r="C785">
        <v>2012</v>
      </c>
      <c r="D785" s="1">
        <v>41274</v>
      </c>
      <c r="E785" s="2">
        <v>5059000000</v>
      </c>
      <c r="F785" s="2">
        <v>1885000000</v>
      </c>
      <c r="G785" s="2">
        <v>2101000000</v>
      </c>
      <c r="H785">
        <v>0</v>
      </c>
      <c r="I785" s="2">
        <v>722000000</v>
      </c>
      <c r="J785" t="s">
        <v>48</v>
      </c>
      <c r="K785" t="s">
        <v>49</v>
      </c>
      <c r="L785" s="37">
        <f t="shared" si="48"/>
        <v>0.62739671871911451</v>
      </c>
      <c r="M785" s="2">
        <f t="shared" si="49"/>
        <v>3174000000</v>
      </c>
      <c r="N785" s="37">
        <f t="shared" si="50"/>
        <v>6.938130065230283E-2</v>
      </c>
      <c r="O785" s="2">
        <f t="shared" si="51"/>
        <v>351000000</v>
      </c>
    </row>
    <row r="786" spans="1:15" x14ac:dyDescent="0.3">
      <c r="A786" t="s">
        <v>307</v>
      </c>
      <c r="B786">
        <v>2</v>
      </c>
      <c r="C786">
        <v>2013</v>
      </c>
      <c r="D786" s="1">
        <v>41639</v>
      </c>
      <c r="E786" s="2">
        <v>5166000000</v>
      </c>
      <c r="F786" s="2">
        <v>1989000000</v>
      </c>
      <c r="G786" s="2">
        <v>1968000000</v>
      </c>
      <c r="H786">
        <v>0</v>
      </c>
      <c r="I786" s="2">
        <v>697000000</v>
      </c>
      <c r="J786" t="s">
        <v>48</v>
      </c>
      <c r="K786" t="s">
        <v>49</v>
      </c>
      <c r="L786" s="37">
        <f t="shared" si="48"/>
        <v>0.61498257839721249</v>
      </c>
      <c r="M786" s="2">
        <f t="shared" si="49"/>
        <v>3177000000</v>
      </c>
      <c r="N786" s="37">
        <f t="shared" si="50"/>
        <v>9.910956252419667E-2</v>
      </c>
      <c r="O786" s="2">
        <f t="shared" si="51"/>
        <v>512000000</v>
      </c>
    </row>
    <row r="787" spans="1:15" x14ac:dyDescent="0.3">
      <c r="A787" t="s">
        <v>307</v>
      </c>
      <c r="B787">
        <v>3</v>
      </c>
      <c r="C787">
        <v>2014</v>
      </c>
      <c r="D787" s="1">
        <v>42004</v>
      </c>
      <c r="E787" s="2">
        <v>5354000000</v>
      </c>
      <c r="F787" s="2">
        <v>2033000000</v>
      </c>
      <c r="G787" s="2">
        <v>1920000000</v>
      </c>
      <c r="H787">
        <v>0</v>
      </c>
      <c r="I787" s="2">
        <v>701000000</v>
      </c>
      <c r="J787" t="s">
        <v>48</v>
      </c>
      <c r="K787" t="s">
        <v>49</v>
      </c>
      <c r="L787" s="37">
        <f t="shared" si="48"/>
        <v>0.62028389988793431</v>
      </c>
      <c r="M787" s="2">
        <f t="shared" si="49"/>
        <v>3321000000</v>
      </c>
      <c r="N787" s="37">
        <f t="shared" si="50"/>
        <v>0.13074336944340681</v>
      </c>
      <c r="O787" s="2">
        <f t="shared" si="51"/>
        <v>700000000</v>
      </c>
    </row>
    <row r="788" spans="1:15" x14ac:dyDescent="0.3">
      <c r="A788" t="s">
        <v>307</v>
      </c>
      <c r="B788">
        <v>4</v>
      </c>
      <c r="C788">
        <v>2015</v>
      </c>
      <c r="D788" s="1">
        <v>42369</v>
      </c>
      <c r="E788" s="2">
        <v>5387000000</v>
      </c>
      <c r="F788" s="2">
        <v>2012000000</v>
      </c>
      <c r="G788" s="2">
        <v>2011000000</v>
      </c>
      <c r="H788">
        <v>0</v>
      </c>
      <c r="I788" s="2">
        <v>716000000</v>
      </c>
      <c r="J788" t="s">
        <v>48</v>
      </c>
      <c r="K788" t="s">
        <v>49</v>
      </c>
      <c r="L788" s="37">
        <f t="shared" si="48"/>
        <v>0.62650826062743636</v>
      </c>
      <c r="M788" s="2">
        <f t="shared" si="49"/>
        <v>3375000000</v>
      </c>
      <c r="N788" s="37">
        <f t="shared" si="50"/>
        <v>0.1202895860404678</v>
      </c>
      <c r="O788" s="2">
        <f t="shared" si="51"/>
        <v>648000000</v>
      </c>
    </row>
    <row r="789" spans="1:15" x14ac:dyDescent="0.3">
      <c r="A789" t="s">
        <v>308</v>
      </c>
      <c r="B789">
        <v>1</v>
      </c>
      <c r="C789">
        <v>2012</v>
      </c>
      <c r="D789" s="1">
        <v>41274</v>
      </c>
      <c r="E789" s="2">
        <v>6644252000</v>
      </c>
      <c r="F789" s="2">
        <v>3784370000</v>
      </c>
      <c r="G789" s="2">
        <v>1703796000</v>
      </c>
      <c r="H789">
        <v>0</v>
      </c>
      <c r="I789">
        <v>0</v>
      </c>
      <c r="J789" t="s">
        <v>32</v>
      </c>
      <c r="K789" t="s">
        <v>120</v>
      </c>
      <c r="L789" s="37">
        <f t="shared" si="48"/>
        <v>0.43042949003138353</v>
      </c>
      <c r="M789" s="2">
        <f t="shared" si="49"/>
        <v>2859882000</v>
      </c>
      <c r="N789" s="37">
        <f t="shared" si="50"/>
        <v>0.17399791579247748</v>
      </c>
      <c r="O789" s="2">
        <f t="shared" si="51"/>
        <v>1156086000</v>
      </c>
    </row>
    <row r="790" spans="1:15" x14ac:dyDescent="0.3">
      <c r="A790" t="s">
        <v>308</v>
      </c>
      <c r="B790">
        <v>2</v>
      </c>
      <c r="C790">
        <v>2013</v>
      </c>
      <c r="D790" s="1">
        <v>41639</v>
      </c>
      <c r="E790" s="2">
        <v>7146079000</v>
      </c>
      <c r="F790" s="2">
        <v>3865231000</v>
      </c>
      <c r="G790" s="2">
        <v>1924132000</v>
      </c>
      <c r="H790">
        <v>0</v>
      </c>
      <c r="I790">
        <v>0</v>
      </c>
      <c r="J790" t="s">
        <v>32</v>
      </c>
      <c r="K790" t="s">
        <v>120</v>
      </c>
      <c r="L790" s="37">
        <f t="shared" si="48"/>
        <v>0.45911163310677083</v>
      </c>
      <c r="M790" s="2">
        <f t="shared" si="49"/>
        <v>3280848000</v>
      </c>
      <c r="N790" s="37">
        <f t="shared" si="50"/>
        <v>0.18985460418223757</v>
      </c>
      <c r="O790" s="2">
        <f t="shared" si="51"/>
        <v>1356716000</v>
      </c>
    </row>
    <row r="791" spans="1:15" x14ac:dyDescent="0.3">
      <c r="A791" t="s">
        <v>308</v>
      </c>
      <c r="B791">
        <v>3</v>
      </c>
      <c r="C791">
        <v>2014</v>
      </c>
      <c r="D791" s="1">
        <v>42004</v>
      </c>
      <c r="E791" s="2">
        <v>7421768000</v>
      </c>
      <c r="F791" s="2">
        <v>4085602000</v>
      </c>
      <c r="G791" s="2">
        <v>1898284000</v>
      </c>
      <c r="H791">
        <v>0</v>
      </c>
      <c r="I791">
        <v>0</v>
      </c>
      <c r="J791" t="s">
        <v>32</v>
      </c>
      <c r="K791" t="s">
        <v>120</v>
      </c>
      <c r="L791" s="37">
        <f t="shared" si="48"/>
        <v>0.44951095210736847</v>
      </c>
      <c r="M791" s="2">
        <f t="shared" si="49"/>
        <v>3336166000</v>
      </c>
      <c r="N791" s="37">
        <f t="shared" si="50"/>
        <v>0.19373847309697637</v>
      </c>
      <c r="O791" s="2">
        <f t="shared" si="51"/>
        <v>1437882000</v>
      </c>
    </row>
    <row r="792" spans="1:15" x14ac:dyDescent="0.3">
      <c r="A792" t="s">
        <v>308</v>
      </c>
      <c r="B792">
        <v>4</v>
      </c>
      <c r="C792">
        <v>2015</v>
      </c>
      <c r="D792" s="1">
        <v>42369</v>
      </c>
      <c r="E792" s="2">
        <v>7386626000</v>
      </c>
      <c r="F792" s="2">
        <v>4003951000</v>
      </c>
      <c r="G792" s="2">
        <v>1969308000</v>
      </c>
      <c r="H792">
        <v>0</v>
      </c>
      <c r="I792">
        <v>0</v>
      </c>
      <c r="J792" t="s">
        <v>32</v>
      </c>
      <c r="K792" t="s">
        <v>120</v>
      </c>
      <c r="L792" s="37">
        <f t="shared" si="48"/>
        <v>0.45794588760822597</v>
      </c>
      <c r="M792" s="2">
        <f t="shared" si="49"/>
        <v>3382675000</v>
      </c>
      <c r="N792" s="37">
        <f t="shared" si="50"/>
        <v>0.19134135124751139</v>
      </c>
      <c r="O792" s="2">
        <f t="shared" si="51"/>
        <v>1413367000</v>
      </c>
    </row>
    <row r="793" spans="1:15" x14ac:dyDescent="0.3">
      <c r="A793" t="s">
        <v>25</v>
      </c>
      <c r="B793">
        <v>1</v>
      </c>
      <c r="C793">
        <v>2012</v>
      </c>
      <c r="D793" s="1">
        <v>41274</v>
      </c>
      <c r="E793" s="2">
        <v>19050000000</v>
      </c>
      <c r="F793" s="2">
        <v>8899000000</v>
      </c>
      <c r="G793" s="2">
        <v>6735000000</v>
      </c>
      <c r="H793" s="2">
        <v>1461000000</v>
      </c>
      <c r="I793" s="2">
        <v>595000000</v>
      </c>
      <c r="J793" t="s">
        <v>21</v>
      </c>
      <c r="K793" t="s">
        <v>26</v>
      </c>
      <c r="L793" s="37">
        <f t="shared" si="48"/>
        <v>0.53286089238845147</v>
      </c>
      <c r="M793" s="2">
        <f t="shared" si="49"/>
        <v>10151000000</v>
      </c>
      <c r="N793" s="37">
        <f t="shared" si="50"/>
        <v>7.1391076115485563E-2</v>
      </c>
      <c r="O793" s="2">
        <f t="shared" si="51"/>
        <v>1360000000</v>
      </c>
    </row>
    <row r="794" spans="1:15" x14ac:dyDescent="0.3">
      <c r="A794" t="s">
        <v>25</v>
      </c>
      <c r="B794">
        <v>2</v>
      </c>
      <c r="C794">
        <v>2013</v>
      </c>
      <c r="D794" s="1">
        <v>41639</v>
      </c>
      <c r="E794" s="2">
        <v>19657000000</v>
      </c>
      <c r="F794" s="2">
        <v>9193000000</v>
      </c>
      <c r="G794" s="2">
        <v>6372000000</v>
      </c>
      <c r="H794" s="2">
        <v>1371000000</v>
      </c>
      <c r="I794" s="2">
        <v>588000000</v>
      </c>
      <c r="J794" t="s">
        <v>21</v>
      </c>
      <c r="K794" t="s">
        <v>26</v>
      </c>
      <c r="L794" s="37">
        <f t="shared" si="48"/>
        <v>0.53232945006867782</v>
      </c>
      <c r="M794" s="2">
        <f t="shared" si="49"/>
        <v>10464000000</v>
      </c>
      <c r="N794" s="37">
        <f t="shared" si="50"/>
        <v>0.10851096301571959</v>
      </c>
      <c r="O794" s="2">
        <f t="shared" si="51"/>
        <v>2133000000</v>
      </c>
    </row>
    <row r="795" spans="1:15" x14ac:dyDescent="0.3">
      <c r="A795" t="s">
        <v>25</v>
      </c>
      <c r="B795">
        <v>3</v>
      </c>
      <c r="C795">
        <v>2014</v>
      </c>
      <c r="D795" s="1">
        <v>42004</v>
      </c>
      <c r="E795" s="2">
        <v>20247000000</v>
      </c>
      <c r="F795" s="2">
        <v>9218000000</v>
      </c>
      <c r="G795" s="2">
        <v>6530000000</v>
      </c>
      <c r="H795" s="2">
        <v>1345000000</v>
      </c>
      <c r="I795" s="2">
        <v>555000000</v>
      </c>
      <c r="J795" t="s">
        <v>21</v>
      </c>
      <c r="K795" t="s">
        <v>26</v>
      </c>
      <c r="L795" s="37">
        <f t="shared" si="48"/>
        <v>0.54472267496419224</v>
      </c>
      <c r="M795" s="2">
        <f t="shared" si="49"/>
        <v>11029000000</v>
      </c>
      <c r="N795" s="37">
        <f t="shared" si="50"/>
        <v>0.12836469600434633</v>
      </c>
      <c r="O795" s="2">
        <f t="shared" si="51"/>
        <v>2599000000</v>
      </c>
    </row>
    <row r="796" spans="1:15" x14ac:dyDescent="0.3">
      <c r="A796" t="s">
        <v>25</v>
      </c>
      <c r="B796">
        <v>4</v>
      </c>
      <c r="C796">
        <v>2015</v>
      </c>
      <c r="D796" s="1">
        <v>42369</v>
      </c>
      <c r="E796" s="2">
        <v>20405000000</v>
      </c>
      <c r="F796" s="2">
        <v>8747000000</v>
      </c>
      <c r="G796" s="2">
        <v>6785000000</v>
      </c>
      <c r="H796" s="2">
        <v>1405000000</v>
      </c>
      <c r="I796" s="2">
        <v>601000000</v>
      </c>
      <c r="J796" t="s">
        <v>21</v>
      </c>
      <c r="K796" t="s">
        <v>26</v>
      </c>
      <c r="L796" s="37">
        <f t="shared" si="48"/>
        <v>0.57133055623621654</v>
      </c>
      <c r="M796" s="2">
        <f t="shared" si="49"/>
        <v>11658000000</v>
      </c>
      <c r="N796" s="37">
        <f t="shared" si="50"/>
        <v>0.14050477824062729</v>
      </c>
      <c r="O796" s="2">
        <f t="shared" si="51"/>
        <v>2867000000</v>
      </c>
    </row>
    <row r="797" spans="1:15" x14ac:dyDescent="0.3">
      <c r="A797" t="s">
        <v>310</v>
      </c>
      <c r="B797">
        <v>1</v>
      </c>
      <c r="C797">
        <v>2012</v>
      </c>
      <c r="D797" s="1">
        <v>41274</v>
      </c>
      <c r="E797" s="2">
        <v>102874000000</v>
      </c>
      <c r="F797" s="2">
        <v>52513000000</v>
      </c>
      <c r="G797" s="2">
        <v>22389000000</v>
      </c>
      <c r="H797" s="2">
        <v>5816000000</v>
      </c>
      <c r="I797">
        <v>0</v>
      </c>
      <c r="J797" t="s">
        <v>18</v>
      </c>
      <c r="K797" t="s">
        <v>172</v>
      </c>
      <c r="L797" s="37">
        <f t="shared" si="48"/>
        <v>0.48954060306783054</v>
      </c>
      <c r="M797" s="2">
        <f t="shared" si="49"/>
        <v>50361000000</v>
      </c>
      <c r="N797" s="37">
        <f t="shared" si="50"/>
        <v>0.21537025876314714</v>
      </c>
      <c r="O797" s="2">
        <f t="shared" si="51"/>
        <v>22156000000</v>
      </c>
    </row>
    <row r="798" spans="1:15" x14ac:dyDescent="0.3">
      <c r="A798" t="s">
        <v>310</v>
      </c>
      <c r="B798">
        <v>2</v>
      </c>
      <c r="C798">
        <v>2013</v>
      </c>
      <c r="D798" s="1">
        <v>41639</v>
      </c>
      <c r="E798" s="2">
        <v>98367000000</v>
      </c>
      <c r="F798" s="2">
        <v>49683000000</v>
      </c>
      <c r="G798" s="2">
        <v>22629000000</v>
      </c>
      <c r="H798" s="2">
        <v>5743000000</v>
      </c>
      <c r="I798">
        <v>0</v>
      </c>
      <c r="J798" t="s">
        <v>18</v>
      </c>
      <c r="K798" t="s">
        <v>172</v>
      </c>
      <c r="L798" s="37">
        <f t="shared" si="48"/>
        <v>0.49492207752599959</v>
      </c>
      <c r="M798" s="2">
        <f t="shared" si="49"/>
        <v>48684000000</v>
      </c>
      <c r="N798" s="37">
        <f t="shared" si="50"/>
        <v>0.20649201459839173</v>
      </c>
      <c r="O798" s="2">
        <f t="shared" si="51"/>
        <v>20312000000</v>
      </c>
    </row>
    <row r="799" spans="1:15" x14ac:dyDescent="0.3">
      <c r="A799" t="s">
        <v>310</v>
      </c>
      <c r="B799">
        <v>3</v>
      </c>
      <c r="C799">
        <v>2014</v>
      </c>
      <c r="D799" s="1">
        <v>42004</v>
      </c>
      <c r="E799" s="2">
        <v>92793000000</v>
      </c>
      <c r="F799" s="2">
        <v>46386000000</v>
      </c>
      <c r="G799" s="2">
        <v>22438000000</v>
      </c>
      <c r="H799" s="2">
        <v>5437000000</v>
      </c>
      <c r="I799">
        <v>0</v>
      </c>
      <c r="J799" t="s">
        <v>18</v>
      </c>
      <c r="K799" t="s">
        <v>172</v>
      </c>
      <c r="L799" s="37">
        <f t="shared" si="48"/>
        <v>0.50011315508712939</v>
      </c>
      <c r="M799" s="2">
        <f t="shared" si="49"/>
        <v>46407000000</v>
      </c>
      <c r="N799" s="37">
        <f t="shared" si="50"/>
        <v>0.1997133404459388</v>
      </c>
      <c r="O799" s="2">
        <f t="shared" si="51"/>
        <v>18532000000</v>
      </c>
    </row>
    <row r="800" spans="1:15" x14ac:dyDescent="0.3">
      <c r="A800" t="s">
        <v>310</v>
      </c>
      <c r="B800">
        <v>4</v>
      </c>
      <c r="C800">
        <v>2015</v>
      </c>
      <c r="D800" s="1">
        <v>42369</v>
      </c>
      <c r="E800" s="2">
        <v>81741000000</v>
      </c>
      <c r="F800" s="2">
        <v>41057000000</v>
      </c>
      <c r="G800" s="2">
        <v>19748000000</v>
      </c>
      <c r="H800" s="2">
        <v>5247000000</v>
      </c>
      <c r="I800">
        <v>0</v>
      </c>
      <c r="J800" t="s">
        <v>18</v>
      </c>
      <c r="K800" t="s">
        <v>172</v>
      </c>
      <c r="L800" s="37">
        <f t="shared" si="48"/>
        <v>0.4977184032492874</v>
      </c>
      <c r="M800" s="2">
        <f t="shared" si="49"/>
        <v>40684000000</v>
      </c>
      <c r="N800" s="37">
        <f t="shared" si="50"/>
        <v>0.19193550360284312</v>
      </c>
      <c r="O800" s="2">
        <f t="shared" si="51"/>
        <v>15689000000</v>
      </c>
    </row>
    <row r="801" spans="1:15" x14ac:dyDescent="0.3">
      <c r="A801" t="s">
        <v>61</v>
      </c>
      <c r="B801">
        <v>1</v>
      </c>
      <c r="C801">
        <v>2013</v>
      </c>
      <c r="D801" s="1">
        <v>41639</v>
      </c>
      <c r="E801" s="2">
        <v>1551346000</v>
      </c>
      <c r="F801" s="2">
        <v>177556000</v>
      </c>
      <c r="G801" s="2">
        <v>493726000</v>
      </c>
      <c r="H801" s="2">
        <v>317093000</v>
      </c>
      <c r="I801" s="2">
        <v>417000</v>
      </c>
      <c r="J801" t="s">
        <v>21</v>
      </c>
      <c r="K801" t="s">
        <v>62</v>
      </c>
      <c r="L801" s="37">
        <f t="shared" si="48"/>
        <v>0.88554713132982588</v>
      </c>
      <c r="M801" s="2">
        <f t="shared" si="49"/>
        <v>1373790000</v>
      </c>
      <c r="N801" s="37">
        <f t="shared" si="50"/>
        <v>0.36262316723670929</v>
      </c>
      <c r="O801" s="2">
        <f t="shared" si="51"/>
        <v>562554000</v>
      </c>
    </row>
    <row r="802" spans="1:15" x14ac:dyDescent="0.3">
      <c r="A802" t="s">
        <v>61</v>
      </c>
      <c r="B802">
        <v>2</v>
      </c>
      <c r="C802">
        <v>2014</v>
      </c>
      <c r="D802" s="1">
        <v>42004</v>
      </c>
      <c r="E802" s="2">
        <v>2234000000</v>
      </c>
      <c r="F802" s="2">
        <v>174000000</v>
      </c>
      <c r="G802" s="2">
        <v>650000000</v>
      </c>
      <c r="H802" s="2">
        <v>514000000</v>
      </c>
      <c r="I802">
        <v>0</v>
      </c>
      <c r="J802" t="s">
        <v>21</v>
      </c>
      <c r="K802" t="s">
        <v>62</v>
      </c>
      <c r="L802" s="37">
        <f t="shared" si="48"/>
        <v>0.92211280214861235</v>
      </c>
      <c r="M802" s="2">
        <f t="shared" si="49"/>
        <v>2060000000</v>
      </c>
      <c r="N802" s="37">
        <f t="shared" si="50"/>
        <v>0.40107430617726053</v>
      </c>
      <c r="O802" s="2">
        <f t="shared" si="51"/>
        <v>896000000</v>
      </c>
    </row>
    <row r="803" spans="1:15" x14ac:dyDescent="0.3">
      <c r="A803" t="s">
        <v>61</v>
      </c>
      <c r="B803">
        <v>3</v>
      </c>
      <c r="C803">
        <v>2015</v>
      </c>
      <c r="D803" s="1">
        <v>42369</v>
      </c>
      <c r="E803" s="2">
        <v>2604000000</v>
      </c>
      <c r="F803" s="2">
        <v>233000000</v>
      </c>
      <c r="G803" s="2">
        <v>927000000</v>
      </c>
      <c r="H803" s="2">
        <v>709000000</v>
      </c>
      <c r="I803" s="2">
        <v>117000000</v>
      </c>
      <c r="J803" t="s">
        <v>21</v>
      </c>
      <c r="K803" t="s">
        <v>62</v>
      </c>
      <c r="L803" s="37">
        <f t="shared" si="48"/>
        <v>0.91052227342549918</v>
      </c>
      <c r="M803" s="2">
        <f t="shared" si="49"/>
        <v>2371000000</v>
      </c>
      <c r="N803" s="37">
        <f t="shared" si="50"/>
        <v>0.23732718894009217</v>
      </c>
      <c r="O803" s="2">
        <f t="shared" si="51"/>
        <v>618000000</v>
      </c>
    </row>
    <row r="804" spans="1:15" x14ac:dyDescent="0.3">
      <c r="A804" t="s">
        <v>61</v>
      </c>
      <c r="B804">
        <v>4</v>
      </c>
      <c r="C804">
        <v>2016</v>
      </c>
      <c r="D804" s="1">
        <v>42735</v>
      </c>
      <c r="E804" s="2">
        <v>3084000000</v>
      </c>
      <c r="F804" s="2">
        <v>258000000</v>
      </c>
      <c r="G804" s="2">
        <v>990000000</v>
      </c>
      <c r="H804" s="2">
        <v>757000000</v>
      </c>
      <c r="I804" s="2">
        <v>322000000</v>
      </c>
      <c r="J804" t="s">
        <v>21</v>
      </c>
      <c r="K804" t="s">
        <v>62</v>
      </c>
      <c r="L804" s="37">
        <f t="shared" si="48"/>
        <v>0.91634241245136183</v>
      </c>
      <c r="M804" s="2">
        <f t="shared" si="49"/>
        <v>2826000000</v>
      </c>
      <c r="N804" s="37">
        <f t="shared" si="50"/>
        <v>0.2454604409857328</v>
      </c>
      <c r="O804" s="2">
        <f t="shared" si="51"/>
        <v>757000000</v>
      </c>
    </row>
    <row r="805" spans="1:15" x14ac:dyDescent="0.3">
      <c r="A805" t="s">
        <v>312</v>
      </c>
      <c r="B805">
        <v>1</v>
      </c>
      <c r="C805">
        <v>2012</v>
      </c>
      <c r="D805" s="1">
        <v>41274</v>
      </c>
      <c r="E805" s="2">
        <v>2821446000</v>
      </c>
      <c r="F805" s="2">
        <v>1645912000</v>
      </c>
      <c r="G805" s="2">
        <v>453535000</v>
      </c>
      <c r="H805" s="2">
        <v>233713000</v>
      </c>
      <c r="I805">
        <v>0</v>
      </c>
      <c r="J805" t="s">
        <v>55</v>
      </c>
      <c r="K805" t="s">
        <v>56</v>
      </c>
      <c r="L805" s="37">
        <f t="shared" si="48"/>
        <v>0.4166423883356265</v>
      </c>
      <c r="M805" s="2">
        <f t="shared" si="49"/>
        <v>1175534000</v>
      </c>
      <c r="N805" s="37">
        <f t="shared" si="50"/>
        <v>0.17306232336185062</v>
      </c>
      <c r="O805" s="2">
        <f t="shared" si="51"/>
        <v>488286000</v>
      </c>
    </row>
    <row r="806" spans="1:15" x14ac:dyDescent="0.3">
      <c r="A806" t="s">
        <v>312</v>
      </c>
      <c r="B806">
        <v>2</v>
      </c>
      <c r="C806">
        <v>2013</v>
      </c>
      <c r="D806" s="1">
        <v>41639</v>
      </c>
      <c r="E806" s="2">
        <v>2952896000</v>
      </c>
      <c r="F806" s="2">
        <v>1668691000</v>
      </c>
      <c r="G806" s="2">
        <v>505877000</v>
      </c>
      <c r="H806" s="2">
        <v>259838000</v>
      </c>
      <c r="I806">
        <v>0</v>
      </c>
      <c r="J806" t="s">
        <v>55</v>
      </c>
      <c r="K806" t="s">
        <v>56</v>
      </c>
      <c r="L806" s="37">
        <f t="shared" si="48"/>
        <v>0.43489679284336458</v>
      </c>
      <c r="M806" s="2">
        <f t="shared" si="49"/>
        <v>1284205000</v>
      </c>
      <c r="N806" s="37">
        <f t="shared" si="50"/>
        <v>0.17558694921866533</v>
      </c>
      <c r="O806" s="2">
        <f t="shared" si="51"/>
        <v>518490000</v>
      </c>
    </row>
    <row r="807" spans="1:15" x14ac:dyDescent="0.3">
      <c r="A807" t="s">
        <v>312</v>
      </c>
      <c r="B807">
        <v>3</v>
      </c>
      <c r="C807">
        <v>2014</v>
      </c>
      <c r="D807" s="1">
        <v>42004</v>
      </c>
      <c r="E807" s="2">
        <v>3088533000</v>
      </c>
      <c r="F807" s="2">
        <v>1726383000</v>
      </c>
      <c r="G807" s="2">
        <v>514891000</v>
      </c>
      <c r="H807" s="2">
        <v>253640000</v>
      </c>
      <c r="I807">
        <v>0</v>
      </c>
      <c r="J807" t="s">
        <v>55</v>
      </c>
      <c r="K807" t="s">
        <v>56</v>
      </c>
      <c r="L807" s="37">
        <f t="shared" si="48"/>
        <v>0.44103462711908858</v>
      </c>
      <c r="M807" s="2">
        <f t="shared" si="49"/>
        <v>1362150000</v>
      </c>
      <c r="N807" s="37">
        <f t="shared" si="50"/>
        <v>0.19220095754197866</v>
      </c>
      <c r="O807" s="2">
        <f t="shared" si="51"/>
        <v>593619000</v>
      </c>
    </row>
    <row r="808" spans="1:15" x14ac:dyDescent="0.3">
      <c r="A808" t="s">
        <v>312</v>
      </c>
      <c r="B808">
        <v>4</v>
      </c>
      <c r="C808">
        <v>2015</v>
      </c>
      <c r="D808" s="1">
        <v>42369</v>
      </c>
      <c r="E808" s="2">
        <v>3023189000</v>
      </c>
      <c r="F808" s="2">
        <v>1671590000</v>
      </c>
      <c r="G808" s="2">
        <v>509557000</v>
      </c>
      <c r="H808" s="2">
        <v>246101000</v>
      </c>
      <c r="I808">
        <v>0</v>
      </c>
      <c r="J808" t="s">
        <v>55</v>
      </c>
      <c r="K808" t="s">
        <v>56</v>
      </c>
      <c r="L808" s="37">
        <f t="shared" si="48"/>
        <v>0.44707724194550857</v>
      </c>
      <c r="M808" s="2">
        <f t="shared" si="49"/>
        <v>1351599000</v>
      </c>
      <c r="N808" s="37">
        <f t="shared" si="50"/>
        <v>0.19712330257883315</v>
      </c>
      <c r="O808" s="2">
        <f t="shared" si="51"/>
        <v>595941000</v>
      </c>
    </row>
    <row r="809" spans="1:15" x14ac:dyDescent="0.3">
      <c r="A809" t="s">
        <v>67</v>
      </c>
      <c r="B809">
        <v>1</v>
      </c>
      <c r="C809">
        <v>2013</v>
      </c>
      <c r="D809" s="1">
        <v>41639</v>
      </c>
      <c r="E809" s="2">
        <v>18676000000</v>
      </c>
      <c r="F809" s="2">
        <v>3346000000</v>
      </c>
      <c r="G809" s="2">
        <v>5380000000</v>
      </c>
      <c r="H809" s="2">
        <v>4083000000</v>
      </c>
      <c r="I809">
        <v>0</v>
      </c>
      <c r="J809" t="s">
        <v>21</v>
      </c>
      <c r="K809" t="s">
        <v>62</v>
      </c>
      <c r="L809" s="37">
        <f t="shared" si="48"/>
        <v>0.82083958020989511</v>
      </c>
      <c r="M809" s="2">
        <f t="shared" si="49"/>
        <v>15330000000</v>
      </c>
      <c r="N809" s="37">
        <f t="shared" si="50"/>
        <v>0.3141464981794817</v>
      </c>
      <c r="O809" s="2">
        <f t="shared" si="51"/>
        <v>5867000000</v>
      </c>
    </row>
    <row r="810" spans="1:15" x14ac:dyDescent="0.3">
      <c r="A810" t="s">
        <v>67</v>
      </c>
      <c r="B810">
        <v>2</v>
      </c>
      <c r="C810">
        <v>2014</v>
      </c>
      <c r="D810" s="1">
        <v>42004</v>
      </c>
      <c r="E810" s="2">
        <v>20063000000</v>
      </c>
      <c r="F810" s="2">
        <v>4422000000</v>
      </c>
      <c r="G810" s="2">
        <v>5153000000</v>
      </c>
      <c r="H810" s="2">
        <v>4297000000</v>
      </c>
      <c r="I810">
        <v>0</v>
      </c>
      <c r="J810" t="s">
        <v>21</v>
      </c>
      <c r="K810" t="s">
        <v>62</v>
      </c>
      <c r="L810" s="37">
        <f t="shared" si="48"/>
        <v>0.77959427802422376</v>
      </c>
      <c r="M810" s="2">
        <f t="shared" si="49"/>
        <v>15641000000</v>
      </c>
      <c r="N810" s="37">
        <f t="shared" si="50"/>
        <v>0.30857797936500025</v>
      </c>
      <c r="O810" s="2">
        <f t="shared" si="51"/>
        <v>6191000000</v>
      </c>
    </row>
    <row r="811" spans="1:15" x14ac:dyDescent="0.3">
      <c r="A811" t="s">
        <v>67</v>
      </c>
      <c r="B811">
        <v>3</v>
      </c>
      <c r="C811">
        <v>2015</v>
      </c>
      <c r="D811" s="1">
        <v>42369</v>
      </c>
      <c r="E811" s="2">
        <v>21662000000</v>
      </c>
      <c r="F811" s="2">
        <v>4227000000</v>
      </c>
      <c r="G811" s="2">
        <v>4895000000</v>
      </c>
      <c r="H811" s="2">
        <v>4070000000</v>
      </c>
      <c r="I811">
        <v>0</v>
      </c>
      <c r="J811" t="s">
        <v>21</v>
      </c>
      <c r="K811" t="s">
        <v>62</v>
      </c>
      <c r="L811" s="37">
        <f t="shared" si="48"/>
        <v>0.80486566337364973</v>
      </c>
      <c r="M811" s="2">
        <f t="shared" si="49"/>
        <v>17435000000</v>
      </c>
      <c r="N811" s="37">
        <f t="shared" si="50"/>
        <v>0.39100729387868155</v>
      </c>
      <c r="O811" s="2">
        <f t="shared" si="51"/>
        <v>8470000000</v>
      </c>
    </row>
    <row r="812" spans="1:15" x14ac:dyDescent="0.3">
      <c r="A812" t="s">
        <v>67</v>
      </c>
      <c r="B812">
        <v>4</v>
      </c>
      <c r="C812">
        <v>2016</v>
      </c>
      <c r="D812" s="1">
        <v>42735</v>
      </c>
      <c r="E812" s="2">
        <v>22991000000</v>
      </c>
      <c r="F812" s="2">
        <v>4162000000</v>
      </c>
      <c r="G812" s="2">
        <v>5195000000</v>
      </c>
      <c r="H812" s="2">
        <v>3840000000</v>
      </c>
      <c r="I812">
        <v>0</v>
      </c>
      <c r="J812" t="s">
        <v>21</v>
      </c>
      <c r="K812" t="s">
        <v>62</v>
      </c>
      <c r="L812" s="37">
        <f t="shared" si="48"/>
        <v>0.81897264146840065</v>
      </c>
      <c r="M812" s="2">
        <f t="shared" si="49"/>
        <v>18829000000</v>
      </c>
      <c r="N812" s="37">
        <f t="shared" si="50"/>
        <v>0.4259927797833935</v>
      </c>
      <c r="O812" s="2">
        <f t="shared" si="51"/>
        <v>9794000000</v>
      </c>
    </row>
    <row r="813" spans="1:15" x14ac:dyDescent="0.3">
      <c r="A813" t="s">
        <v>315</v>
      </c>
      <c r="B813">
        <v>1</v>
      </c>
      <c r="C813">
        <v>2013</v>
      </c>
      <c r="D813" s="1">
        <v>41636</v>
      </c>
      <c r="E813" s="2">
        <v>52708000000</v>
      </c>
      <c r="F813" s="2">
        <v>21187000000</v>
      </c>
      <c r="G813" s="2">
        <v>8088000000</v>
      </c>
      <c r="H813" s="2">
        <v>10611000000</v>
      </c>
      <c r="I813" s="2">
        <v>291000000</v>
      </c>
      <c r="J813" t="s">
        <v>18</v>
      </c>
      <c r="K813" t="s">
        <v>30</v>
      </c>
      <c r="L813" s="37">
        <f t="shared" si="48"/>
        <v>0.5980306594824315</v>
      </c>
      <c r="M813" s="2">
        <f t="shared" si="49"/>
        <v>31521000000</v>
      </c>
      <c r="N813" s="37">
        <f t="shared" si="50"/>
        <v>0.23774379600819609</v>
      </c>
      <c r="O813" s="2">
        <f t="shared" si="51"/>
        <v>12531000000</v>
      </c>
    </row>
    <row r="814" spans="1:15" x14ac:dyDescent="0.3">
      <c r="A814" t="s">
        <v>315</v>
      </c>
      <c r="B814">
        <v>2</v>
      </c>
      <c r="C814">
        <v>2014</v>
      </c>
      <c r="D814" s="1">
        <v>42000</v>
      </c>
      <c r="E814" s="2">
        <v>55870000000</v>
      </c>
      <c r="F814" s="2">
        <v>20261000000</v>
      </c>
      <c r="G814" s="2">
        <v>8136000000</v>
      </c>
      <c r="H814" s="2">
        <v>11537000000</v>
      </c>
      <c r="I814" s="2">
        <v>294000000</v>
      </c>
      <c r="J814" t="s">
        <v>18</v>
      </c>
      <c r="K814" t="s">
        <v>30</v>
      </c>
      <c r="L814" s="37">
        <f t="shared" si="48"/>
        <v>0.6373545731161625</v>
      </c>
      <c r="M814" s="2">
        <f t="shared" si="49"/>
        <v>35609000000</v>
      </c>
      <c r="N814" s="37">
        <f t="shared" si="50"/>
        <v>0.27997136209056739</v>
      </c>
      <c r="O814" s="2">
        <f t="shared" si="51"/>
        <v>15642000000</v>
      </c>
    </row>
    <row r="815" spans="1:15" x14ac:dyDescent="0.3">
      <c r="A815" t="s">
        <v>315</v>
      </c>
      <c r="B815">
        <v>3</v>
      </c>
      <c r="C815">
        <v>2015</v>
      </c>
      <c r="D815" s="1">
        <v>42364</v>
      </c>
      <c r="E815" s="2">
        <v>55355000000</v>
      </c>
      <c r="F815" s="2">
        <v>20676000000</v>
      </c>
      <c r="G815" s="2">
        <v>7930000000</v>
      </c>
      <c r="H815" s="2">
        <v>12128000000</v>
      </c>
      <c r="I815" s="2">
        <v>265000000</v>
      </c>
      <c r="J815" t="s">
        <v>18</v>
      </c>
      <c r="K815" t="s">
        <v>30</v>
      </c>
      <c r="L815" s="37">
        <f t="shared" si="48"/>
        <v>0.62648360581699936</v>
      </c>
      <c r="M815" s="2">
        <f t="shared" si="49"/>
        <v>34679000000</v>
      </c>
      <c r="N815" s="37">
        <f t="shared" si="50"/>
        <v>0.2593442326799747</v>
      </c>
      <c r="O815" s="2">
        <f t="shared" si="51"/>
        <v>14356000000</v>
      </c>
    </row>
    <row r="816" spans="1:15" x14ac:dyDescent="0.3">
      <c r="A816" t="s">
        <v>315</v>
      </c>
      <c r="B816">
        <v>4</v>
      </c>
      <c r="C816">
        <v>2016</v>
      </c>
      <c r="D816" s="1">
        <v>42735</v>
      </c>
      <c r="E816" s="2">
        <v>59387000000</v>
      </c>
      <c r="F816" s="2">
        <v>23196000000</v>
      </c>
      <c r="G816" s="2">
        <v>8397000000</v>
      </c>
      <c r="H816" s="2">
        <v>12740000000</v>
      </c>
      <c r="I816" s="2">
        <v>294000000</v>
      </c>
      <c r="J816" t="s">
        <v>18</v>
      </c>
      <c r="K816" t="s">
        <v>30</v>
      </c>
      <c r="L816" s="37">
        <f t="shared" si="48"/>
        <v>0.60940946671830543</v>
      </c>
      <c r="M816" s="2">
        <f t="shared" si="49"/>
        <v>36191000000</v>
      </c>
      <c r="N816" s="37">
        <f t="shared" si="50"/>
        <v>0.24853924259518076</v>
      </c>
      <c r="O816" s="2">
        <f t="shared" si="51"/>
        <v>14760000000</v>
      </c>
    </row>
    <row r="817" spans="1:15" x14ac:dyDescent="0.3">
      <c r="A817" t="s">
        <v>316</v>
      </c>
      <c r="B817">
        <v>1</v>
      </c>
      <c r="C817">
        <v>2013</v>
      </c>
      <c r="D817" s="1">
        <v>41486</v>
      </c>
      <c r="E817" s="2">
        <v>3946000000</v>
      </c>
      <c r="F817" s="2">
        <v>527000000</v>
      </c>
      <c r="G817" s="2">
        <v>1534000000</v>
      </c>
      <c r="H817" s="2">
        <v>647000000</v>
      </c>
      <c r="I817" s="2">
        <v>30000000</v>
      </c>
      <c r="J817" t="s">
        <v>18</v>
      </c>
      <c r="K817" t="s">
        <v>53</v>
      </c>
      <c r="L817" s="37">
        <f t="shared" si="48"/>
        <v>0.86644703497212361</v>
      </c>
      <c r="M817" s="2">
        <f t="shared" si="49"/>
        <v>3419000000</v>
      </c>
      <c r="N817" s="37">
        <f t="shared" si="50"/>
        <v>0.30613279270146987</v>
      </c>
      <c r="O817" s="2">
        <f t="shared" si="51"/>
        <v>1208000000</v>
      </c>
    </row>
    <row r="818" spans="1:15" x14ac:dyDescent="0.3">
      <c r="A818" t="s">
        <v>316</v>
      </c>
      <c r="B818">
        <v>2</v>
      </c>
      <c r="C818">
        <v>2014</v>
      </c>
      <c r="D818" s="1">
        <v>41851</v>
      </c>
      <c r="E818" s="2">
        <v>4243000000</v>
      </c>
      <c r="F818" s="2">
        <v>603000000</v>
      </c>
      <c r="G818" s="2">
        <v>1601000000</v>
      </c>
      <c r="H818" s="2">
        <v>714000000</v>
      </c>
      <c r="I818" s="2">
        <v>25000000</v>
      </c>
      <c r="J818" t="s">
        <v>18</v>
      </c>
      <c r="K818" t="s">
        <v>53</v>
      </c>
      <c r="L818" s="37">
        <f t="shared" si="48"/>
        <v>0.8578835729436719</v>
      </c>
      <c r="M818" s="2">
        <f t="shared" si="49"/>
        <v>3640000000</v>
      </c>
      <c r="N818" s="37">
        <f t="shared" si="50"/>
        <v>0.30638699033702571</v>
      </c>
      <c r="O818" s="2">
        <f t="shared" si="51"/>
        <v>1300000000</v>
      </c>
    </row>
    <row r="819" spans="1:15" x14ac:dyDescent="0.3">
      <c r="A819" t="s">
        <v>316</v>
      </c>
      <c r="B819">
        <v>3</v>
      </c>
      <c r="C819">
        <v>2015</v>
      </c>
      <c r="D819" s="1">
        <v>42216</v>
      </c>
      <c r="E819" s="2">
        <v>4192000000</v>
      </c>
      <c r="F819" s="2">
        <v>695000000</v>
      </c>
      <c r="G819" s="2">
        <v>1771000000</v>
      </c>
      <c r="H819" s="2">
        <v>798000000</v>
      </c>
      <c r="I819" s="2">
        <v>42000000</v>
      </c>
      <c r="J819" t="s">
        <v>18</v>
      </c>
      <c r="K819" t="s">
        <v>53</v>
      </c>
      <c r="L819" s="37">
        <f t="shared" si="48"/>
        <v>0.83420801526717558</v>
      </c>
      <c r="M819" s="2">
        <f t="shared" si="49"/>
        <v>3497000000</v>
      </c>
      <c r="N819" s="37">
        <f t="shared" si="50"/>
        <v>0.21135496183206107</v>
      </c>
      <c r="O819" s="2">
        <f t="shared" si="51"/>
        <v>886000000</v>
      </c>
    </row>
    <row r="820" spans="1:15" x14ac:dyDescent="0.3">
      <c r="A820" t="s">
        <v>316</v>
      </c>
      <c r="B820">
        <v>4</v>
      </c>
      <c r="C820">
        <v>2016</v>
      </c>
      <c r="D820" s="1">
        <v>42582</v>
      </c>
      <c r="E820" s="2">
        <v>4694000000</v>
      </c>
      <c r="F820" s="2">
        <v>730000000</v>
      </c>
      <c r="G820" s="2">
        <v>1807000000</v>
      </c>
      <c r="H820" s="2">
        <v>881000000</v>
      </c>
      <c r="I820" s="2">
        <v>34000000</v>
      </c>
      <c r="J820" t="s">
        <v>18</v>
      </c>
      <c r="K820" t="s">
        <v>53</v>
      </c>
      <c r="L820" s="37">
        <f t="shared" si="48"/>
        <v>0.84448231785257777</v>
      </c>
      <c r="M820" s="2">
        <f t="shared" si="49"/>
        <v>3964000000</v>
      </c>
      <c r="N820" s="37">
        <f t="shared" si="50"/>
        <v>0.26459309757136773</v>
      </c>
      <c r="O820" s="2">
        <f t="shared" si="51"/>
        <v>1242000000</v>
      </c>
    </row>
    <row r="821" spans="1:15" x14ac:dyDescent="0.3">
      <c r="A821" t="s">
        <v>317</v>
      </c>
      <c r="B821">
        <v>1</v>
      </c>
      <c r="C821">
        <v>2012</v>
      </c>
      <c r="D821" s="1">
        <v>41274</v>
      </c>
      <c r="E821" s="2">
        <v>21852000000</v>
      </c>
      <c r="F821" s="2">
        <v>15287000000</v>
      </c>
      <c r="G821" s="2">
        <v>3303000000</v>
      </c>
      <c r="H821">
        <v>0</v>
      </c>
      <c r="I821" s="2">
        <v>1473000000</v>
      </c>
      <c r="J821" t="s">
        <v>55</v>
      </c>
      <c r="K821" t="s">
        <v>92</v>
      </c>
      <c r="L821" s="37">
        <f t="shared" si="48"/>
        <v>0.30043016657514188</v>
      </c>
      <c r="M821" s="2">
        <f t="shared" si="49"/>
        <v>6565000000</v>
      </c>
      <c r="N821" s="37">
        <f t="shared" si="50"/>
        <v>8.1868936481786558E-2</v>
      </c>
      <c r="O821" s="2">
        <f t="shared" si="51"/>
        <v>1789000000</v>
      </c>
    </row>
    <row r="822" spans="1:15" x14ac:dyDescent="0.3">
      <c r="A822" t="s">
        <v>317</v>
      </c>
      <c r="B822">
        <v>2</v>
      </c>
      <c r="C822">
        <v>2013</v>
      </c>
      <c r="D822" s="1">
        <v>41639</v>
      </c>
      <c r="E822" s="2">
        <v>23483000000</v>
      </c>
      <c r="F822" s="2">
        <v>16282000000</v>
      </c>
      <c r="G822" s="2">
        <v>3557000000</v>
      </c>
      <c r="H822">
        <v>0</v>
      </c>
      <c r="I822" s="2">
        <v>1531000000</v>
      </c>
      <c r="J822" t="s">
        <v>55</v>
      </c>
      <c r="K822" t="s">
        <v>92</v>
      </c>
      <c r="L822" s="37">
        <f t="shared" si="48"/>
        <v>0.30664736192138997</v>
      </c>
      <c r="M822" s="2">
        <f t="shared" si="49"/>
        <v>7201000000</v>
      </c>
      <c r="N822" s="37">
        <f t="shared" si="50"/>
        <v>8.9979985521441042E-2</v>
      </c>
      <c r="O822" s="2">
        <f t="shared" si="51"/>
        <v>2113000000</v>
      </c>
    </row>
    <row r="823" spans="1:15" x14ac:dyDescent="0.3">
      <c r="A823" t="s">
        <v>317</v>
      </c>
      <c r="B823">
        <v>3</v>
      </c>
      <c r="C823">
        <v>2014</v>
      </c>
      <c r="D823" s="1">
        <v>42004</v>
      </c>
      <c r="E823" s="2">
        <v>23617000000</v>
      </c>
      <c r="F823" s="2">
        <v>16254000000</v>
      </c>
      <c r="G823" s="2">
        <v>3494000000</v>
      </c>
      <c r="H823">
        <v>0</v>
      </c>
      <c r="I823" s="2">
        <v>1406000000</v>
      </c>
      <c r="J823" t="s">
        <v>55</v>
      </c>
      <c r="K823" t="s">
        <v>92</v>
      </c>
      <c r="L823" s="37">
        <f t="shared" si="48"/>
        <v>0.31176694753779055</v>
      </c>
      <c r="M823" s="2">
        <f t="shared" si="49"/>
        <v>7363000000</v>
      </c>
      <c r="N823" s="37">
        <f t="shared" si="50"/>
        <v>0.10428928314349832</v>
      </c>
      <c r="O823" s="2">
        <f t="shared" si="51"/>
        <v>2463000000</v>
      </c>
    </row>
    <row r="824" spans="1:15" x14ac:dyDescent="0.3">
      <c r="A824" t="s">
        <v>317</v>
      </c>
      <c r="B824">
        <v>4</v>
      </c>
      <c r="C824">
        <v>2015</v>
      </c>
      <c r="D824" s="1">
        <v>42369</v>
      </c>
      <c r="E824" s="2">
        <v>22365000000</v>
      </c>
      <c r="F824" s="2">
        <v>15468000000</v>
      </c>
      <c r="G824" s="2">
        <v>3219000000</v>
      </c>
      <c r="H824">
        <v>0</v>
      </c>
      <c r="I824" s="2">
        <v>1294000000</v>
      </c>
      <c r="J824" t="s">
        <v>55</v>
      </c>
      <c r="K824" t="s">
        <v>92</v>
      </c>
      <c r="L824" s="37">
        <f t="shared" si="48"/>
        <v>0.30838363514419853</v>
      </c>
      <c r="M824" s="2">
        <f t="shared" si="49"/>
        <v>6897000000</v>
      </c>
      <c r="N824" s="37">
        <f t="shared" si="50"/>
        <v>0.10659512631343618</v>
      </c>
      <c r="O824" s="2">
        <f t="shared" si="51"/>
        <v>2384000000</v>
      </c>
    </row>
    <row r="825" spans="1:15" x14ac:dyDescent="0.3">
      <c r="A825" t="s">
        <v>318</v>
      </c>
      <c r="B825">
        <v>1</v>
      </c>
      <c r="C825">
        <v>2012</v>
      </c>
      <c r="D825" s="1">
        <v>41274</v>
      </c>
      <c r="E825" s="2">
        <v>6956200000</v>
      </c>
      <c r="F825">
        <v>0</v>
      </c>
      <c r="G825" s="2">
        <v>6279100000</v>
      </c>
      <c r="H825">
        <v>0</v>
      </c>
      <c r="I825">
        <v>0</v>
      </c>
      <c r="J825" t="s">
        <v>15</v>
      </c>
      <c r="K825" t="s">
        <v>319</v>
      </c>
      <c r="L825" s="37">
        <f t="shared" si="48"/>
        <v>1</v>
      </c>
      <c r="M825" s="2">
        <f t="shared" si="49"/>
        <v>6956200000</v>
      </c>
      <c r="N825" s="37">
        <f t="shared" si="50"/>
        <v>9.7337626865242513E-2</v>
      </c>
      <c r="O825" s="2">
        <f t="shared" si="51"/>
        <v>677100000</v>
      </c>
    </row>
    <row r="826" spans="1:15" x14ac:dyDescent="0.3">
      <c r="A826" t="s">
        <v>318</v>
      </c>
      <c r="B826">
        <v>2</v>
      </c>
      <c r="C826">
        <v>2013</v>
      </c>
      <c r="D826" s="1">
        <v>41639</v>
      </c>
      <c r="E826" s="2">
        <v>7122300000</v>
      </c>
      <c r="F826">
        <v>0</v>
      </c>
      <c r="G826" s="2">
        <v>6463400000</v>
      </c>
      <c r="H826">
        <v>0</v>
      </c>
      <c r="I826">
        <v>0</v>
      </c>
      <c r="J826" t="s">
        <v>15</v>
      </c>
      <c r="K826" t="s">
        <v>319</v>
      </c>
      <c r="L826" s="37">
        <f t="shared" si="48"/>
        <v>1</v>
      </c>
      <c r="M826" s="2">
        <f t="shared" si="49"/>
        <v>7122300000</v>
      </c>
      <c r="N826" s="37">
        <f t="shared" si="50"/>
        <v>9.2512250256237452E-2</v>
      </c>
      <c r="O826" s="2">
        <f t="shared" si="51"/>
        <v>658900000</v>
      </c>
    </row>
    <row r="827" spans="1:15" x14ac:dyDescent="0.3">
      <c r="A827" t="s">
        <v>318</v>
      </c>
      <c r="B827">
        <v>3</v>
      </c>
      <c r="C827">
        <v>2014</v>
      </c>
      <c r="D827" s="1">
        <v>42004</v>
      </c>
      <c r="E827" s="2">
        <v>7537100000</v>
      </c>
      <c r="F827">
        <v>0</v>
      </c>
      <c r="G827" s="2">
        <v>6748500000</v>
      </c>
      <c r="H827">
        <v>0</v>
      </c>
      <c r="I827">
        <v>0</v>
      </c>
      <c r="J827" t="s">
        <v>15</v>
      </c>
      <c r="K827" t="s">
        <v>319</v>
      </c>
      <c r="L827" s="37">
        <f t="shared" si="48"/>
        <v>1</v>
      </c>
      <c r="M827" s="2">
        <f t="shared" si="49"/>
        <v>7537100000</v>
      </c>
      <c r="N827" s="37">
        <f t="shared" si="50"/>
        <v>0.10462910137851428</v>
      </c>
      <c r="O827" s="2">
        <f t="shared" si="51"/>
        <v>788600000</v>
      </c>
    </row>
    <row r="828" spans="1:15" x14ac:dyDescent="0.3">
      <c r="A828" t="s">
        <v>318</v>
      </c>
      <c r="B828">
        <v>4</v>
      </c>
      <c r="C828">
        <v>2015</v>
      </c>
      <c r="D828" s="1">
        <v>42369</v>
      </c>
      <c r="E828" s="2">
        <v>7613800000</v>
      </c>
      <c r="F828">
        <v>0</v>
      </c>
      <c r="G828" s="2">
        <v>6742700000</v>
      </c>
      <c r="H828">
        <v>0</v>
      </c>
      <c r="I828">
        <v>0</v>
      </c>
      <c r="J828" t="s">
        <v>15</v>
      </c>
      <c r="K828" t="s">
        <v>319</v>
      </c>
      <c r="L828" s="37">
        <f t="shared" si="48"/>
        <v>1</v>
      </c>
      <c r="M828" s="2">
        <f t="shared" si="49"/>
        <v>7613800000</v>
      </c>
      <c r="N828" s="37">
        <f t="shared" si="50"/>
        <v>0.11441067535264914</v>
      </c>
      <c r="O828" s="2">
        <f t="shared" si="51"/>
        <v>871100000</v>
      </c>
    </row>
    <row r="829" spans="1:15" x14ac:dyDescent="0.3">
      <c r="A829" t="s">
        <v>320</v>
      </c>
      <c r="B829">
        <v>1</v>
      </c>
      <c r="C829">
        <v>2012</v>
      </c>
      <c r="D829" s="1">
        <v>41274</v>
      </c>
      <c r="E829" s="2">
        <v>3003955000</v>
      </c>
      <c r="F829" s="2">
        <v>1277113000</v>
      </c>
      <c r="G829" s="2">
        <v>850371000</v>
      </c>
      <c r="H829">
        <v>0</v>
      </c>
      <c r="I829" s="2">
        <v>316344000</v>
      </c>
      <c r="J829" t="s">
        <v>48</v>
      </c>
      <c r="K829" t="s">
        <v>49</v>
      </c>
      <c r="L829" s="37">
        <f t="shared" si="48"/>
        <v>0.57485614797824869</v>
      </c>
      <c r="M829" s="2">
        <f t="shared" si="49"/>
        <v>1726842000</v>
      </c>
      <c r="N829" s="37">
        <f t="shared" si="50"/>
        <v>0.18646317937519039</v>
      </c>
      <c r="O829" s="2">
        <f t="shared" si="51"/>
        <v>560127000</v>
      </c>
    </row>
    <row r="830" spans="1:15" x14ac:dyDescent="0.3">
      <c r="A830" t="s">
        <v>320</v>
      </c>
      <c r="B830">
        <v>2</v>
      </c>
      <c r="C830">
        <v>2013</v>
      </c>
      <c r="D830" s="1">
        <v>41639</v>
      </c>
      <c r="E830" s="2">
        <v>3024623000</v>
      </c>
      <c r="F830" s="2">
        <v>1288878000</v>
      </c>
      <c r="G830" s="2">
        <v>924031000</v>
      </c>
      <c r="H830">
        <v>0</v>
      </c>
      <c r="I830" s="2">
        <v>322037000</v>
      </c>
      <c r="J830" t="s">
        <v>48</v>
      </c>
      <c r="K830" t="s">
        <v>49</v>
      </c>
      <c r="L830" s="37">
        <f t="shared" si="48"/>
        <v>0.57387152051677182</v>
      </c>
      <c r="M830" s="2">
        <f t="shared" si="49"/>
        <v>1735745000</v>
      </c>
      <c r="N830" s="37">
        <f t="shared" si="50"/>
        <v>0.16189687111418513</v>
      </c>
      <c r="O830" s="2">
        <f t="shared" si="51"/>
        <v>489677000</v>
      </c>
    </row>
    <row r="831" spans="1:15" x14ac:dyDescent="0.3">
      <c r="A831" t="s">
        <v>320</v>
      </c>
      <c r="B831">
        <v>3</v>
      </c>
      <c r="C831">
        <v>2014</v>
      </c>
      <c r="D831" s="1">
        <v>42004</v>
      </c>
      <c r="E831" s="2">
        <v>3117693000</v>
      </c>
      <c r="F831" s="2">
        <v>1344636000</v>
      </c>
      <c r="G831" s="2">
        <v>869572000</v>
      </c>
      <c r="H831">
        <v>0</v>
      </c>
      <c r="I831" s="2">
        <v>353143000</v>
      </c>
      <c r="J831" t="s">
        <v>48</v>
      </c>
      <c r="K831" t="s">
        <v>49</v>
      </c>
      <c r="L831" s="37">
        <f t="shared" si="48"/>
        <v>0.56870801583093655</v>
      </c>
      <c r="M831" s="2">
        <f t="shared" si="49"/>
        <v>1773057000</v>
      </c>
      <c r="N831" s="37">
        <f t="shared" si="50"/>
        <v>0.1765221912484648</v>
      </c>
      <c r="O831" s="2">
        <f t="shared" si="51"/>
        <v>550342000</v>
      </c>
    </row>
    <row r="832" spans="1:15" x14ac:dyDescent="0.3">
      <c r="A832" t="s">
        <v>320</v>
      </c>
      <c r="B832">
        <v>4</v>
      </c>
      <c r="C832">
        <v>2015</v>
      </c>
      <c r="D832" s="1">
        <v>42369</v>
      </c>
      <c r="E832" s="2">
        <v>3007976000</v>
      </c>
      <c r="F832" s="2">
        <v>1290025000</v>
      </c>
      <c r="G832" s="2">
        <v>844960000</v>
      </c>
      <c r="H832">
        <v>0</v>
      </c>
      <c r="I832" s="2">
        <v>345464000</v>
      </c>
      <c r="J832" t="s">
        <v>48</v>
      </c>
      <c r="K832" t="s">
        <v>49</v>
      </c>
      <c r="L832" s="37">
        <f t="shared" si="48"/>
        <v>0.57113188403098958</v>
      </c>
      <c r="M832" s="2">
        <f t="shared" si="49"/>
        <v>1717951000</v>
      </c>
      <c r="N832" s="37">
        <f t="shared" si="50"/>
        <v>0.17537606683032045</v>
      </c>
      <c r="O832" s="2">
        <f t="shared" si="51"/>
        <v>527527000</v>
      </c>
    </row>
    <row r="833" spans="1:15" x14ac:dyDescent="0.3">
      <c r="A833" t="s">
        <v>76</v>
      </c>
      <c r="B833">
        <v>1</v>
      </c>
      <c r="C833">
        <v>2012</v>
      </c>
      <c r="D833" s="1">
        <v>41274</v>
      </c>
      <c r="E833" s="2">
        <v>61497200000</v>
      </c>
      <c r="F833" s="2">
        <v>48213600000</v>
      </c>
      <c r="G833" s="2">
        <v>8680500000</v>
      </c>
      <c r="H833">
        <v>0</v>
      </c>
      <c r="I833" s="2">
        <v>233000000</v>
      </c>
      <c r="J833" t="s">
        <v>21</v>
      </c>
      <c r="K833" t="s">
        <v>77</v>
      </c>
      <c r="L833" s="37">
        <f t="shared" si="48"/>
        <v>0.21600333023292118</v>
      </c>
      <c r="M833" s="2">
        <f t="shared" si="49"/>
        <v>13283600000</v>
      </c>
      <c r="N833" s="37">
        <f t="shared" si="50"/>
        <v>7.1061771918071073E-2</v>
      </c>
      <c r="O833" s="2">
        <f t="shared" si="51"/>
        <v>4370100000</v>
      </c>
    </row>
    <row r="834" spans="1:15" x14ac:dyDescent="0.3">
      <c r="A834" t="s">
        <v>76</v>
      </c>
      <c r="B834">
        <v>2</v>
      </c>
      <c r="C834">
        <v>2013</v>
      </c>
      <c r="D834" s="1">
        <v>41639</v>
      </c>
      <c r="E834" s="2">
        <v>71023500000</v>
      </c>
      <c r="F834" s="2">
        <v>56237100000</v>
      </c>
      <c r="G834" s="2">
        <v>9952900000</v>
      </c>
      <c r="H834">
        <v>0</v>
      </c>
      <c r="I834" s="2">
        <v>245300000</v>
      </c>
      <c r="J834" t="s">
        <v>21</v>
      </c>
      <c r="K834" t="s">
        <v>77</v>
      </c>
      <c r="L834" s="37">
        <f t="shared" ref="L834:L897" si="52">1-(F834/E834)</f>
        <v>0.20819024689011378</v>
      </c>
      <c r="M834" s="2">
        <f t="shared" ref="M834:M897" si="53">E834-F834</f>
        <v>14786400000</v>
      </c>
      <c r="N834" s="37">
        <f t="shared" ref="N834:N897" si="54">O834/E834</f>
        <v>6.4601153139453846E-2</v>
      </c>
      <c r="O834" s="2">
        <f t="shared" ref="O834:O897" si="55">M834-SUM(G834:I834)</f>
        <v>4588200000</v>
      </c>
    </row>
    <row r="835" spans="1:15" x14ac:dyDescent="0.3">
      <c r="A835" t="s">
        <v>76</v>
      </c>
      <c r="B835">
        <v>3</v>
      </c>
      <c r="C835">
        <v>2014</v>
      </c>
      <c r="D835" s="1">
        <v>42004</v>
      </c>
      <c r="E835" s="2">
        <v>73874100000</v>
      </c>
      <c r="F835" s="2">
        <v>56854900000</v>
      </c>
      <c r="G835" s="2">
        <v>11748400000</v>
      </c>
      <c r="H835">
        <v>0</v>
      </c>
      <c r="I835" s="2">
        <v>220900000</v>
      </c>
      <c r="J835" t="s">
        <v>21</v>
      </c>
      <c r="K835" t="s">
        <v>77</v>
      </c>
      <c r="L835" s="37">
        <f t="shared" si="52"/>
        <v>0.23038114846746016</v>
      </c>
      <c r="M835" s="2">
        <f t="shared" si="53"/>
        <v>17019200000</v>
      </c>
      <c r="N835" s="37">
        <f t="shared" si="54"/>
        <v>6.8358193196262296E-2</v>
      </c>
      <c r="O835" s="2">
        <f t="shared" si="55"/>
        <v>5049900000</v>
      </c>
    </row>
    <row r="836" spans="1:15" x14ac:dyDescent="0.3">
      <c r="A836" t="s">
        <v>76</v>
      </c>
      <c r="B836">
        <v>4</v>
      </c>
      <c r="C836">
        <v>2015</v>
      </c>
      <c r="D836" s="1">
        <v>42369</v>
      </c>
      <c r="E836" s="2">
        <v>79156500000</v>
      </c>
      <c r="F836" s="2">
        <v>61116900000</v>
      </c>
      <c r="G836" s="2">
        <v>12534800000</v>
      </c>
      <c r="H836">
        <v>0</v>
      </c>
      <c r="I836" s="2">
        <v>230100000</v>
      </c>
      <c r="J836" t="s">
        <v>21</v>
      </c>
      <c r="K836" t="s">
        <v>77</v>
      </c>
      <c r="L836" s="37">
        <f t="shared" si="52"/>
        <v>0.22789789846696107</v>
      </c>
      <c r="M836" s="2">
        <f t="shared" si="53"/>
        <v>18039600000</v>
      </c>
      <c r="N836" s="37">
        <f t="shared" si="54"/>
        <v>6.6636346983507358E-2</v>
      </c>
      <c r="O836" s="2">
        <f t="shared" si="55"/>
        <v>5274700000</v>
      </c>
    </row>
    <row r="837" spans="1:15" x14ac:dyDescent="0.3">
      <c r="A837" t="s">
        <v>322</v>
      </c>
      <c r="B837">
        <v>1</v>
      </c>
      <c r="C837">
        <v>2013</v>
      </c>
      <c r="D837" s="1">
        <v>41639</v>
      </c>
      <c r="E837" s="2">
        <v>14135000000</v>
      </c>
      <c r="F837" s="2">
        <v>8554000000</v>
      </c>
      <c r="G837" s="2">
        <v>2815000000</v>
      </c>
      <c r="H837">
        <v>0</v>
      </c>
      <c r="I837" s="2">
        <v>250000000</v>
      </c>
      <c r="J837" t="s">
        <v>12</v>
      </c>
      <c r="K837" t="s">
        <v>153</v>
      </c>
      <c r="L837" s="37">
        <f t="shared" si="52"/>
        <v>0.39483551467987266</v>
      </c>
      <c r="M837" s="2">
        <f t="shared" si="53"/>
        <v>5581000000</v>
      </c>
      <c r="N837" s="37">
        <f t="shared" si="54"/>
        <v>0.17799787760877256</v>
      </c>
      <c r="O837" s="2">
        <f t="shared" si="55"/>
        <v>2516000000</v>
      </c>
    </row>
    <row r="838" spans="1:15" x14ac:dyDescent="0.3">
      <c r="A838" t="s">
        <v>322</v>
      </c>
      <c r="B838">
        <v>2</v>
      </c>
      <c r="C838">
        <v>2014</v>
      </c>
      <c r="D838" s="1">
        <v>42004</v>
      </c>
      <c r="E838" s="2">
        <v>14484000000</v>
      </c>
      <c r="F838" s="2">
        <v>8673000000</v>
      </c>
      <c r="G838" s="2">
        <v>2678000000</v>
      </c>
      <c r="H838">
        <v>0</v>
      </c>
      <c r="I838" s="2">
        <v>245000000</v>
      </c>
      <c r="J838" t="s">
        <v>12</v>
      </c>
      <c r="K838" t="s">
        <v>153</v>
      </c>
      <c r="L838" s="37">
        <f t="shared" si="52"/>
        <v>0.40120132560066279</v>
      </c>
      <c r="M838" s="2">
        <f t="shared" si="53"/>
        <v>5811000000</v>
      </c>
      <c r="N838" s="37">
        <f t="shared" si="54"/>
        <v>0.19939243302954984</v>
      </c>
      <c r="O838" s="2">
        <f t="shared" si="55"/>
        <v>2888000000</v>
      </c>
    </row>
    <row r="839" spans="1:15" x14ac:dyDescent="0.3">
      <c r="A839" t="s">
        <v>322</v>
      </c>
      <c r="B839">
        <v>3</v>
      </c>
      <c r="C839">
        <v>2015</v>
      </c>
      <c r="D839" s="1">
        <v>42369</v>
      </c>
      <c r="E839" s="2">
        <v>13405000000</v>
      </c>
      <c r="F839" s="2">
        <v>7888000000</v>
      </c>
      <c r="G839" s="2">
        <v>2417000000</v>
      </c>
      <c r="H839">
        <v>0</v>
      </c>
      <c r="I839" s="2">
        <v>233000000</v>
      </c>
      <c r="J839" t="s">
        <v>12</v>
      </c>
      <c r="K839" t="s">
        <v>153</v>
      </c>
      <c r="L839" s="37">
        <f t="shared" si="52"/>
        <v>0.41156284968295409</v>
      </c>
      <c r="M839" s="2">
        <f t="shared" si="53"/>
        <v>5517000000</v>
      </c>
      <c r="N839" s="37">
        <f t="shared" si="54"/>
        <v>0.21387541961954495</v>
      </c>
      <c r="O839" s="2">
        <f t="shared" si="55"/>
        <v>2867000000</v>
      </c>
    </row>
    <row r="840" spans="1:15" x14ac:dyDescent="0.3">
      <c r="A840" t="s">
        <v>322</v>
      </c>
      <c r="B840">
        <v>4</v>
      </c>
      <c r="C840">
        <v>2016</v>
      </c>
      <c r="D840" s="1">
        <v>42735</v>
      </c>
      <c r="E840" s="2">
        <v>13599000000</v>
      </c>
      <c r="F840" s="2">
        <v>7896000000</v>
      </c>
      <c r="G840" s="2">
        <v>2415000000</v>
      </c>
      <c r="H840">
        <v>0</v>
      </c>
      <c r="I840" s="2">
        <v>224000000</v>
      </c>
      <c r="J840" t="s">
        <v>12</v>
      </c>
      <c r="K840" t="s">
        <v>153</v>
      </c>
      <c r="L840" s="37">
        <f t="shared" si="52"/>
        <v>0.41936907125523937</v>
      </c>
      <c r="M840" s="2">
        <f t="shared" si="53"/>
        <v>5703000000</v>
      </c>
      <c r="N840" s="37">
        <f t="shared" si="54"/>
        <v>0.22531068460916243</v>
      </c>
      <c r="O840" s="2">
        <f t="shared" si="55"/>
        <v>3064000000</v>
      </c>
    </row>
    <row r="841" spans="1:15" x14ac:dyDescent="0.3">
      <c r="A841" t="s">
        <v>102</v>
      </c>
      <c r="B841">
        <v>1</v>
      </c>
      <c r="C841">
        <v>2012</v>
      </c>
      <c r="D841" s="1">
        <v>41274</v>
      </c>
      <c r="E841" s="2">
        <v>13936000000</v>
      </c>
      <c r="F841" s="2">
        <v>6802000000</v>
      </c>
      <c r="G841" s="2">
        <v>3283000000</v>
      </c>
      <c r="H841" s="2">
        <v>1081000000</v>
      </c>
      <c r="I841">
        <v>0</v>
      </c>
      <c r="J841" t="s">
        <v>21</v>
      </c>
      <c r="K841" t="s">
        <v>26</v>
      </c>
      <c r="L841" s="37">
        <f t="shared" si="52"/>
        <v>0.51191159586681967</v>
      </c>
      <c r="M841" s="2">
        <f t="shared" si="53"/>
        <v>7134000000</v>
      </c>
      <c r="N841" s="37">
        <f t="shared" si="54"/>
        <v>0.19876578645235363</v>
      </c>
      <c r="O841" s="2">
        <f t="shared" si="55"/>
        <v>2770000000</v>
      </c>
    </row>
    <row r="842" spans="1:15" x14ac:dyDescent="0.3">
      <c r="A842" t="s">
        <v>102</v>
      </c>
      <c r="B842">
        <v>2</v>
      </c>
      <c r="C842">
        <v>2013</v>
      </c>
      <c r="D842" s="1">
        <v>41639</v>
      </c>
      <c r="E842" s="2">
        <v>9413000000</v>
      </c>
      <c r="F842" s="2">
        <v>5251000000</v>
      </c>
      <c r="G842" s="2">
        <v>3084000000</v>
      </c>
      <c r="H842" s="2">
        <v>582000000</v>
      </c>
      <c r="I842">
        <v>0</v>
      </c>
      <c r="J842" t="s">
        <v>21</v>
      </c>
      <c r="K842" t="s">
        <v>26</v>
      </c>
      <c r="L842" s="37">
        <f t="shared" si="52"/>
        <v>0.44215446722617657</v>
      </c>
      <c r="M842" s="2">
        <f t="shared" si="53"/>
        <v>4162000000</v>
      </c>
      <c r="N842" s="37">
        <f t="shared" si="54"/>
        <v>5.2693084032720702E-2</v>
      </c>
      <c r="O842" s="2">
        <f t="shared" si="55"/>
        <v>496000000</v>
      </c>
    </row>
    <row r="843" spans="1:15" x14ac:dyDescent="0.3">
      <c r="A843" t="s">
        <v>102</v>
      </c>
      <c r="B843">
        <v>3</v>
      </c>
      <c r="C843">
        <v>2014</v>
      </c>
      <c r="D843" s="1">
        <v>42004</v>
      </c>
      <c r="E843" s="2">
        <v>10719000000</v>
      </c>
      <c r="F843" s="2">
        <v>6138000000</v>
      </c>
      <c r="G843" s="2">
        <v>3315000000</v>
      </c>
      <c r="H843" s="2">
        <v>610000000</v>
      </c>
      <c r="I843">
        <v>0</v>
      </c>
      <c r="J843" t="s">
        <v>21</v>
      </c>
      <c r="K843" t="s">
        <v>26</v>
      </c>
      <c r="L843" s="37">
        <f t="shared" si="52"/>
        <v>0.42737195633921077</v>
      </c>
      <c r="M843" s="2">
        <f t="shared" si="53"/>
        <v>4581000000</v>
      </c>
      <c r="N843" s="37">
        <f t="shared" si="54"/>
        <v>6.1199738781602758E-2</v>
      </c>
      <c r="O843" s="2">
        <f t="shared" si="55"/>
        <v>656000000</v>
      </c>
    </row>
    <row r="844" spans="1:15" x14ac:dyDescent="0.3">
      <c r="A844" t="s">
        <v>102</v>
      </c>
      <c r="B844">
        <v>4</v>
      </c>
      <c r="C844">
        <v>2015</v>
      </c>
      <c r="D844" s="1">
        <v>42369</v>
      </c>
      <c r="E844" s="2">
        <v>9968000000</v>
      </c>
      <c r="F844" s="2">
        <v>5822000000</v>
      </c>
      <c r="G844" s="2">
        <v>3094000000</v>
      </c>
      <c r="H844" s="2">
        <v>603000000</v>
      </c>
      <c r="I844">
        <v>0</v>
      </c>
      <c r="J844" t="s">
        <v>21</v>
      </c>
      <c r="K844" t="s">
        <v>26</v>
      </c>
      <c r="L844" s="37">
        <f t="shared" si="52"/>
        <v>0.4159309791332263</v>
      </c>
      <c r="M844" s="2">
        <f t="shared" si="53"/>
        <v>4146000000</v>
      </c>
      <c r="N844" s="37">
        <f t="shared" si="54"/>
        <v>4.5044141252006419E-2</v>
      </c>
      <c r="O844" s="2">
        <f t="shared" si="55"/>
        <v>449000000</v>
      </c>
    </row>
    <row r="845" spans="1:15" x14ac:dyDescent="0.3">
      <c r="A845" t="s">
        <v>324</v>
      </c>
      <c r="B845">
        <v>1</v>
      </c>
      <c r="C845">
        <v>2012</v>
      </c>
      <c r="D845" s="1">
        <v>41274</v>
      </c>
      <c r="E845" s="2">
        <v>5054980000</v>
      </c>
      <c r="F845" s="2">
        <v>3230857000</v>
      </c>
      <c r="G845" s="2">
        <v>1064757000</v>
      </c>
      <c r="H845">
        <v>0</v>
      </c>
      <c r="I845" s="2">
        <v>229166000</v>
      </c>
      <c r="J845" t="s">
        <v>12</v>
      </c>
      <c r="K845" t="s">
        <v>325</v>
      </c>
      <c r="L845" s="37">
        <f t="shared" si="52"/>
        <v>0.36085662059988366</v>
      </c>
      <c r="M845" s="2">
        <f t="shared" si="53"/>
        <v>1824123000</v>
      </c>
      <c r="N845" s="37">
        <f t="shared" si="54"/>
        <v>0.10488666621826397</v>
      </c>
      <c r="O845" s="2">
        <f t="shared" si="55"/>
        <v>530200000</v>
      </c>
    </row>
    <row r="846" spans="1:15" x14ac:dyDescent="0.3">
      <c r="A846" t="s">
        <v>324</v>
      </c>
      <c r="B846">
        <v>2</v>
      </c>
      <c r="C846">
        <v>2013</v>
      </c>
      <c r="D846" s="1">
        <v>41639</v>
      </c>
      <c r="E846" s="2">
        <v>5584571000</v>
      </c>
      <c r="F846" s="2">
        <v>3570801000</v>
      </c>
      <c r="G846" s="2">
        <v>1183682000</v>
      </c>
      <c r="H846">
        <v>0</v>
      </c>
      <c r="I846" s="2">
        <v>253380000</v>
      </c>
      <c r="J846" t="s">
        <v>12</v>
      </c>
      <c r="K846" t="s">
        <v>325</v>
      </c>
      <c r="L846" s="37">
        <f t="shared" si="52"/>
        <v>0.36059529013061165</v>
      </c>
      <c r="M846" s="2">
        <f t="shared" si="53"/>
        <v>2013770000</v>
      </c>
      <c r="N846" s="37">
        <f t="shared" si="54"/>
        <v>0.10326809346680345</v>
      </c>
      <c r="O846" s="2">
        <f t="shared" si="55"/>
        <v>576708000</v>
      </c>
    </row>
    <row r="847" spans="1:15" x14ac:dyDescent="0.3">
      <c r="A847" t="s">
        <v>324</v>
      </c>
      <c r="B847">
        <v>3</v>
      </c>
      <c r="C847">
        <v>2014</v>
      </c>
      <c r="D847" s="1">
        <v>42004</v>
      </c>
      <c r="E847" s="2">
        <v>6165441000</v>
      </c>
      <c r="F847" s="2">
        <v>3898403000</v>
      </c>
      <c r="G847" s="2">
        <v>1341000000</v>
      </c>
      <c r="H847">
        <v>0</v>
      </c>
      <c r="I847" s="2">
        <v>294496000</v>
      </c>
      <c r="J847" t="s">
        <v>12</v>
      </c>
      <c r="K847" t="s">
        <v>325</v>
      </c>
      <c r="L847" s="37">
        <f t="shared" si="52"/>
        <v>0.36770086681552872</v>
      </c>
      <c r="M847" s="2">
        <f t="shared" si="53"/>
        <v>2267038000</v>
      </c>
      <c r="N847" s="37">
        <f t="shared" si="54"/>
        <v>0.10243257538268552</v>
      </c>
      <c r="O847" s="2">
        <f t="shared" si="55"/>
        <v>631542000</v>
      </c>
    </row>
    <row r="848" spans="1:15" x14ac:dyDescent="0.3">
      <c r="A848" t="s">
        <v>324</v>
      </c>
      <c r="B848">
        <v>4</v>
      </c>
      <c r="C848">
        <v>2015</v>
      </c>
      <c r="D848" s="1">
        <v>42369</v>
      </c>
      <c r="E848" s="2">
        <v>6187646000</v>
      </c>
      <c r="F848" s="2">
        <v>3665578000</v>
      </c>
      <c r="G848" s="2">
        <v>1466761000</v>
      </c>
      <c r="H848">
        <v>0</v>
      </c>
      <c r="I848" s="2">
        <v>339613000</v>
      </c>
      <c r="J848" t="s">
        <v>12</v>
      </c>
      <c r="K848" t="s">
        <v>325</v>
      </c>
      <c r="L848" s="37">
        <f t="shared" si="52"/>
        <v>0.40759733184477587</v>
      </c>
      <c r="M848" s="2">
        <f t="shared" si="53"/>
        <v>2522068000</v>
      </c>
      <c r="N848" s="37">
        <f t="shared" si="54"/>
        <v>0.11566498794533495</v>
      </c>
      <c r="O848" s="2">
        <f t="shared" si="55"/>
        <v>715694000</v>
      </c>
    </row>
    <row r="849" spans="1:15" x14ac:dyDescent="0.3">
      <c r="A849" t="s">
        <v>326</v>
      </c>
      <c r="B849">
        <v>1</v>
      </c>
      <c r="C849">
        <v>2013</v>
      </c>
      <c r="D849" s="1">
        <v>41544</v>
      </c>
      <c r="E849" s="2">
        <v>11818376000</v>
      </c>
      <c r="F849" s="2">
        <v>9976057000</v>
      </c>
      <c r="G849" s="2">
        <v>1173340000</v>
      </c>
      <c r="H849">
        <v>0</v>
      </c>
      <c r="I849">
        <v>0</v>
      </c>
      <c r="J849" t="s">
        <v>12</v>
      </c>
      <c r="K849" t="s">
        <v>160</v>
      </c>
      <c r="L849" s="37">
        <f t="shared" si="52"/>
        <v>0.1558859694428405</v>
      </c>
      <c r="M849" s="2">
        <f t="shared" si="53"/>
        <v>1842319000</v>
      </c>
      <c r="N849" s="37">
        <f t="shared" si="54"/>
        <v>5.6604985321164258E-2</v>
      </c>
      <c r="O849" s="2">
        <f t="shared" si="55"/>
        <v>668979000</v>
      </c>
    </row>
    <row r="850" spans="1:15" x14ac:dyDescent="0.3">
      <c r="A850" t="s">
        <v>326</v>
      </c>
      <c r="B850">
        <v>2</v>
      </c>
      <c r="C850">
        <v>2014</v>
      </c>
      <c r="D850" s="1">
        <v>41908</v>
      </c>
      <c r="E850" s="2">
        <v>12695157000</v>
      </c>
      <c r="F850" s="2">
        <v>10621373000</v>
      </c>
      <c r="G850" s="2">
        <v>1545716000</v>
      </c>
      <c r="H850">
        <v>0</v>
      </c>
      <c r="I850">
        <v>0</v>
      </c>
      <c r="J850" t="s">
        <v>12</v>
      </c>
      <c r="K850" t="s">
        <v>160</v>
      </c>
      <c r="L850" s="37">
        <f t="shared" si="52"/>
        <v>0.16335237130190672</v>
      </c>
      <c r="M850" s="2">
        <f t="shared" si="53"/>
        <v>2073784000</v>
      </c>
      <c r="N850" s="37">
        <f t="shared" si="54"/>
        <v>4.1596019647492349E-2</v>
      </c>
      <c r="O850" s="2">
        <f t="shared" si="55"/>
        <v>528068000</v>
      </c>
    </row>
    <row r="851" spans="1:15" x14ac:dyDescent="0.3">
      <c r="A851" t="s">
        <v>326</v>
      </c>
      <c r="B851">
        <v>3</v>
      </c>
      <c r="C851">
        <v>2015</v>
      </c>
      <c r="D851" s="1">
        <v>42279</v>
      </c>
      <c r="E851" s="2">
        <v>12114832000</v>
      </c>
      <c r="F851" s="2">
        <v>10146494000</v>
      </c>
      <c r="G851" s="2">
        <v>1522811000</v>
      </c>
      <c r="H851">
        <v>0</v>
      </c>
      <c r="I851">
        <v>0</v>
      </c>
      <c r="J851" t="s">
        <v>12</v>
      </c>
      <c r="K851" t="s">
        <v>160</v>
      </c>
      <c r="L851" s="37">
        <f t="shared" si="52"/>
        <v>0.1624734045011933</v>
      </c>
      <c r="M851" s="2">
        <f t="shared" si="53"/>
        <v>1968338000</v>
      </c>
      <c r="N851" s="37">
        <f t="shared" si="54"/>
        <v>3.6775334565101687E-2</v>
      </c>
      <c r="O851" s="2">
        <f t="shared" si="55"/>
        <v>445527000</v>
      </c>
    </row>
    <row r="852" spans="1:15" x14ac:dyDescent="0.3">
      <c r="A852" t="s">
        <v>326</v>
      </c>
      <c r="B852">
        <v>4</v>
      </c>
      <c r="C852">
        <v>2016</v>
      </c>
      <c r="D852" s="1">
        <v>42643</v>
      </c>
      <c r="E852" s="2">
        <v>10964157000</v>
      </c>
      <c r="F852" s="2">
        <v>9196326000</v>
      </c>
      <c r="G852" s="2">
        <v>1429233000</v>
      </c>
      <c r="H852">
        <v>0</v>
      </c>
      <c r="I852">
        <v>0</v>
      </c>
      <c r="J852" t="s">
        <v>12</v>
      </c>
      <c r="K852" t="s">
        <v>160</v>
      </c>
      <c r="L852" s="37">
        <f t="shared" si="52"/>
        <v>0.16123729348275473</v>
      </c>
      <c r="M852" s="2">
        <f t="shared" si="53"/>
        <v>1767831000</v>
      </c>
      <c r="N852" s="37">
        <f t="shared" si="54"/>
        <v>3.0882264819812412E-2</v>
      </c>
      <c r="O852" s="2">
        <f t="shared" si="55"/>
        <v>338598000</v>
      </c>
    </row>
    <row r="853" spans="1:15" x14ac:dyDescent="0.3">
      <c r="A853" t="s">
        <v>327</v>
      </c>
      <c r="B853">
        <v>1</v>
      </c>
      <c r="C853">
        <v>2012</v>
      </c>
      <c r="D853" s="1">
        <v>41274</v>
      </c>
      <c r="E853" s="2">
        <v>4365400000</v>
      </c>
      <c r="F853" s="2">
        <v>1656600000</v>
      </c>
      <c r="G853" s="2">
        <v>1252300000</v>
      </c>
      <c r="H853" s="2">
        <v>1101600000</v>
      </c>
      <c r="I853">
        <v>0</v>
      </c>
      <c r="J853" t="s">
        <v>18</v>
      </c>
      <c r="K853" t="s">
        <v>170</v>
      </c>
      <c r="L853" s="37">
        <f t="shared" si="52"/>
        <v>0.62051587483392123</v>
      </c>
      <c r="M853" s="2">
        <f t="shared" si="53"/>
        <v>2708800000</v>
      </c>
      <c r="N853" s="37">
        <f t="shared" si="54"/>
        <v>8.1298391899940439E-2</v>
      </c>
      <c r="O853" s="2">
        <f t="shared" si="55"/>
        <v>354900000</v>
      </c>
    </row>
    <row r="854" spans="1:15" x14ac:dyDescent="0.3">
      <c r="A854" t="s">
        <v>327</v>
      </c>
      <c r="B854">
        <v>2</v>
      </c>
      <c r="C854">
        <v>2013</v>
      </c>
      <c r="D854" s="1">
        <v>41639</v>
      </c>
      <c r="E854" s="2">
        <v>4669100000</v>
      </c>
      <c r="F854" s="2">
        <v>1727700000</v>
      </c>
      <c r="G854" s="2">
        <v>1293200000</v>
      </c>
      <c r="H854" s="2">
        <v>1043200000</v>
      </c>
      <c r="I854">
        <v>0</v>
      </c>
      <c r="J854" t="s">
        <v>18</v>
      </c>
      <c r="K854" t="s">
        <v>170</v>
      </c>
      <c r="L854" s="37">
        <f t="shared" si="52"/>
        <v>0.62997151485296954</v>
      </c>
      <c r="M854" s="2">
        <f t="shared" si="53"/>
        <v>2941400000</v>
      </c>
      <c r="N854" s="37">
        <f t="shared" si="54"/>
        <v>0.12957529288299671</v>
      </c>
      <c r="O854" s="2">
        <f t="shared" si="55"/>
        <v>605000000</v>
      </c>
    </row>
    <row r="855" spans="1:15" x14ac:dyDescent="0.3">
      <c r="A855" t="s">
        <v>327</v>
      </c>
      <c r="B855">
        <v>3</v>
      </c>
      <c r="C855">
        <v>2014</v>
      </c>
      <c r="D855" s="1">
        <v>42004</v>
      </c>
      <c r="E855" s="2">
        <v>4627100000</v>
      </c>
      <c r="F855" s="2">
        <v>1768900000</v>
      </c>
      <c r="G855" s="2">
        <v>1254700000</v>
      </c>
      <c r="H855" s="2">
        <v>1006200000</v>
      </c>
      <c r="I855">
        <v>0</v>
      </c>
      <c r="J855" t="s">
        <v>18</v>
      </c>
      <c r="K855" t="s">
        <v>170</v>
      </c>
      <c r="L855" s="37">
        <f t="shared" si="52"/>
        <v>0.61770871604244559</v>
      </c>
      <c r="M855" s="2">
        <f t="shared" si="53"/>
        <v>2858200000</v>
      </c>
      <c r="N855" s="37">
        <f t="shared" si="54"/>
        <v>0.12908733331892547</v>
      </c>
      <c r="O855" s="2">
        <f t="shared" si="55"/>
        <v>597300000</v>
      </c>
    </row>
    <row r="856" spans="1:15" x14ac:dyDescent="0.3">
      <c r="A856" t="s">
        <v>327</v>
      </c>
      <c r="B856">
        <v>4</v>
      </c>
      <c r="C856">
        <v>2015</v>
      </c>
      <c r="D856" s="1">
        <v>42369</v>
      </c>
      <c r="E856" s="2">
        <v>4857800000</v>
      </c>
      <c r="F856" s="2">
        <v>1779200000</v>
      </c>
      <c r="G856" s="2">
        <v>1172700000</v>
      </c>
      <c r="H856" s="2">
        <v>994500000</v>
      </c>
      <c r="I856">
        <v>0</v>
      </c>
      <c r="J856" t="s">
        <v>18</v>
      </c>
      <c r="K856" t="s">
        <v>170</v>
      </c>
      <c r="L856" s="37">
        <f t="shared" si="52"/>
        <v>0.6337436699740624</v>
      </c>
      <c r="M856" s="2">
        <f t="shared" si="53"/>
        <v>3078600000</v>
      </c>
      <c r="N856" s="37">
        <f t="shared" si="54"/>
        <v>0.18761579315739635</v>
      </c>
      <c r="O856" s="2">
        <f t="shared" si="55"/>
        <v>911400000</v>
      </c>
    </row>
    <row r="857" spans="1:15" x14ac:dyDescent="0.3">
      <c r="A857" t="s">
        <v>107</v>
      </c>
      <c r="B857">
        <v>1</v>
      </c>
      <c r="C857">
        <v>2013</v>
      </c>
      <c r="D857" s="1">
        <v>41639</v>
      </c>
      <c r="E857" s="2">
        <v>3049500000</v>
      </c>
      <c r="F857" s="2">
        <v>1194400000</v>
      </c>
      <c r="G857" s="2">
        <v>920300000</v>
      </c>
      <c r="H857" s="2">
        <v>295700000</v>
      </c>
      <c r="I857">
        <v>0</v>
      </c>
      <c r="J857" t="s">
        <v>21</v>
      </c>
      <c r="K857" t="s">
        <v>26</v>
      </c>
      <c r="L857" s="37">
        <f t="shared" si="52"/>
        <v>0.60832923430070496</v>
      </c>
      <c r="M857" s="2">
        <f t="shared" si="53"/>
        <v>1855100000</v>
      </c>
      <c r="N857" s="37">
        <f t="shared" si="54"/>
        <v>0.20957534021970814</v>
      </c>
      <c r="O857" s="2">
        <f t="shared" si="55"/>
        <v>639100000</v>
      </c>
    </row>
    <row r="858" spans="1:15" x14ac:dyDescent="0.3">
      <c r="A858" t="s">
        <v>107</v>
      </c>
      <c r="B858">
        <v>2</v>
      </c>
      <c r="C858">
        <v>2014</v>
      </c>
      <c r="D858" s="1">
        <v>42004</v>
      </c>
      <c r="E858" s="2">
        <v>3323600000</v>
      </c>
      <c r="F858" s="2">
        <v>1258600000</v>
      </c>
      <c r="G858" s="2">
        <v>981500000</v>
      </c>
      <c r="H858" s="2">
        <v>302000000</v>
      </c>
      <c r="I858">
        <v>0</v>
      </c>
      <c r="J858" t="s">
        <v>21</v>
      </c>
      <c r="K858" t="s">
        <v>26</v>
      </c>
      <c r="L858" s="37">
        <f t="shared" si="52"/>
        <v>0.62131423757371529</v>
      </c>
      <c r="M858" s="2">
        <f t="shared" si="53"/>
        <v>2065000000</v>
      </c>
      <c r="N858" s="37">
        <f t="shared" si="54"/>
        <v>0.23513659886869659</v>
      </c>
      <c r="O858" s="2">
        <f t="shared" si="55"/>
        <v>781500000</v>
      </c>
    </row>
    <row r="859" spans="1:15" x14ac:dyDescent="0.3">
      <c r="A859" t="s">
        <v>107</v>
      </c>
      <c r="B859">
        <v>3</v>
      </c>
      <c r="C859">
        <v>2015</v>
      </c>
      <c r="D859" s="1">
        <v>42369</v>
      </c>
      <c r="E859" s="2">
        <v>3416000000</v>
      </c>
      <c r="F859" s="2">
        <v>1301200000</v>
      </c>
      <c r="G859" s="2">
        <v>1012100000</v>
      </c>
      <c r="H859" s="2">
        <v>259200000</v>
      </c>
      <c r="I859">
        <v>0</v>
      </c>
      <c r="J859" t="s">
        <v>21</v>
      </c>
      <c r="K859" t="s">
        <v>26</v>
      </c>
      <c r="L859" s="37">
        <f t="shared" si="52"/>
        <v>0.61908665105386418</v>
      </c>
      <c r="M859" s="2">
        <f t="shared" si="53"/>
        <v>2114800000</v>
      </c>
      <c r="N859" s="37">
        <f t="shared" si="54"/>
        <v>0.24692622950819673</v>
      </c>
      <c r="O859" s="2">
        <f t="shared" si="55"/>
        <v>843500000</v>
      </c>
    </row>
    <row r="860" spans="1:15" x14ac:dyDescent="0.3">
      <c r="A860" t="s">
        <v>107</v>
      </c>
      <c r="B860">
        <v>4</v>
      </c>
      <c r="C860">
        <v>2016</v>
      </c>
      <c r="D860" s="1">
        <v>42735</v>
      </c>
      <c r="E860" s="2">
        <v>3714000000</v>
      </c>
      <c r="F860" s="2">
        <v>1371700000</v>
      </c>
      <c r="G860" s="2">
        <v>1101900000</v>
      </c>
      <c r="H860" s="2">
        <v>292800000</v>
      </c>
      <c r="I860">
        <v>0</v>
      </c>
      <c r="J860" t="s">
        <v>21</v>
      </c>
      <c r="K860" t="s">
        <v>26</v>
      </c>
      <c r="L860" s="37">
        <f t="shared" si="52"/>
        <v>0.63066774367259026</v>
      </c>
      <c r="M860" s="2">
        <f t="shared" si="53"/>
        <v>2342300000</v>
      </c>
      <c r="N860" s="37">
        <f t="shared" si="54"/>
        <v>0.25514270328486804</v>
      </c>
      <c r="O860" s="2">
        <f t="shared" si="55"/>
        <v>947600000</v>
      </c>
    </row>
    <row r="861" spans="1:15" x14ac:dyDescent="0.3">
      <c r="A861" t="s">
        <v>329</v>
      </c>
      <c r="B861">
        <v>1</v>
      </c>
      <c r="C861">
        <v>2013</v>
      </c>
      <c r="D861" s="1">
        <v>41307</v>
      </c>
      <c r="E861" s="2">
        <v>12134000000</v>
      </c>
      <c r="F861" s="2">
        <v>7432000000</v>
      </c>
      <c r="G861" s="2">
        <v>3357000000</v>
      </c>
      <c r="H861">
        <v>0</v>
      </c>
      <c r="I861">
        <v>0</v>
      </c>
      <c r="J861" t="s">
        <v>15</v>
      </c>
      <c r="K861" t="s">
        <v>330</v>
      </c>
      <c r="L861" s="37">
        <f t="shared" si="52"/>
        <v>0.38750618097906708</v>
      </c>
      <c r="M861" s="2">
        <f t="shared" si="53"/>
        <v>4702000000</v>
      </c>
      <c r="N861" s="37">
        <f t="shared" si="54"/>
        <v>0.11084555793637713</v>
      </c>
      <c r="O861" s="2">
        <f t="shared" si="55"/>
        <v>1345000000</v>
      </c>
    </row>
    <row r="862" spans="1:15" x14ac:dyDescent="0.3">
      <c r="A862" t="s">
        <v>329</v>
      </c>
      <c r="B862">
        <v>2</v>
      </c>
      <c r="C862">
        <v>2014</v>
      </c>
      <c r="D862" s="1">
        <v>41671</v>
      </c>
      <c r="E862" s="2">
        <v>12540000000</v>
      </c>
      <c r="F862" s="2">
        <v>7737000000</v>
      </c>
      <c r="G862" s="2">
        <v>3453000000</v>
      </c>
      <c r="H862">
        <v>0</v>
      </c>
      <c r="I862">
        <v>0</v>
      </c>
      <c r="J862" t="s">
        <v>15</v>
      </c>
      <c r="K862" t="s">
        <v>330</v>
      </c>
      <c r="L862" s="37">
        <f t="shared" si="52"/>
        <v>0.3830143540669857</v>
      </c>
      <c r="M862" s="2">
        <f t="shared" si="53"/>
        <v>4803000000</v>
      </c>
      <c r="N862" s="37">
        <f t="shared" si="54"/>
        <v>0.1076555023923445</v>
      </c>
      <c r="O862" s="2">
        <f t="shared" si="55"/>
        <v>1350000000</v>
      </c>
    </row>
    <row r="863" spans="1:15" x14ac:dyDescent="0.3">
      <c r="A863" t="s">
        <v>329</v>
      </c>
      <c r="B863">
        <v>3</v>
      </c>
      <c r="C863">
        <v>2015</v>
      </c>
      <c r="D863" s="1">
        <v>42035</v>
      </c>
      <c r="E863" s="2">
        <v>13506000000</v>
      </c>
      <c r="F863" s="2">
        <v>8406000000</v>
      </c>
      <c r="G863" s="2">
        <v>3777000000</v>
      </c>
      <c r="H863">
        <v>0</v>
      </c>
      <c r="I863">
        <v>0</v>
      </c>
      <c r="J863" t="s">
        <v>15</v>
      </c>
      <c r="K863" t="s">
        <v>330</v>
      </c>
      <c r="L863" s="37">
        <f t="shared" si="52"/>
        <v>0.3776099511328298</v>
      </c>
      <c r="M863" s="2">
        <f t="shared" si="53"/>
        <v>5100000000</v>
      </c>
      <c r="N863" s="37">
        <f t="shared" si="54"/>
        <v>9.7956463793869394E-2</v>
      </c>
      <c r="O863" s="2">
        <f t="shared" si="55"/>
        <v>1323000000</v>
      </c>
    </row>
    <row r="864" spans="1:15" x14ac:dyDescent="0.3">
      <c r="A864" t="s">
        <v>329</v>
      </c>
      <c r="B864">
        <v>4</v>
      </c>
      <c r="C864">
        <v>2016</v>
      </c>
      <c r="D864" s="1">
        <v>42399</v>
      </c>
      <c r="E864" s="2">
        <v>14437000000</v>
      </c>
      <c r="F864" s="2">
        <v>9168000000</v>
      </c>
      <c r="G864" s="2">
        <v>4168000000</v>
      </c>
      <c r="H864">
        <v>0</v>
      </c>
      <c r="I864">
        <v>0</v>
      </c>
      <c r="J864" t="s">
        <v>15</v>
      </c>
      <c r="K864" t="s">
        <v>330</v>
      </c>
      <c r="L864" s="37">
        <f t="shared" si="52"/>
        <v>0.36496502043360812</v>
      </c>
      <c r="M864" s="2">
        <f t="shared" si="53"/>
        <v>5269000000</v>
      </c>
      <c r="N864" s="37">
        <f t="shared" si="54"/>
        <v>7.6262381381173375E-2</v>
      </c>
      <c r="O864" s="2">
        <f t="shared" si="55"/>
        <v>1101000000</v>
      </c>
    </row>
    <row r="865" spans="1:15" x14ac:dyDescent="0.3">
      <c r="A865" t="s">
        <v>331</v>
      </c>
      <c r="B865">
        <v>1</v>
      </c>
      <c r="C865">
        <v>2012</v>
      </c>
      <c r="D865" s="1">
        <v>41272</v>
      </c>
      <c r="E865" s="2">
        <v>14197000000</v>
      </c>
      <c r="F865" s="2">
        <v>8763000000</v>
      </c>
      <c r="G865" s="2">
        <v>3872000000</v>
      </c>
      <c r="H865">
        <v>0</v>
      </c>
      <c r="I865">
        <v>0</v>
      </c>
      <c r="J865" t="s">
        <v>32</v>
      </c>
      <c r="K865" t="s">
        <v>120</v>
      </c>
      <c r="L865" s="37">
        <f t="shared" si="52"/>
        <v>0.38275692047615695</v>
      </c>
      <c r="M865" s="2">
        <f t="shared" si="53"/>
        <v>5434000000</v>
      </c>
      <c r="N865" s="37">
        <f t="shared" si="54"/>
        <v>0.11002324434739734</v>
      </c>
      <c r="O865" s="2">
        <f t="shared" si="55"/>
        <v>1562000000</v>
      </c>
    </row>
    <row r="866" spans="1:15" x14ac:dyDescent="0.3">
      <c r="A866" t="s">
        <v>331</v>
      </c>
      <c r="B866">
        <v>2</v>
      </c>
      <c r="C866">
        <v>2013</v>
      </c>
      <c r="D866" s="1">
        <v>41636</v>
      </c>
      <c r="E866" s="2">
        <v>14792000000</v>
      </c>
      <c r="F866" s="2">
        <v>8689000000</v>
      </c>
      <c r="G866" s="2">
        <v>3266000000</v>
      </c>
      <c r="H866">
        <v>0</v>
      </c>
      <c r="I866">
        <v>0</v>
      </c>
      <c r="J866" t="s">
        <v>32</v>
      </c>
      <c r="K866" t="s">
        <v>120</v>
      </c>
      <c r="L866" s="37">
        <f t="shared" si="52"/>
        <v>0.41258788534342883</v>
      </c>
      <c r="M866" s="2">
        <f t="shared" si="53"/>
        <v>6103000000</v>
      </c>
      <c r="N866" s="37">
        <f t="shared" si="54"/>
        <v>0.19179286100594917</v>
      </c>
      <c r="O866" s="2">
        <f t="shared" si="55"/>
        <v>2837000000</v>
      </c>
    </row>
    <row r="867" spans="1:15" x14ac:dyDescent="0.3">
      <c r="A867" t="s">
        <v>331</v>
      </c>
      <c r="B867">
        <v>3</v>
      </c>
      <c r="C867">
        <v>2015</v>
      </c>
      <c r="D867" s="1">
        <v>42007</v>
      </c>
      <c r="E867" s="2">
        <v>14580000000</v>
      </c>
      <c r="F867" s="2">
        <v>9517000000</v>
      </c>
      <c r="G867" s="2">
        <v>4039000000</v>
      </c>
      <c r="H867">
        <v>0</v>
      </c>
      <c r="I867">
        <v>0</v>
      </c>
      <c r="J867" t="s">
        <v>32</v>
      </c>
      <c r="K867" t="s">
        <v>120</v>
      </c>
      <c r="L867" s="37">
        <f t="shared" si="52"/>
        <v>0.34725651577503425</v>
      </c>
      <c r="M867" s="2">
        <f t="shared" si="53"/>
        <v>5063000000</v>
      </c>
      <c r="N867" s="37">
        <f t="shared" si="54"/>
        <v>7.0233196159122088E-2</v>
      </c>
      <c r="O867" s="2">
        <f t="shared" si="55"/>
        <v>1024000000</v>
      </c>
    </row>
    <row r="868" spans="1:15" x14ac:dyDescent="0.3">
      <c r="A868" t="s">
        <v>331</v>
      </c>
      <c r="B868">
        <v>4</v>
      </c>
      <c r="C868">
        <v>2016</v>
      </c>
      <c r="D868" s="1">
        <v>42371</v>
      </c>
      <c r="E868" s="2">
        <v>13525000000</v>
      </c>
      <c r="F868" s="2">
        <v>8844000000</v>
      </c>
      <c r="G868" s="2">
        <v>3590000000</v>
      </c>
      <c r="H868">
        <v>0</v>
      </c>
      <c r="I868">
        <v>0</v>
      </c>
      <c r="J868" t="s">
        <v>32</v>
      </c>
      <c r="K868" t="s">
        <v>120</v>
      </c>
      <c r="L868" s="37">
        <f t="shared" si="52"/>
        <v>0.34609981515711641</v>
      </c>
      <c r="M868" s="2">
        <f t="shared" si="53"/>
        <v>4681000000</v>
      </c>
      <c r="N868" s="37">
        <f t="shared" si="54"/>
        <v>8.0665434380776335E-2</v>
      </c>
      <c r="O868" s="2">
        <f t="shared" si="55"/>
        <v>1091000000</v>
      </c>
    </row>
    <row r="869" spans="1:15" x14ac:dyDescent="0.3">
      <c r="A869" t="s">
        <v>108</v>
      </c>
      <c r="B869">
        <v>1</v>
      </c>
      <c r="C869">
        <v>2013</v>
      </c>
      <c r="D869" s="1">
        <v>41547</v>
      </c>
      <c r="E869" s="2">
        <v>8054000000</v>
      </c>
      <c r="F869" s="2">
        <v>3883000000</v>
      </c>
      <c r="G869" s="2">
        <v>2422000000</v>
      </c>
      <c r="H869" s="2">
        <v>494000000</v>
      </c>
      <c r="I869">
        <v>0</v>
      </c>
      <c r="J869" t="s">
        <v>21</v>
      </c>
      <c r="K869" t="s">
        <v>26</v>
      </c>
      <c r="L869" s="37">
        <f t="shared" si="52"/>
        <v>0.51787931462627268</v>
      </c>
      <c r="M869" s="2">
        <f t="shared" si="53"/>
        <v>4171000000</v>
      </c>
      <c r="N869" s="37">
        <f t="shared" si="54"/>
        <v>0.1558231934442513</v>
      </c>
      <c r="O869" s="2">
        <f t="shared" si="55"/>
        <v>1255000000</v>
      </c>
    </row>
    <row r="870" spans="1:15" x14ac:dyDescent="0.3">
      <c r="A870" t="s">
        <v>108</v>
      </c>
      <c r="B870">
        <v>2</v>
      </c>
      <c r="C870">
        <v>2014</v>
      </c>
      <c r="D870" s="1">
        <v>41912</v>
      </c>
      <c r="E870" s="2">
        <v>8446000000</v>
      </c>
      <c r="F870" s="2">
        <v>4145000000</v>
      </c>
      <c r="G870" s="2">
        <v>2145000000</v>
      </c>
      <c r="H870" s="2">
        <v>550000000</v>
      </c>
      <c r="I870">
        <v>0</v>
      </c>
      <c r="J870" t="s">
        <v>21</v>
      </c>
      <c r="K870" t="s">
        <v>26</v>
      </c>
      <c r="L870" s="37">
        <f t="shared" si="52"/>
        <v>0.50923514089509825</v>
      </c>
      <c r="M870" s="2">
        <f t="shared" si="53"/>
        <v>4301000000</v>
      </c>
      <c r="N870" s="37">
        <f t="shared" si="54"/>
        <v>0.19014918304522851</v>
      </c>
      <c r="O870" s="2">
        <f t="shared" si="55"/>
        <v>1606000000</v>
      </c>
    </row>
    <row r="871" spans="1:15" x14ac:dyDescent="0.3">
      <c r="A871" t="s">
        <v>108</v>
      </c>
      <c r="B871">
        <v>3</v>
      </c>
      <c r="C871">
        <v>2015</v>
      </c>
      <c r="D871" s="1">
        <v>42277</v>
      </c>
      <c r="E871" s="2">
        <v>10282000000</v>
      </c>
      <c r="F871" s="2">
        <v>5587000000</v>
      </c>
      <c r="G871" s="2">
        <v>2563000000</v>
      </c>
      <c r="H871" s="2">
        <v>632000000</v>
      </c>
      <c r="I871">
        <v>0</v>
      </c>
      <c r="J871" t="s">
        <v>21</v>
      </c>
      <c r="K871" t="s">
        <v>26</v>
      </c>
      <c r="L871" s="37">
        <f t="shared" si="52"/>
        <v>0.45662322505349151</v>
      </c>
      <c r="M871" s="2">
        <f t="shared" si="53"/>
        <v>4695000000</v>
      </c>
      <c r="N871" s="37">
        <f t="shared" si="54"/>
        <v>0.14588601439408674</v>
      </c>
      <c r="O871" s="2">
        <f t="shared" si="55"/>
        <v>1500000000</v>
      </c>
    </row>
    <row r="872" spans="1:15" x14ac:dyDescent="0.3">
      <c r="A872" t="s">
        <v>108</v>
      </c>
      <c r="B872">
        <v>4</v>
      </c>
      <c r="C872">
        <v>2016</v>
      </c>
      <c r="D872" s="1">
        <v>42643</v>
      </c>
      <c r="E872" s="2">
        <v>12483000000</v>
      </c>
      <c r="F872" s="2">
        <v>6492000000</v>
      </c>
      <c r="G872" s="2">
        <v>3005000000</v>
      </c>
      <c r="H872" s="2">
        <v>828000000</v>
      </c>
      <c r="I872">
        <v>0</v>
      </c>
      <c r="J872" t="s">
        <v>21</v>
      </c>
      <c r="K872" t="s">
        <v>26</v>
      </c>
      <c r="L872" s="37">
        <f t="shared" si="52"/>
        <v>0.47993270848353764</v>
      </c>
      <c r="M872" s="2">
        <f t="shared" si="53"/>
        <v>5991000000</v>
      </c>
      <c r="N872" s="37">
        <f t="shared" si="54"/>
        <v>0.17287511014980372</v>
      </c>
      <c r="O872" s="2">
        <f t="shared" si="55"/>
        <v>2158000000</v>
      </c>
    </row>
    <row r="873" spans="1:15" x14ac:dyDescent="0.3">
      <c r="A873" t="s">
        <v>333</v>
      </c>
      <c r="B873">
        <v>1</v>
      </c>
      <c r="C873">
        <v>2012</v>
      </c>
      <c r="D873" s="1">
        <v>41274</v>
      </c>
      <c r="E873" s="2">
        <v>793373000</v>
      </c>
      <c r="F873" s="2">
        <v>206974000</v>
      </c>
      <c r="G873" s="2">
        <v>123524000</v>
      </c>
      <c r="H873">
        <v>0</v>
      </c>
      <c r="I873" s="2">
        <v>214827000</v>
      </c>
      <c r="J873" t="s">
        <v>48</v>
      </c>
      <c r="K873" t="s">
        <v>49</v>
      </c>
      <c r="L873" s="37">
        <f t="shared" si="52"/>
        <v>0.7391214472889801</v>
      </c>
      <c r="M873" s="2">
        <f t="shared" si="53"/>
        <v>586399000</v>
      </c>
      <c r="N873" s="37">
        <f t="shared" si="54"/>
        <v>0.31264991372280126</v>
      </c>
      <c r="O873" s="2">
        <f t="shared" si="55"/>
        <v>248048000</v>
      </c>
    </row>
    <row r="874" spans="1:15" x14ac:dyDescent="0.3">
      <c r="A874" t="s">
        <v>333</v>
      </c>
      <c r="B874">
        <v>2</v>
      </c>
      <c r="C874">
        <v>2013</v>
      </c>
      <c r="D874" s="1">
        <v>41639</v>
      </c>
      <c r="E874" s="2">
        <v>861527000</v>
      </c>
      <c r="F874" s="2">
        <v>221498000</v>
      </c>
      <c r="G874" s="2">
        <v>127470000</v>
      </c>
      <c r="H874">
        <v>0</v>
      </c>
      <c r="I874" s="2">
        <v>224713000</v>
      </c>
      <c r="J874" t="s">
        <v>48</v>
      </c>
      <c r="K874" t="s">
        <v>49</v>
      </c>
      <c r="L874" s="37">
        <f t="shared" si="52"/>
        <v>0.74290068680377974</v>
      </c>
      <c r="M874" s="2">
        <f t="shared" si="53"/>
        <v>640029000</v>
      </c>
      <c r="N874" s="37">
        <f t="shared" si="54"/>
        <v>0.33411140916071114</v>
      </c>
      <c r="O874" s="2">
        <f t="shared" si="55"/>
        <v>287846000</v>
      </c>
    </row>
    <row r="875" spans="1:15" x14ac:dyDescent="0.3">
      <c r="A875" t="s">
        <v>333</v>
      </c>
      <c r="B875">
        <v>3</v>
      </c>
      <c r="C875">
        <v>2014</v>
      </c>
      <c r="D875" s="1">
        <v>42004</v>
      </c>
      <c r="E875" s="2">
        <v>993897000</v>
      </c>
      <c r="F875" s="2">
        <v>258617000</v>
      </c>
      <c r="G875" s="2">
        <v>122201000</v>
      </c>
      <c r="H875">
        <v>0</v>
      </c>
      <c r="I875" s="2">
        <v>258074000</v>
      </c>
      <c r="J875" t="s">
        <v>48</v>
      </c>
      <c r="K875" t="s">
        <v>49</v>
      </c>
      <c r="L875" s="37">
        <f t="shared" si="52"/>
        <v>0.73979496869393913</v>
      </c>
      <c r="M875" s="2">
        <f t="shared" si="53"/>
        <v>735280000</v>
      </c>
      <c r="N875" s="37">
        <f t="shared" si="54"/>
        <v>0.35718489944129017</v>
      </c>
      <c r="O875" s="2">
        <f t="shared" si="55"/>
        <v>355005000</v>
      </c>
    </row>
    <row r="876" spans="1:15" x14ac:dyDescent="0.3">
      <c r="A876" t="s">
        <v>333</v>
      </c>
      <c r="B876">
        <v>4</v>
      </c>
      <c r="C876">
        <v>2015</v>
      </c>
      <c r="D876" s="1">
        <v>42369</v>
      </c>
      <c r="E876" s="2">
        <v>1166769000</v>
      </c>
      <c r="F876" s="2">
        <v>304477000</v>
      </c>
      <c r="G876" s="2">
        <v>122735000</v>
      </c>
      <c r="H876">
        <v>0</v>
      </c>
      <c r="I876" s="2">
        <v>344527000</v>
      </c>
      <c r="J876" t="s">
        <v>48</v>
      </c>
      <c r="K876" t="s">
        <v>49</v>
      </c>
      <c r="L876" s="37">
        <f t="shared" si="52"/>
        <v>0.73904260397730825</v>
      </c>
      <c r="M876" s="2">
        <f t="shared" si="53"/>
        <v>862292000</v>
      </c>
      <c r="N876" s="37">
        <f t="shared" si="54"/>
        <v>0.33856744565548108</v>
      </c>
      <c r="O876" s="2">
        <f t="shared" si="55"/>
        <v>395030000</v>
      </c>
    </row>
    <row r="877" spans="1:15" x14ac:dyDescent="0.3">
      <c r="A877" t="s">
        <v>334</v>
      </c>
      <c r="B877">
        <v>1</v>
      </c>
      <c r="C877">
        <v>2013</v>
      </c>
      <c r="D877" s="1">
        <v>41455</v>
      </c>
      <c r="E877" s="2">
        <v>2842781000</v>
      </c>
      <c r="F877" s="2">
        <v>1237452000</v>
      </c>
      <c r="G877" s="2">
        <v>387812000</v>
      </c>
      <c r="H877" s="2">
        <v>487832000</v>
      </c>
      <c r="I877">
        <v>0</v>
      </c>
      <c r="J877" t="s">
        <v>18</v>
      </c>
      <c r="K877" t="s">
        <v>64</v>
      </c>
      <c r="L877" s="37">
        <f t="shared" si="52"/>
        <v>0.56470371794380214</v>
      </c>
      <c r="M877" s="2">
        <f t="shared" si="53"/>
        <v>1605329000</v>
      </c>
      <c r="N877" s="37">
        <f t="shared" si="54"/>
        <v>0.25667999047411671</v>
      </c>
      <c r="O877" s="2">
        <f t="shared" si="55"/>
        <v>729685000</v>
      </c>
    </row>
    <row r="878" spans="1:15" x14ac:dyDescent="0.3">
      <c r="A878" t="s">
        <v>334</v>
      </c>
      <c r="B878">
        <v>2</v>
      </c>
      <c r="C878">
        <v>2014</v>
      </c>
      <c r="D878" s="1">
        <v>41820</v>
      </c>
      <c r="E878" s="2">
        <v>2929408000</v>
      </c>
      <c r="F878" s="2">
        <v>1232962000</v>
      </c>
      <c r="G878" s="2">
        <v>384907000</v>
      </c>
      <c r="H878" s="2">
        <v>539469000</v>
      </c>
      <c r="I878">
        <v>0</v>
      </c>
      <c r="J878" t="s">
        <v>18</v>
      </c>
      <c r="K878" t="s">
        <v>64</v>
      </c>
      <c r="L878" s="37">
        <f t="shared" si="52"/>
        <v>0.5791088165253867</v>
      </c>
      <c r="M878" s="2">
        <f t="shared" si="53"/>
        <v>1696446000</v>
      </c>
      <c r="N878" s="37">
        <f t="shared" si="54"/>
        <v>0.26355837083806694</v>
      </c>
      <c r="O878" s="2">
        <f t="shared" si="55"/>
        <v>772070000</v>
      </c>
    </row>
    <row r="879" spans="1:15" x14ac:dyDescent="0.3">
      <c r="A879" t="s">
        <v>334</v>
      </c>
      <c r="B879">
        <v>3</v>
      </c>
      <c r="C879">
        <v>2015</v>
      </c>
      <c r="D879" s="1">
        <v>42185</v>
      </c>
      <c r="E879" s="2">
        <v>2814049000</v>
      </c>
      <c r="F879" s="2">
        <v>1215229000</v>
      </c>
      <c r="G879" s="2">
        <v>406864000</v>
      </c>
      <c r="H879" s="2">
        <v>530616000</v>
      </c>
      <c r="I879">
        <v>0</v>
      </c>
      <c r="J879" t="s">
        <v>18</v>
      </c>
      <c r="K879" t="s">
        <v>64</v>
      </c>
      <c r="L879" s="37">
        <f t="shared" si="52"/>
        <v>0.56815641802967898</v>
      </c>
      <c r="M879" s="2">
        <f t="shared" si="53"/>
        <v>1598820000</v>
      </c>
      <c r="N879" s="37">
        <f t="shared" si="54"/>
        <v>0.2350136760234097</v>
      </c>
      <c r="O879" s="2">
        <f t="shared" si="55"/>
        <v>661340000</v>
      </c>
    </row>
    <row r="880" spans="1:15" x14ac:dyDescent="0.3">
      <c r="A880" t="s">
        <v>334</v>
      </c>
      <c r="B880">
        <v>4</v>
      </c>
      <c r="C880">
        <v>2016</v>
      </c>
      <c r="D880" s="1">
        <v>42551</v>
      </c>
      <c r="E880" s="2">
        <v>2984493000</v>
      </c>
      <c r="F880" s="2">
        <v>1163391000</v>
      </c>
      <c r="G880" s="2">
        <v>379399000</v>
      </c>
      <c r="H880" s="2">
        <v>481258000</v>
      </c>
      <c r="I880">
        <v>0</v>
      </c>
      <c r="J880" t="s">
        <v>18</v>
      </c>
      <c r="K880" t="s">
        <v>64</v>
      </c>
      <c r="L880" s="37">
        <f t="shared" si="52"/>
        <v>0.61018806209295851</v>
      </c>
      <c r="M880" s="2">
        <f t="shared" si="53"/>
        <v>1821102000</v>
      </c>
      <c r="N880" s="37">
        <f t="shared" si="54"/>
        <v>0.32181177841596548</v>
      </c>
      <c r="O880" s="2">
        <f t="shared" si="55"/>
        <v>960445000</v>
      </c>
    </row>
    <row r="881" spans="1:15" x14ac:dyDescent="0.3">
      <c r="A881" t="s">
        <v>335</v>
      </c>
      <c r="B881">
        <v>1</v>
      </c>
      <c r="C881">
        <v>2013</v>
      </c>
      <c r="D881" s="1">
        <v>41639</v>
      </c>
      <c r="E881" s="2">
        <v>19561000000</v>
      </c>
      <c r="F881" s="2">
        <v>12952000000</v>
      </c>
      <c r="G881" s="2">
        <v>3706000000</v>
      </c>
      <c r="H881">
        <v>0</v>
      </c>
      <c r="I881">
        <v>0</v>
      </c>
      <c r="J881" t="s">
        <v>32</v>
      </c>
      <c r="K881" t="s">
        <v>138</v>
      </c>
      <c r="L881" s="37">
        <f t="shared" si="52"/>
        <v>0.33786616226164301</v>
      </c>
      <c r="M881" s="2">
        <f t="shared" si="53"/>
        <v>6609000000</v>
      </c>
      <c r="N881" s="37">
        <f t="shared" si="54"/>
        <v>0.14840754562650171</v>
      </c>
      <c r="O881" s="2">
        <f t="shared" si="55"/>
        <v>2903000000</v>
      </c>
    </row>
    <row r="882" spans="1:15" x14ac:dyDescent="0.3">
      <c r="A882" t="s">
        <v>335</v>
      </c>
      <c r="B882">
        <v>2</v>
      </c>
      <c r="C882">
        <v>2014</v>
      </c>
      <c r="D882" s="1">
        <v>42004</v>
      </c>
      <c r="E882" s="2">
        <v>19724000000</v>
      </c>
      <c r="F882" s="2">
        <v>13041000000</v>
      </c>
      <c r="G882" s="2">
        <v>4162000000</v>
      </c>
      <c r="H882">
        <v>0</v>
      </c>
      <c r="I882">
        <v>0</v>
      </c>
      <c r="J882" t="s">
        <v>32</v>
      </c>
      <c r="K882" t="s">
        <v>138</v>
      </c>
      <c r="L882" s="37">
        <f t="shared" si="52"/>
        <v>0.33882579598458729</v>
      </c>
      <c r="M882" s="2">
        <f t="shared" si="53"/>
        <v>6683000000</v>
      </c>
      <c r="N882" s="37">
        <f t="shared" si="54"/>
        <v>0.12781383086595011</v>
      </c>
      <c r="O882" s="2">
        <f t="shared" si="55"/>
        <v>2521000000</v>
      </c>
    </row>
    <row r="883" spans="1:15" x14ac:dyDescent="0.3">
      <c r="A883" t="s">
        <v>335</v>
      </c>
      <c r="B883">
        <v>3</v>
      </c>
      <c r="C883">
        <v>2015</v>
      </c>
      <c r="D883" s="1">
        <v>42369</v>
      </c>
      <c r="E883" s="2">
        <v>18591000000</v>
      </c>
      <c r="F883" s="2">
        <v>11967000000</v>
      </c>
      <c r="G883" s="2">
        <v>5011000000</v>
      </c>
      <c r="H883">
        <v>0</v>
      </c>
      <c r="I883">
        <v>0</v>
      </c>
      <c r="J883" t="s">
        <v>32</v>
      </c>
      <c r="K883" t="s">
        <v>138</v>
      </c>
      <c r="L883" s="37">
        <f t="shared" si="52"/>
        <v>0.35630143617879617</v>
      </c>
      <c r="M883" s="2">
        <f t="shared" si="53"/>
        <v>6624000000</v>
      </c>
      <c r="N883" s="37">
        <f t="shared" si="54"/>
        <v>8.676241191974611E-2</v>
      </c>
      <c r="O883" s="2">
        <f t="shared" si="55"/>
        <v>1613000000</v>
      </c>
    </row>
    <row r="884" spans="1:15" x14ac:dyDescent="0.3">
      <c r="A884" t="s">
        <v>335</v>
      </c>
      <c r="B884">
        <v>4</v>
      </c>
      <c r="C884">
        <v>2016</v>
      </c>
      <c r="D884" s="1">
        <v>42735</v>
      </c>
      <c r="E884" s="2">
        <v>18202000000</v>
      </c>
      <c r="F884" s="2">
        <v>11551000000</v>
      </c>
      <c r="G884" s="2">
        <v>3334000000</v>
      </c>
      <c r="H884">
        <v>0</v>
      </c>
      <c r="I884">
        <v>0</v>
      </c>
      <c r="J884" t="s">
        <v>32</v>
      </c>
      <c r="K884" t="s">
        <v>138</v>
      </c>
      <c r="L884" s="37">
        <f t="shared" si="52"/>
        <v>0.36539940665860893</v>
      </c>
      <c r="M884" s="2">
        <f t="shared" si="53"/>
        <v>6651000000</v>
      </c>
      <c r="N884" s="37">
        <f t="shared" si="54"/>
        <v>0.18223272167893639</v>
      </c>
      <c r="O884" s="2">
        <f t="shared" si="55"/>
        <v>3317000000</v>
      </c>
    </row>
    <row r="885" spans="1:15" x14ac:dyDescent="0.3">
      <c r="A885" t="s">
        <v>336</v>
      </c>
      <c r="B885">
        <v>1</v>
      </c>
      <c r="C885">
        <v>2013</v>
      </c>
      <c r="D885" s="1">
        <v>41639</v>
      </c>
      <c r="E885" s="2">
        <v>14070000000</v>
      </c>
      <c r="F885" s="2">
        <v>7365000000</v>
      </c>
      <c r="G885" s="2">
        <v>1007000000</v>
      </c>
      <c r="H885">
        <v>0</v>
      </c>
      <c r="I885" s="2">
        <v>1806000000</v>
      </c>
      <c r="J885" t="s">
        <v>79</v>
      </c>
      <c r="K885" t="s">
        <v>337</v>
      </c>
      <c r="L885" s="37">
        <f t="shared" si="52"/>
        <v>0.47654584221748397</v>
      </c>
      <c r="M885" s="2">
        <f t="shared" si="53"/>
        <v>6705000000</v>
      </c>
      <c r="N885" s="37">
        <f t="shared" si="54"/>
        <v>0.27661691542288558</v>
      </c>
      <c r="O885" s="2">
        <f t="shared" si="55"/>
        <v>3892000000</v>
      </c>
    </row>
    <row r="886" spans="1:15" x14ac:dyDescent="0.3">
      <c r="A886" t="s">
        <v>336</v>
      </c>
      <c r="B886">
        <v>2</v>
      </c>
      <c r="C886">
        <v>2014</v>
      </c>
      <c r="D886" s="1">
        <v>42004</v>
      </c>
      <c r="E886" s="2">
        <v>16226000000</v>
      </c>
      <c r="F886" s="2">
        <v>8435000000</v>
      </c>
      <c r="G886" s="2">
        <v>1029000000</v>
      </c>
      <c r="H886">
        <v>0</v>
      </c>
      <c r="I886" s="2">
        <v>2040000000</v>
      </c>
      <c r="J886" t="s">
        <v>79</v>
      </c>
      <c r="K886" t="s">
        <v>337</v>
      </c>
      <c r="L886" s="37">
        <f t="shared" si="52"/>
        <v>0.4801553062985332</v>
      </c>
      <c r="M886" s="2">
        <f t="shared" si="53"/>
        <v>7791000000</v>
      </c>
      <c r="N886" s="37">
        <f t="shared" si="54"/>
        <v>0.29101442129914951</v>
      </c>
      <c r="O886" s="2">
        <f t="shared" si="55"/>
        <v>4722000000</v>
      </c>
    </row>
    <row r="887" spans="1:15" x14ac:dyDescent="0.3">
      <c r="A887" t="s">
        <v>336</v>
      </c>
      <c r="B887">
        <v>3</v>
      </c>
      <c r="C887">
        <v>2015</v>
      </c>
      <c r="D887" s="1">
        <v>42369</v>
      </c>
      <c r="E887" s="2">
        <v>14403000000</v>
      </c>
      <c r="F887" s="2">
        <v>6452000000</v>
      </c>
      <c r="G887" s="2">
        <v>1126000000</v>
      </c>
      <c r="H887">
        <v>0</v>
      </c>
      <c r="I887" s="2">
        <v>2309000000</v>
      </c>
      <c r="J887" t="s">
        <v>79</v>
      </c>
      <c r="K887" t="s">
        <v>337</v>
      </c>
      <c r="L887" s="37">
        <f t="shared" si="52"/>
        <v>0.55203776990904674</v>
      </c>
      <c r="M887" s="2">
        <f t="shared" si="53"/>
        <v>7951000000</v>
      </c>
      <c r="N887" s="37">
        <f t="shared" si="54"/>
        <v>0.31354578907172115</v>
      </c>
      <c r="O887" s="2">
        <f t="shared" si="55"/>
        <v>4516000000</v>
      </c>
    </row>
    <row r="888" spans="1:15" x14ac:dyDescent="0.3">
      <c r="A888" t="s">
        <v>336</v>
      </c>
      <c r="B888">
        <v>4</v>
      </c>
      <c r="C888">
        <v>2016</v>
      </c>
      <c r="D888" s="1">
        <v>42735</v>
      </c>
      <c r="E888" s="2">
        <v>13058000000</v>
      </c>
      <c r="F888" s="2">
        <v>5801000000</v>
      </c>
      <c r="G888" s="2">
        <v>1089000000</v>
      </c>
      <c r="H888">
        <v>0</v>
      </c>
      <c r="I888" s="2">
        <v>2209000000</v>
      </c>
      <c r="J888" t="s">
        <v>79</v>
      </c>
      <c r="K888" t="s">
        <v>337</v>
      </c>
      <c r="L888" s="37">
        <f t="shared" si="52"/>
        <v>0.5557512635931996</v>
      </c>
      <c r="M888" s="2">
        <f t="shared" si="53"/>
        <v>7257000000</v>
      </c>
      <c r="N888" s="37">
        <f t="shared" si="54"/>
        <v>0.30318578649104</v>
      </c>
      <c r="O888" s="2">
        <f t="shared" si="55"/>
        <v>3959000000</v>
      </c>
    </row>
    <row r="889" spans="1:15" x14ac:dyDescent="0.3">
      <c r="A889" t="s">
        <v>338</v>
      </c>
      <c r="B889">
        <v>1</v>
      </c>
      <c r="C889">
        <v>2013</v>
      </c>
      <c r="D889" s="1">
        <v>41333</v>
      </c>
      <c r="E889" s="2">
        <v>10962818000</v>
      </c>
      <c r="F889" s="2">
        <v>9498456000</v>
      </c>
      <c r="G889" s="2">
        <v>731767000</v>
      </c>
      <c r="H889">
        <v>0</v>
      </c>
      <c r="I889">
        <v>0</v>
      </c>
      <c r="J889" t="s">
        <v>15</v>
      </c>
      <c r="K889" t="s">
        <v>75</v>
      </c>
      <c r="L889" s="37">
        <f t="shared" si="52"/>
        <v>0.13357532707375053</v>
      </c>
      <c r="M889" s="2">
        <f t="shared" si="53"/>
        <v>1464362000</v>
      </c>
      <c r="N889" s="37">
        <f t="shared" si="54"/>
        <v>6.6825427549741315E-2</v>
      </c>
      <c r="O889" s="2">
        <f t="shared" si="55"/>
        <v>732595000</v>
      </c>
    </row>
    <row r="890" spans="1:15" x14ac:dyDescent="0.3">
      <c r="A890" t="s">
        <v>338</v>
      </c>
      <c r="B890">
        <v>2</v>
      </c>
      <c r="C890">
        <v>2014</v>
      </c>
      <c r="D890" s="1">
        <v>41698</v>
      </c>
      <c r="E890" s="2">
        <v>12574299000</v>
      </c>
      <c r="F890" s="2">
        <v>10925598000</v>
      </c>
      <c r="G890" s="2">
        <v>819048000</v>
      </c>
      <c r="H890">
        <v>0</v>
      </c>
      <c r="I890">
        <v>0</v>
      </c>
      <c r="J890" t="s">
        <v>15</v>
      </c>
      <c r="K890" t="s">
        <v>75</v>
      </c>
      <c r="L890" s="37">
        <f t="shared" si="52"/>
        <v>0.13111673263058243</v>
      </c>
      <c r="M890" s="2">
        <f t="shared" si="53"/>
        <v>1648701000</v>
      </c>
      <c r="N890" s="37">
        <f t="shared" si="54"/>
        <v>6.5980059802936128E-2</v>
      </c>
      <c r="O890" s="2">
        <f t="shared" si="55"/>
        <v>829653000</v>
      </c>
    </row>
    <row r="891" spans="1:15" x14ac:dyDescent="0.3">
      <c r="A891" t="s">
        <v>338</v>
      </c>
      <c r="B891">
        <v>3</v>
      </c>
      <c r="C891">
        <v>2015</v>
      </c>
      <c r="D891" s="1">
        <v>42063</v>
      </c>
      <c r="E891" s="2">
        <v>14268716000</v>
      </c>
      <c r="F891" s="2">
        <v>12381189000</v>
      </c>
      <c r="G891" s="2">
        <v>890431000</v>
      </c>
      <c r="H891">
        <v>0</v>
      </c>
      <c r="I891">
        <v>0</v>
      </c>
      <c r="J891" t="s">
        <v>15</v>
      </c>
      <c r="K891" t="s">
        <v>75</v>
      </c>
      <c r="L891" s="37">
        <f t="shared" si="52"/>
        <v>0.13228429243388118</v>
      </c>
      <c r="M891" s="2">
        <f t="shared" si="53"/>
        <v>1887527000</v>
      </c>
      <c r="N891" s="37">
        <f t="shared" si="54"/>
        <v>6.9879868658118918E-2</v>
      </c>
      <c r="O891" s="2">
        <f t="shared" si="55"/>
        <v>997096000</v>
      </c>
    </row>
    <row r="892" spans="1:15" x14ac:dyDescent="0.3">
      <c r="A892" t="s">
        <v>338</v>
      </c>
      <c r="B892">
        <v>4</v>
      </c>
      <c r="C892">
        <v>2016</v>
      </c>
      <c r="D892" s="1">
        <v>42429</v>
      </c>
      <c r="E892" s="2">
        <v>15149675000</v>
      </c>
      <c r="F892" s="2">
        <v>13130915000</v>
      </c>
      <c r="G892" s="2">
        <v>959899000</v>
      </c>
      <c r="H892">
        <v>0</v>
      </c>
      <c r="I892">
        <v>0</v>
      </c>
      <c r="J892" t="s">
        <v>15</v>
      </c>
      <c r="K892" t="s">
        <v>75</v>
      </c>
      <c r="L892" s="37">
        <f t="shared" si="52"/>
        <v>0.13325434374004719</v>
      </c>
      <c r="M892" s="2">
        <f t="shared" si="53"/>
        <v>2018760000</v>
      </c>
      <c r="N892" s="37">
        <f t="shared" si="54"/>
        <v>6.9893314543051255E-2</v>
      </c>
      <c r="O892" s="2">
        <f t="shared" si="55"/>
        <v>1058861000</v>
      </c>
    </row>
    <row r="893" spans="1:15" x14ac:dyDescent="0.3">
      <c r="A893" t="s">
        <v>339</v>
      </c>
      <c r="B893">
        <v>1</v>
      </c>
      <c r="C893">
        <v>2012</v>
      </c>
      <c r="D893" s="1">
        <v>41274</v>
      </c>
      <c r="E893" s="2">
        <v>48017000000</v>
      </c>
      <c r="F893" s="2">
        <v>19053000000</v>
      </c>
      <c r="G893" s="2">
        <v>18185000000</v>
      </c>
      <c r="H893">
        <v>0</v>
      </c>
      <c r="I893">
        <v>0</v>
      </c>
      <c r="J893" t="s">
        <v>32</v>
      </c>
      <c r="K893" t="s">
        <v>210</v>
      </c>
      <c r="L893" s="37">
        <f t="shared" si="52"/>
        <v>0.60320303225940819</v>
      </c>
      <c r="M893" s="2">
        <f t="shared" si="53"/>
        <v>28964000000</v>
      </c>
      <c r="N893" s="37">
        <f t="shared" si="54"/>
        <v>0.22448299560572296</v>
      </c>
      <c r="O893" s="2">
        <f t="shared" si="55"/>
        <v>10779000000</v>
      </c>
    </row>
    <row r="894" spans="1:15" x14ac:dyDescent="0.3">
      <c r="A894" t="s">
        <v>339</v>
      </c>
      <c r="B894">
        <v>2</v>
      </c>
      <c r="C894">
        <v>2013</v>
      </c>
      <c r="D894" s="1">
        <v>41639</v>
      </c>
      <c r="E894" s="2">
        <v>46854000000</v>
      </c>
      <c r="F894" s="2">
        <v>18421000000</v>
      </c>
      <c r="G894" s="2">
        <v>18205000000</v>
      </c>
      <c r="H894">
        <v>0</v>
      </c>
      <c r="I894">
        <v>0</v>
      </c>
      <c r="J894" t="s">
        <v>32</v>
      </c>
      <c r="K894" t="s">
        <v>210</v>
      </c>
      <c r="L894" s="37">
        <f t="shared" si="52"/>
        <v>0.60684253212105688</v>
      </c>
      <c r="M894" s="2">
        <f t="shared" si="53"/>
        <v>28433000000</v>
      </c>
      <c r="N894" s="37">
        <f t="shared" si="54"/>
        <v>0.21829512955137234</v>
      </c>
      <c r="O894" s="2">
        <f t="shared" si="55"/>
        <v>10228000000</v>
      </c>
    </row>
    <row r="895" spans="1:15" x14ac:dyDescent="0.3">
      <c r="A895" t="s">
        <v>339</v>
      </c>
      <c r="B895">
        <v>3</v>
      </c>
      <c r="C895">
        <v>2014</v>
      </c>
      <c r="D895" s="1">
        <v>42004</v>
      </c>
      <c r="E895" s="2">
        <v>45998000000</v>
      </c>
      <c r="F895" s="2">
        <v>17889000000</v>
      </c>
      <c r="G895" s="2">
        <v>18401000000</v>
      </c>
      <c r="H895">
        <v>0</v>
      </c>
      <c r="I895">
        <v>0</v>
      </c>
      <c r="J895" t="s">
        <v>32</v>
      </c>
      <c r="K895" t="s">
        <v>210</v>
      </c>
      <c r="L895" s="37">
        <f t="shared" si="52"/>
        <v>0.61109178659941743</v>
      </c>
      <c r="M895" s="2">
        <f t="shared" si="53"/>
        <v>28109000000</v>
      </c>
      <c r="N895" s="37">
        <f t="shared" si="54"/>
        <v>0.21105265446323754</v>
      </c>
      <c r="O895" s="2">
        <f t="shared" si="55"/>
        <v>9708000000</v>
      </c>
    </row>
    <row r="896" spans="1:15" x14ac:dyDescent="0.3">
      <c r="A896" t="s">
        <v>339</v>
      </c>
      <c r="B896">
        <v>4</v>
      </c>
      <c r="C896">
        <v>2015</v>
      </c>
      <c r="D896" s="1">
        <v>42369</v>
      </c>
      <c r="E896" s="2">
        <v>44294000000</v>
      </c>
      <c r="F896" s="2">
        <v>17482000000</v>
      </c>
      <c r="G896" s="2">
        <v>18084000000</v>
      </c>
      <c r="H896">
        <v>0</v>
      </c>
      <c r="I896">
        <v>0</v>
      </c>
      <c r="J896" t="s">
        <v>32</v>
      </c>
      <c r="K896" t="s">
        <v>210</v>
      </c>
      <c r="L896" s="37">
        <f t="shared" si="52"/>
        <v>0.60531900483135415</v>
      </c>
      <c r="M896" s="2">
        <f t="shared" si="53"/>
        <v>26812000000</v>
      </c>
      <c r="N896" s="37">
        <f t="shared" si="54"/>
        <v>0.19704700410890866</v>
      </c>
      <c r="O896" s="2">
        <f t="shared" si="55"/>
        <v>8728000000</v>
      </c>
    </row>
    <row r="897" spans="1:15" x14ac:dyDescent="0.3">
      <c r="A897" t="s">
        <v>340</v>
      </c>
      <c r="B897">
        <v>1</v>
      </c>
      <c r="C897">
        <v>2013</v>
      </c>
      <c r="D897" s="1">
        <v>41363</v>
      </c>
      <c r="E897" s="2">
        <v>2181732000</v>
      </c>
      <c r="F897" s="2">
        <v>875166000</v>
      </c>
      <c r="G897" s="2">
        <v>621536000</v>
      </c>
      <c r="H897">
        <v>0</v>
      </c>
      <c r="I897" s="2">
        <v>54291000</v>
      </c>
      <c r="J897" t="s">
        <v>15</v>
      </c>
      <c r="K897" t="s">
        <v>285</v>
      </c>
      <c r="L897" s="37">
        <f t="shared" si="52"/>
        <v>0.59886640522300638</v>
      </c>
      <c r="M897" s="2">
        <f t="shared" si="53"/>
        <v>1306566000</v>
      </c>
      <c r="N897" s="37">
        <f t="shared" si="54"/>
        <v>0.28910012778838096</v>
      </c>
      <c r="O897" s="2">
        <f t="shared" si="55"/>
        <v>630739000</v>
      </c>
    </row>
    <row r="898" spans="1:15" x14ac:dyDescent="0.3">
      <c r="A898" t="s">
        <v>340</v>
      </c>
      <c r="B898">
        <v>2</v>
      </c>
      <c r="C898">
        <v>2014</v>
      </c>
      <c r="D898" s="1">
        <v>41727</v>
      </c>
      <c r="E898" s="2">
        <v>3310800000</v>
      </c>
      <c r="F898" s="2">
        <v>1294700000</v>
      </c>
      <c r="G898" s="2">
        <v>926900000</v>
      </c>
      <c r="H898">
        <v>0</v>
      </c>
      <c r="I898" s="2">
        <v>79700000</v>
      </c>
      <c r="J898" t="s">
        <v>15</v>
      </c>
      <c r="K898" t="s">
        <v>285</v>
      </c>
      <c r="L898" s="37">
        <f t="shared" ref="L898:L961" si="56">1-(F898/E898)</f>
        <v>0.60894647819258185</v>
      </c>
      <c r="M898" s="2">
        <f t="shared" ref="M898:M961" si="57">E898-F898</f>
        <v>2016100000</v>
      </c>
      <c r="N898" s="37">
        <f t="shared" ref="N898:N961" si="58">O898/E898</f>
        <v>0.30491119971003988</v>
      </c>
      <c r="O898" s="2">
        <f t="shared" ref="O898:O961" si="59">M898-SUM(G898:I898)</f>
        <v>1009500000</v>
      </c>
    </row>
    <row r="899" spans="1:15" x14ac:dyDescent="0.3">
      <c r="A899" t="s">
        <v>340</v>
      </c>
      <c r="B899">
        <v>3</v>
      </c>
      <c r="C899">
        <v>2015</v>
      </c>
      <c r="D899" s="1">
        <v>42091</v>
      </c>
      <c r="E899" s="2">
        <v>4371500000</v>
      </c>
      <c r="F899" s="2">
        <v>1723800000</v>
      </c>
      <c r="G899" s="2">
        <v>1251500000</v>
      </c>
      <c r="H899">
        <v>0</v>
      </c>
      <c r="I899" s="2">
        <v>138400000</v>
      </c>
      <c r="J899" t="s">
        <v>15</v>
      </c>
      <c r="K899" t="s">
        <v>285</v>
      </c>
      <c r="L899" s="37">
        <f t="shared" si="56"/>
        <v>0.60567310991650469</v>
      </c>
      <c r="M899" s="2">
        <f t="shared" si="57"/>
        <v>2647700000</v>
      </c>
      <c r="N899" s="37">
        <f t="shared" si="58"/>
        <v>0.28772732471691637</v>
      </c>
      <c r="O899" s="2">
        <f t="shared" si="59"/>
        <v>1257800000</v>
      </c>
    </row>
    <row r="900" spans="1:15" x14ac:dyDescent="0.3">
      <c r="A900" t="s">
        <v>340</v>
      </c>
      <c r="B900">
        <v>4</v>
      </c>
      <c r="C900">
        <v>2016</v>
      </c>
      <c r="D900" s="1">
        <v>42462</v>
      </c>
      <c r="E900" s="2">
        <v>4712100000</v>
      </c>
      <c r="F900" s="2">
        <v>1914900000</v>
      </c>
      <c r="G900" s="2">
        <v>1428000000</v>
      </c>
      <c r="H900">
        <v>0</v>
      </c>
      <c r="I900" s="2">
        <v>183200000</v>
      </c>
      <c r="J900" t="s">
        <v>15</v>
      </c>
      <c r="K900" t="s">
        <v>285</v>
      </c>
      <c r="L900" s="37">
        <f t="shared" si="56"/>
        <v>0.59362067867829627</v>
      </c>
      <c r="M900" s="2">
        <f t="shared" si="57"/>
        <v>2797200000</v>
      </c>
      <c r="N900" s="37">
        <f t="shared" si="58"/>
        <v>0.25169245134865559</v>
      </c>
      <c r="O900" s="2">
        <f t="shared" si="59"/>
        <v>1186000000</v>
      </c>
    </row>
    <row r="901" spans="1:15" x14ac:dyDescent="0.3">
      <c r="A901" t="s">
        <v>341</v>
      </c>
      <c r="B901">
        <v>1</v>
      </c>
      <c r="C901">
        <v>2013</v>
      </c>
      <c r="D901" s="1">
        <v>41307</v>
      </c>
      <c r="E901" s="2">
        <v>96619000000</v>
      </c>
      <c r="F901" s="2">
        <v>76726000000</v>
      </c>
      <c r="G901" s="2">
        <v>15477000000</v>
      </c>
      <c r="H901">
        <v>0</v>
      </c>
      <c r="I901" s="2">
        <v>1652000000</v>
      </c>
      <c r="J901" t="s">
        <v>32</v>
      </c>
      <c r="K901" t="s">
        <v>342</v>
      </c>
      <c r="L901" s="37">
        <f t="shared" si="56"/>
        <v>0.20589118082364755</v>
      </c>
      <c r="M901" s="2">
        <f t="shared" si="57"/>
        <v>19893000000</v>
      </c>
      <c r="N901" s="37">
        <f t="shared" si="58"/>
        <v>2.8607209762055084E-2</v>
      </c>
      <c r="O901" s="2">
        <f t="shared" si="59"/>
        <v>2764000000</v>
      </c>
    </row>
    <row r="902" spans="1:15" x14ac:dyDescent="0.3">
      <c r="A902" t="s">
        <v>341</v>
      </c>
      <c r="B902">
        <v>2</v>
      </c>
      <c r="C902">
        <v>2014</v>
      </c>
      <c r="D902" s="1">
        <v>41671</v>
      </c>
      <c r="E902" s="2">
        <v>98375000000</v>
      </c>
      <c r="F902" s="2">
        <v>78138000000</v>
      </c>
      <c r="G902" s="2">
        <v>15809000000</v>
      </c>
      <c r="H902">
        <v>0</v>
      </c>
      <c r="I902" s="2">
        <v>1703000000</v>
      </c>
      <c r="J902" t="s">
        <v>32</v>
      </c>
      <c r="K902" t="s">
        <v>342</v>
      </c>
      <c r="L902" s="37">
        <f t="shared" si="56"/>
        <v>0.20571283354510805</v>
      </c>
      <c r="M902" s="2">
        <f t="shared" si="57"/>
        <v>20237000000</v>
      </c>
      <c r="N902" s="37">
        <f t="shared" si="58"/>
        <v>2.770012706480305E-2</v>
      </c>
      <c r="O902" s="2">
        <f t="shared" si="59"/>
        <v>2725000000</v>
      </c>
    </row>
    <row r="903" spans="1:15" x14ac:dyDescent="0.3">
      <c r="A903" t="s">
        <v>341</v>
      </c>
      <c r="B903">
        <v>3</v>
      </c>
      <c r="C903">
        <v>2015</v>
      </c>
      <c r="D903" s="1">
        <v>42035</v>
      </c>
      <c r="E903" s="2">
        <v>108465000000</v>
      </c>
      <c r="F903" s="2">
        <v>85512000000</v>
      </c>
      <c r="G903" s="2">
        <v>17868000000</v>
      </c>
      <c r="H903">
        <v>0</v>
      </c>
      <c r="I903" s="2">
        <v>1948000000</v>
      </c>
      <c r="J903" t="s">
        <v>32</v>
      </c>
      <c r="K903" t="s">
        <v>342</v>
      </c>
      <c r="L903" s="37">
        <f t="shared" si="56"/>
        <v>0.21161665053242984</v>
      </c>
      <c r="M903" s="2">
        <f t="shared" si="57"/>
        <v>22953000000</v>
      </c>
      <c r="N903" s="37">
        <f t="shared" si="58"/>
        <v>2.8921772000184393E-2</v>
      </c>
      <c r="O903" s="2">
        <f t="shared" si="59"/>
        <v>3137000000</v>
      </c>
    </row>
    <row r="904" spans="1:15" x14ac:dyDescent="0.3">
      <c r="A904" t="s">
        <v>341</v>
      </c>
      <c r="B904">
        <v>4</v>
      </c>
      <c r="C904">
        <v>2016</v>
      </c>
      <c r="D904" s="1">
        <v>42399</v>
      </c>
      <c r="E904" s="2">
        <v>109830000000</v>
      </c>
      <c r="F904" s="2">
        <v>85496000000</v>
      </c>
      <c r="G904" s="2">
        <v>18669000000</v>
      </c>
      <c r="H904">
        <v>0</v>
      </c>
      <c r="I904" s="2">
        <v>2089000000</v>
      </c>
      <c r="J904" t="s">
        <v>32</v>
      </c>
      <c r="K904" t="s">
        <v>342</v>
      </c>
      <c r="L904" s="37">
        <f t="shared" si="56"/>
        <v>0.22156059364472369</v>
      </c>
      <c r="M904" s="2">
        <f t="shared" si="57"/>
        <v>24334000000</v>
      </c>
      <c r="N904" s="37">
        <f t="shared" si="58"/>
        <v>3.2559409997268508E-2</v>
      </c>
      <c r="O904" s="2">
        <f t="shared" si="59"/>
        <v>3576000000</v>
      </c>
    </row>
    <row r="905" spans="1:15" x14ac:dyDescent="0.3">
      <c r="A905" t="s">
        <v>343</v>
      </c>
      <c r="B905">
        <v>1</v>
      </c>
      <c r="C905">
        <v>2013</v>
      </c>
      <c r="D905" s="1">
        <v>41307</v>
      </c>
      <c r="E905" s="2">
        <v>19279000000</v>
      </c>
      <c r="F905" s="2">
        <v>12289000000</v>
      </c>
      <c r="G905" s="2">
        <v>4267000000</v>
      </c>
      <c r="H905">
        <v>0</v>
      </c>
      <c r="I905" s="2">
        <v>833000000</v>
      </c>
      <c r="J905" t="s">
        <v>15</v>
      </c>
      <c r="K905" t="s">
        <v>193</v>
      </c>
      <c r="L905" s="37">
        <f t="shared" si="56"/>
        <v>0.36257067275273613</v>
      </c>
      <c r="M905" s="2">
        <f t="shared" si="57"/>
        <v>6990000000</v>
      </c>
      <c r="N905" s="37">
        <f t="shared" si="58"/>
        <v>9.8034130400954406E-2</v>
      </c>
      <c r="O905" s="2">
        <f t="shared" si="59"/>
        <v>1890000000</v>
      </c>
    </row>
    <row r="906" spans="1:15" x14ac:dyDescent="0.3">
      <c r="A906" t="s">
        <v>343</v>
      </c>
      <c r="B906">
        <v>2</v>
      </c>
      <c r="C906">
        <v>2014</v>
      </c>
      <c r="D906" s="1">
        <v>41671</v>
      </c>
      <c r="E906" s="2">
        <v>19031000000</v>
      </c>
      <c r="F906" s="2">
        <v>12087000000</v>
      </c>
      <c r="G906" s="2">
        <v>4313000000</v>
      </c>
      <c r="H906">
        <v>0</v>
      </c>
      <c r="I906" s="2">
        <v>889000000</v>
      </c>
      <c r="J906" t="s">
        <v>15</v>
      </c>
      <c r="K906" t="s">
        <v>193</v>
      </c>
      <c r="L906" s="37">
        <f t="shared" si="56"/>
        <v>0.36487835636592925</v>
      </c>
      <c r="M906" s="2">
        <f t="shared" si="57"/>
        <v>6944000000</v>
      </c>
      <c r="N906" s="37">
        <f t="shared" si="58"/>
        <v>9.1534864168987443E-2</v>
      </c>
      <c r="O906" s="2">
        <f t="shared" si="59"/>
        <v>1742000000</v>
      </c>
    </row>
    <row r="907" spans="1:15" x14ac:dyDescent="0.3">
      <c r="A907" t="s">
        <v>343</v>
      </c>
      <c r="B907">
        <v>3</v>
      </c>
      <c r="C907">
        <v>2015</v>
      </c>
      <c r="D907" s="1">
        <v>42035</v>
      </c>
      <c r="E907" s="2">
        <v>19023000000</v>
      </c>
      <c r="F907" s="2">
        <v>12098000000</v>
      </c>
      <c r="G907" s="2">
        <v>4350000000</v>
      </c>
      <c r="H907">
        <v>0</v>
      </c>
      <c r="I907" s="2">
        <v>886000000</v>
      </c>
      <c r="J907" t="s">
        <v>15</v>
      </c>
      <c r="K907" t="s">
        <v>193</v>
      </c>
      <c r="L907" s="37">
        <f t="shared" si="56"/>
        <v>0.36403301266887456</v>
      </c>
      <c r="M907" s="2">
        <f t="shared" si="57"/>
        <v>6925000000</v>
      </c>
      <c r="N907" s="37">
        <f t="shared" si="58"/>
        <v>8.8787257530357988E-2</v>
      </c>
      <c r="O907" s="2">
        <f t="shared" si="59"/>
        <v>1689000000</v>
      </c>
    </row>
    <row r="908" spans="1:15" x14ac:dyDescent="0.3">
      <c r="A908" t="s">
        <v>343</v>
      </c>
      <c r="B908">
        <v>4</v>
      </c>
      <c r="C908">
        <v>2016</v>
      </c>
      <c r="D908" s="1">
        <v>42399</v>
      </c>
      <c r="E908" s="2">
        <v>19204000000</v>
      </c>
      <c r="F908" s="2">
        <v>12265000000</v>
      </c>
      <c r="G908" s="2">
        <v>4452000000</v>
      </c>
      <c r="H908">
        <v>0</v>
      </c>
      <c r="I908" s="2">
        <v>934000000</v>
      </c>
      <c r="J908" t="s">
        <v>15</v>
      </c>
      <c r="K908" t="s">
        <v>193</v>
      </c>
      <c r="L908" s="37">
        <f t="shared" si="56"/>
        <v>0.36133097271401793</v>
      </c>
      <c r="M908" s="2">
        <f t="shared" si="57"/>
        <v>6939000000</v>
      </c>
      <c r="N908" s="37">
        <f t="shared" si="58"/>
        <v>8.0868569048114972E-2</v>
      </c>
      <c r="O908" s="2">
        <f t="shared" si="59"/>
        <v>1553000000</v>
      </c>
    </row>
    <row r="909" spans="1:15" x14ac:dyDescent="0.3">
      <c r="A909" t="s">
        <v>344</v>
      </c>
      <c r="B909">
        <v>1</v>
      </c>
      <c r="C909">
        <v>2013</v>
      </c>
      <c r="D909" s="1">
        <v>41639</v>
      </c>
      <c r="E909" s="2">
        <v>2369300000</v>
      </c>
      <c r="F909" s="2">
        <v>805300000</v>
      </c>
      <c r="G909" s="2">
        <v>602100000</v>
      </c>
      <c r="H909">
        <v>0</v>
      </c>
      <c r="I909" s="2">
        <v>223300000</v>
      </c>
      <c r="J909" t="s">
        <v>12</v>
      </c>
      <c r="K909" t="s">
        <v>174</v>
      </c>
      <c r="L909" s="37">
        <f t="shared" si="56"/>
        <v>0.66011058118431598</v>
      </c>
      <c r="M909" s="2">
        <f t="shared" si="57"/>
        <v>1564000000</v>
      </c>
      <c r="N909" s="37">
        <f t="shared" si="58"/>
        <v>0.31173764402988224</v>
      </c>
      <c r="O909" s="2">
        <f t="shared" si="59"/>
        <v>738600000</v>
      </c>
    </row>
    <row r="910" spans="1:15" x14ac:dyDescent="0.3">
      <c r="A910" t="s">
        <v>344</v>
      </c>
      <c r="B910">
        <v>2</v>
      </c>
      <c r="C910">
        <v>2014</v>
      </c>
      <c r="D910" s="1">
        <v>42004</v>
      </c>
      <c r="E910" s="2">
        <v>2577100000</v>
      </c>
      <c r="F910" s="2">
        <v>877900000</v>
      </c>
      <c r="G910" s="2">
        <v>632000000</v>
      </c>
      <c r="H910">
        <v>0</v>
      </c>
      <c r="I910" s="2">
        <v>258100000</v>
      </c>
      <c r="J910" t="s">
        <v>12</v>
      </c>
      <c r="K910" t="s">
        <v>174</v>
      </c>
      <c r="L910" s="37">
        <f t="shared" si="56"/>
        <v>0.65934577626013735</v>
      </c>
      <c r="M910" s="2">
        <f t="shared" si="57"/>
        <v>1699200000</v>
      </c>
      <c r="N910" s="37">
        <f t="shared" si="58"/>
        <v>0.31395754918319041</v>
      </c>
      <c r="O910" s="2">
        <f t="shared" si="59"/>
        <v>809100000</v>
      </c>
    </row>
    <row r="911" spans="1:15" x14ac:dyDescent="0.3">
      <c r="A911" t="s">
        <v>344</v>
      </c>
      <c r="B911">
        <v>3</v>
      </c>
      <c r="C911">
        <v>2015</v>
      </c>
      <c r="D911" s="1">
        <v>42369</v>
      </c>
      <c r="E911" s="2">
        <v>2418800000</v>
      </c>
      <c r="F911" s="2">
        <v>759200000</v>
      </c>
      <c r="G911" s="2">
        <v>571200000</v>
      </c>
      <c r="H911">
        <v>0</v>
      </c>
      <c r="I911" s="2">
        <v>284600000</v>
      </c>
      <c r="J911" t="s">
        <v>12</v>
      </c>
      <c r="K911" t="s">
        <v>174</v>
      </c>
      <c r="L911" s="37">
        <f t="shared" si="56"/>
        <v>0.68612535141392428</v>
      </c>
      <c r="M911" s="2">
        <f t="shared" si="57"/>
        <v>1659600000</v>
      </c>
      <c r="N911" s="37">
        <f t="shared" si="58"/>
        <v>0.3323135439060691</v>
      </c>
      <c r="O911" s="2">
        <f t="shared" si="59"/>
        <v>803800000</v>
      </c>
    </row>
    <row r="912" spans="1:15" x14ac:dyDescent="0.3">
      <c r="A912" t="s">
        <v>344</v>
      </c>
      <c r="B912">
        <v>4</v>
      </c>
      <c r="C912">
        <v>2016</v>
      </c>
      <c r="D912" s="1">
        <v>42735</v>
      </c>
      <c r="E912" s="2">
        <v>2334200000</v>
      </c>
      <c r="F912" s="2">
        <v>691100000</v>
      </c>
      <c r="G912" s="2">
        <v>519600000</v>
      </c>
      <c r="H912">
        <v>0</v>
      </c>
      <c r="I912" s="2">
        <v>305000000</v>
      </c>
      <c r="J912" t="s">
        <v>12</v>
      </c>
      <c r="K912" t="s">
        <v>174</v>
      </c>
      <c r="L912" s="37">
        <f t="shared" si="56"/>
        <v>0.70392425670465264</v>
      </c>
      <c r="M912" s="2">
        <f t="shared" si="57"/>
        <v>1643100000</v>
      </c>
      <c r="N912" s="37">
        <f t="shared" si="58"/>
        <v>0.35065547082512211</v>
      </c>
      <c r="O912" s="2">
        <f t="shared" si="59"/>
        <v>818500000</v>
      </c>
    </row>
    <row r="913" spans="1:15" x14ac:dyDescent="0.3">
      <c r="A913" t="s">
        <v>345</v>
      </c>
      <c r="B913">
        <v>1</v>
      </c>
      <c r="C913">
        <v>2013</v>
      </c>
      <c r="D913" s="1">
        <v>41307</v>
      </c>
      <c r="E913" s="2">
        <v>10459000000</v>
      </c>
      <c r="F913" s="2">
        <v>6073000000</v>
      </c>
      <c r="G913" s="2">
        <v>2720000000</v>
      </c>
      <c r="H913">
        <v>0</v>
      </c>
      <c r="I913">
        <v>0</v>
      </c>
      <c r="J913" t="s">
        <v>15</v>
      </c>
      <c r="K913" t="s">
        <v>253</v>
      </c>
      <c r="L913" s="37">
        <f t="shared" si="56"/>
        <v>0.41935175446983464</v>
      </c>
      <c r="M913" s="2">
        <f t="shared" si="57"/>
        <v>4386000000</v>
      </c>
      <c r="N913" s="37">
        <f t="shared" si="58"/>
        <v>0.15928865092265035</v>
      </c>
      <c r="O913" s="2">
        <f t="shared" si="59"/>
        <v>1666000000</v>
      </c>
    </row>
    <row r="914" spans="1:15" x14ac:dyDescent="0.3">
      <c r="A914" t="s">
        <v>345</v>
      </c>
      <c r="B914">
        <v>2</v>
      </c>
      <c r="C914">
        <v>2014</v>
      </c>
      <c r="D914" s="1">
        <v>41671</v>
      </c>
      <c r="E914" s="2">
        <v>10773000000</v>
      </c>
      <c r="F914" s="2">
        <v>6344000000</v>
      </c>
      <c r="G914" s="2">
        <v>2686000000</v>
      </c>
      <c r="H914">
        <v>0</v>
      </c>
      <c r="I914">
        <v>0</v>
      </c>
      <c r="J914" t="s">
        <v>15</v>
      </c>
      <c r="K914" t="s">
        <v>253</v>
      </c>
      <c r="L914" s="37">
        <f t="shared" si="56"/>
        <v>0.41112039357653396</v>
      </c>
      <c r="M914" s="2">
        <f t="shared" si="57"/>
        <v>4429000000</v>
      </c>
      <c r="N914" s="37">
        <f t="shared" si="58"/>
        <v>0.1617933723196881</v>
      </c>
      <c r="O914" s="2">
        <f t="shared" si="59"/>
        <v>1743000000</v>
      </c>
    </row>
    <row r="915" spans="1:15" x14ac:dyDescent="0.3">
      <c r="A915" t="s">
        <v>345</v>
      </c>
      <c r="B915">
        <v>3</v>
      </c>
      <c r="C915">
        <v>2015</v>
      </c>
      <c r="D915" s="1">
        <v>42035</v>
      </c>
      <c r="E915" s="2">
        <v>11454000000</v>
      </c>
      <c r="F915" s="2">
        <v>6646000000</v>
      </c>
      <c r="G915" s="2">
        <v>2855000000</v>
      </c>
      <c r="H915">
        <v>0</v>
      </c>
      <c r="I915">
        <v>0</v>
      </c>
      <c r="J915" t="s">
        <v>15</v>
      </c>
      <c r="K915" t="s">
        <v>253</v>
      </c>
      <c r="L915" s="37">
        <f t="shared" si="56"/>
        <v>0.4197660206041558</v>
      </c>
      <c r="M915" s="2">
        <f t="shared" si="57"/>
        <v>4808000000</v>
      </c>
      <c r="N915" s="37">
        <f t="shared" si="58"/>
        <v>0.17050811943425878</v>
      </c>
      <c r="O915" s="2">
        <f t="shared" si="59"/>
        <v>1953000000</v>
      </c>
    </row>
    <row r="916" spans="1:15" x14ac:dyDescent="0.3">
      <c r="A916" t="s">
        <v>345</v>
      </c>
      <c r="B916">
        <v>4</v>
      </c>
      <c r="C916">
        <v>2016</v>
      </c>
      <c r="D916" s="1">
        <v>42399</v>
      </c>
      <c r="E916" s="2">
        <v>12154000000</v>
      </c>
      <c r="F916" s="2">
        <v>6950000000</v>
      </c>
      <c r="G916" s="2">
        <v>3012000000</v>
      </c>
      <c r="H916">
        <v>0</v>
      </c>
      <c r="I916">
        <v>0</v>
      </c>
      <c r="J916" t="s">
        <v>15</v>
      </c>
      <c r="K916" t="s">
        <v>253</v>
      </c>
      <c r="L916" s="37">
        <f t="shared" si="56"/>
        <v>0.42817179529373051</v>
      </c>
      <c r="M916" s="2">
        <f t="shared" si="57"/>
        <v>5204000000</v>
      </c>
      <c r="N916" s="37">
        <f t="shared" si="58"/>
        <v>0.18035214744117162</v>
      </c>
      <c r="O916" s="2">
        <f t="shared" si="59"/>
        <v>2192000000</v>
      </c>
    </row>
    <row r="917" spans="1:15" x14ac:dyDescent="0.3">
      <c r="A917" t="s">
        <v>346</v>
      </c>
      <c r="B917">
        <v>1</v>
      </c>
      <c r="C917">
        <v>2012</v>
      </c>
      <c r="D917" s="1">
        <v>41274</v>
      </c>
      <c r="E917" s="2">
        <v>3414500000</v>
      </c>
      <c r="F917" s="2">
        <v>2718900000</v>
      </c>
      <c r="G917" s="2">
        <v>346100000</v>
      </c>
      <c r="H917">
        <v>0</v>
      </c>
      <c r="I917" s="2">
        <v>25100000</v>
      </c>
      <c r="J917" t="s">
        <v>12</v>
      </c>
      <c r="K917" t="s">
        <v>160</v>
      </c>
      <c r="L917" s="37">
        <f t="shared" si="56"/>
        <v>0.20371943183482211</v>
      </c>
      <c r="M917" s="2">
        <f t="shared" si="57"/>
        <v>695600000</v>
      </c>
      <c r="N917" s="37">
        <f t="shared" si="58"/>
        <v>9.5006589544589251E-2</v>
      </c>
      <c r="O917" s="2">
        <f t="shared" si="59"/>
        <v>324400000</v>
      </c>
    </row>
    <row r="918" spans="1:15" x14ac:dyDescent="0.3">
      <c r="A918" t="s">
        <v>346</v>
      </c>
      <c r="B918">
        <v>2</v>
      </c>
      <c r="C918">
        <v>2013</v>
      </c>
      <c r="D918" s="1">
        <v>41639</v>
      </c>
      <c r="E918" s="2">
        <v>3477200000</v>
      </c>
      <c r="F918" s="2">
        <v>2767300000</v>
      </c>
      <c r="G918" s="2">
        <v>346900000</v>
      </c>
      <c r="H918">
        <v>0</v>
      </c>
      <c r="I918" s="2">
        <v>25400000</v>
      </c>
      <c r="J918" t="s">
        <v>12</v>
      </c>
      <c r="K918" t="s">
        <v>160</v>
      </c>
      <c r="L918" s="37">
        <f t="shared" si="56"/>
        <v>0.20415851834809617</v>
      </c>
      <c r="M918" s="2">
        <f t="shared" si="57"/>
        <v>709900000</v>
      </c>
      <c r="N918" s="37">
        <f t="shared" si="58"/>
        <v>9.7089612331761194E-2</v>
      </c>
      <c r="O918" s="2">
        <f t="shared" si="59"/>
        <v>337600000</v>
      </c>
    </row>
    <row r="919" spans="1:15" x14ac:dyDescent="0.3">
      <c r="A919" t="s">
        <v>346</v>
      </c>
      <c r="B919">
        <v>3</v>
      </c>
      <c r="C919">
        <v>2014</v>
      </c>
      <c r="D919" s="1">
        <v>42004</v>
      </c>
      <c r="E919" s="2">
        <v>3782300000</v>
      </c>
      <c r="F919" s="2">
        <v>2991900000</v>
      </c>
      <c r="G919" s="2">
        <v>439200000</v>
      </c>
      <c r="H919">
        <v>0</v>
      </c>
      <c r="I919" s="2">
        <v>19700000</v>
      </c>
      <c r="J919" t="s">
        <v>12</v>
      </c>
      <c r="K919" t="s">
        <v>160</v>
      </c>
      <c r="L919" s="37">
        <f t="shared" si="56"/>
        <v>0.20897337598815535</v>
      </c>
      <c r="M919" s="2">
        <f t="shared" si="57"/>
        <v>790400000</v>
      </c>
      <c r="N919" s="37">
        <f t="shared" si="58"/>
        <v>8.7645083679242786E-2</v>
      </c>
      <c r="O919" s="2">
        <f t="shared" si="59"/>
        <v>331500000</v>
      </c>
    </row>
    <row r="920" spans="1:15" x14ac:dyDescent="0.3">
      <c r="A920" t="s">
        <v>346</v>
      </c>
      <c r="B920">
        <v>4</v>
      </c>
      <c r="C920">
        <v>2015</v>
      </c>
      <c r="D920" s="1">
        <v>42369</v>
      </c>
      <c r="E920" s="2">
        <v>3917200000</v>
      </c>
      <c r="F920" s="2">
        <v>2994000000</v>
      </c>
      <c r="G920" s="2">
        <v>411800000</v>
      </c>
      <c r="H920">
        <v>0</v>
      </c>
      <c r="I920" s="2">
        <v>20800000</v>
      </c>
      <c r="J920" t="s">
        <v>12</v>
      </c>
      <c r="K920" t="s">
        <v>160</v>
      </c>
      <c r="L920" s="37">
        <f t="shared" si="56"/>
        <v>0.23567854590013271</v>
      </c>
      <c r="M920" s="2">
        <f t="shared" si="57"/>
        <v>923200000</v>
      </c>
      <c r="N920" s="37">
        <f t="shared" si="58"/>
        <v>0.12524252016746656</v>
      </c>
      <c r="O920" s="2">
        <f t="shared" si="59"/>
        <v>490600000</v>
      </c>
    </row>
    <row r="921" spans="1:15" x14ac:dyDescent="0.3">
      <c r="A921" t="s">
        <v>347</v>
      </c>
      <c r="B921">
        <v>1</v>
      </c>
      <c r="C921">
        <v>2013</v>
      </c>
      <c r="D921" s="1">
        <v>41608</v>
      </c>
      <c r="E921" s="2">
        <v>5935095000</v>
      </c>
      <c r="F921" s="2">
        <v>4920664000</v>
      </c>
      <c r="G921" s="2">
        <v>328595000</v>
      </c>
      <c r="H921">
        <v>0</v>
      </c>
      <c r="I921">
        <v>0</v>
      </c>
      <c r="J921" t="s">
        <v>15</v>
      </c>
      <c r="K921" t="s">
        <v>197</v>
      </c>
      <c r="L921" s="37">
        <f t="shared" si="56"/>
        <v>0.17092076874927864</v>
      </c>
      <c r="M921" s="2">
        <f t="shared" si="57"/>
        <v>1014431000</v>
      </c>
      <c r="N921" s="37">
        <f t="shared" si="58"/>
        <v>0.11555602732559463</v>
      </c>
      <c r="O921" s="2">
        <f t="shared" si="59"/>
        <v>685836000</v>
      </c>
    </row>
    <row r="922" spans="1:15" x14ac:dyDescent="0.3">
      <c r="A922" t="s">
        <v>347</v>
      </c>
      <c r="B922">
        <v>2</v>
      </c>
      <c r="C922">
        <v>2014</v>
      </c>
      <c r="D922" s="1">
        <v>41973</v>
      </c>
      <c r="E922" s="2">
        <v>7779812000</v>
      </c>
      <c r="F922" s="2">
        <v>6336272000</v>
      </c>
      <c r="G922" s="2">
        <v>521502000</v>
      </c>
      <c r="H922">
        <v>0</v>
      </c>
      <c r="I922">
        <v>0</v>
      </c>
      <c r="J922" t="s">
        <v>15</v>
      </c>
      <c r="K922" t="s">
        <v>197</v>
      </c>
      <c r="L922" s="37">
        <f t="shared" si="56"/>
        <v>0.18554947086124962</v>
      </c>
      <c r="M922" s="2">
        <f t="shared" si="57"/>
        <v>1443540000</v>
      </c>
      <c r="N922" s="37">
        <f t="shared" si="58"/>
        <v>0.11851674564886658</v>
      </c>
      <c r="O922" s="2">
        <f t="shared" si="59"/>
        <v>922038000</v>
      </c>
    </row>
    <row r="923" spans="1:15" x14ac:dyDescent="0.3">
      <c r="A923" t="s">
        <v>347</v>
      </c>
      <c r="B923">
        <v>3</v>
      </c>
      <c r="C923">
        <v>2015</v>
      </c>
      <c r="D923" s="1">
        <v>42338</v>
      </c>
      <c r="E923" s="2">
        <v>9474008000</v>
      </c>
      <c r="F923" s="2">
        <v>7757571000</v>
      </c>
      <c r="G923" s="2">
        <v>630421000</v>
      </c>
      <c r="H923">
        <v>0</v>
      </c>
      <c r="I923">
        <v>0</v>
      </c>
      <c r="J923" t="s">
        <v>15</v>
      </c>
      <c r="K923" t="s">
        <v>197</v>
      </c>
      <c r="L923" s="37">
        <f t="shared" si="56"/>
        <v>0.18117326901138353</v>
      </c>
      <c r="M923" s="2">
        <f t="shared" si="57"/>
        <v>1716437000</v>
      </c>
      <c r="N923" s="37">
        <f t="shared" si="58"/>
        <v>0.1146311043858101</v>
      </c>
      <c r="O923" s="2">
        <f t="shared" si="59"/>
        <v>1086016000</v>
      </c>
    </row>
    <row r="924" spans="1:15" x14ac:dyDescent="0.3">
      <c r="A924" t="s">
        <v>347</v>
      </c>
      <c r="B924">
        <v>4</v>
      </c>
      <c r="C924">
        <v>2016</v>
      </c>
      <c r="D924" s="1">
        <v>42704</v>
      </c>
      <c r="E924" s="2">
        <v>10949999000</v>
      </c>
      <c r="F924" s="2">
        <v>8923519000</v>
      </c>
      <c r="G924" s="2">
        <v>764117000</v>
      </c>
      <c r="H924">
        <v>0</v>
      </c>
      <c r="I924">
        <v>0</v>
      </c>
      <c r="J924" t="s">
        <v>15</v>
      </c>
      <c r="K924" t="s">
        <v>197</v>
      </c>
      <c r="L924" s="37">
        <f t="shared" si="56"/>
        <v>0.1850666835677337</v>
      </c>
      <c r="M924" s="2">
        <f t="shared" si="57"/>
        <v>2026480000</v>
      </c>
      <c r="N924" s="37">
        <f t="shared" si="58"/>
        <v>0.11528430276568975</v>
      </c>
      <c r="O924" s="2">
        <f t="shared" si="59"/>
        <v>1262363000</v>
      </c>
    </row>
    <row r="925" spans="1:15" x14ac:dyDescent="0.3">
      <c r="A925" t="s">
        <v>111</v>
      </c>
      <c r="B925">
        <v>1</v>
      </c>
      <c r="C925">
        <v>2013</v>
      </c>
      <c r="D925" s="1">
        <v>41639</v>
      </c>
      <c r="E925" s="2">
        <v>6932200000</v>
      </c>
      <c r="F925" s="2">
        <v>857700000</v>
      </c>
      <c r="G925" s="2">
        <v>1797000000</v>
      </c>
      <c r="H925" s="2">
        <v>1444100000</v>
      </c>
      <c r="I925" s="2">
        <v>342900000</v>
      </c>
      <c r="J925" t="s">
        <v>21</v>
      </c>
      <c r="K925" t="s">
        <v>62</v>
      </c>
      <c r="L925" s="37">
        <f t="shared" si="56"/>
        <v>0.87627304463229572</v>
      </c>
      <c r="M925" s="2">
        <f t="shared" si="57"/>
        <v>6074500000</v>
      </c>
      <c r="N925" s="37">
        <f t="shared" si="58"/>
        <v>0.35926545685352412</v>
      </c>
      <c r="O925" s="2">
        <f t="shared" si="59"/>
        <v>2490500000</v>
      </c>
    </row>
    <row r="926" spans="1:15" x14ac:dyDescent="0.3">
      <c r="A926" t="s">
        <v>111</v>
      </c>
      <c r="B926">
        <v>2</v>
      </c>
      <c r="C926">
        <v>2014</v>
      </c>
      <c r="D926" s="1">
        <v>42004</v>
      </c>
      <c r="E926" s="2">
        <v>9703300000</v>
      </c>
      <c r="F926" s="2">
        <v>1171000000</v>
      </c>
      <c r="G926" s="2">
        <v>2193400000</v>
      </c>
      <c r="H926" s="2">
        <v>1893400000</v>
      </c>
      <c r="I926" s="2">
        <v>489800000</v>
      </c>
      <c r="J926" t="s">
        <v>21</v>
      </c>
      <c r="K926" t="s">
        <v>62</v>
      </c>
      <c r="L926" s="37">
        <f t="shared" si="56"/>
        <v>0.87931940679974852</v>
      </c>
      <c r="M926" s="2">
        <f t="shared" si="57"/>
        <v>8532300000</v>
      </c>
      <c r="N926" s="37">
        <f t="shared" si="58"/>
        <v>0.40766543340925254</v>
      </c>
      <c r="O926" s="2">
        <f t="shared" si="59"/>
        <v>3955700000</v>
      </c>
    </row>
    <row r="927" spans="1:15" x14ac:dyDescent="0.3">
      <c r="A927" t="s">
        <v>111</v>
      </c>
      <c r="B927">
        <v>3</v>
      </c>
      <c r="C927">
        <v>2015</v>
      </c>
      <c r="D927" s="1">
        <v>42369</v>
      </c>
      <c r="E927" s="2">
        <v>10763800000</v>
      </c>
      <c r="F927" s="2">
        <v>1240400000</v>
      </c>
      <c r="G927" s="2">
        <v>2143600000</v>
      </c>
      <c r="H927" s="2">
        <v>2012800000</v>
      </c>
      <c r="I927" s="2">
        <v>382600000</v>
      </c>
      <c r="J927" t="s">
        <v>21</v>
      </c>
      <c r="K927" t="s">
        <v>62</v>
      </c>
      <c r="L927" s="37">
        <f t="shared" si="56"/>
        <v>0.88476188706590608</v>
      </c>
      <c r="M927" s="2">
        <f t="shared" si="57"/>
        <v>9523400000</v>
      </c>
      <c r="N927" s="37">
        <f t="shared" si="58"/>
        <v>0.46307066277708614</v>
      </c>
      <c r="O927" s="2">
        <f t="shared" si="59"/>
        <v>4984400000</v>
      </c>
    </row>
    <row r="928" spans="1:15" x14ac:dyDescent="0.3">
      <c r="A928" t="s">
        <v>111</v>
      </c>
      <c r="B928">
        <v>4</v>
      </c>
      <c r="C928">
        <v>2016</v>
      </c>
      <c r="D928" s="1">
        <v>42735</v>
      </c>
      <c r="E928" s="2">
        <v>11448800000</v>
      </c>
      <c r="F928" s="2">
        <v>1478700000</v>
      </c>
      <c r="G928" s="2">
        <v>1972900000</v>
      </c>
      <c r="H928" s="2">
        <v>1973300000</v>
      </c>
      <c r="I928" s="2">
        <v>385600000</v>
      </c>
      <c r="J928" t="s">
        <v>21</v>
      </c>
      <c r="K928" t="s">
        <v>62</v>
      </c>
      <c r="L928" s="37">
        <f t="shared" si="56"/>
        <v>0.87084235902452656</v>
      </c>
      <c r="M928" s="2">
        <f t="shared" si="57"/>
        <v>9970100000</v>
      </c>
      <c r="N928" s="37">
        <f t="shared" si="58"/>
        <v>0.49247956117671721</v>
      </c>
      <c r="O928" s="2">
        <f t="shared" si="59"/>
        <v>5638300000</v>
      </c>
    </row>
    <row r="929" spans="1:15" x14ac:dyDescent="0.3">
      <c r="A929" t="s">
        <v>349</v>
      </c>
      <c r="B929">
        <v>1</v>
      </c>
      <c r="C929">
        <v>2012</v>
      </c>
      <c r="D929" s="1">
        <v>41274</v>
      </c>
      <c r="E929" s="2">
        <v>4122930000</v>
      </c>
      <c r="F929" s="2">
        <v>2398790000</v>
      </c>
      <c r="G929" s="2">
        <v>1219343000</v>
      </c>
      <c r="H929">
        <v>0</v>
      </c>
      <c r="I929" s="2">
        <v>64093000</v>
      </c>
      <c r="J929" t="s">
        <v>15</v>
      </c>
      <c r="K929" t="s">
        <v>350</v>
      </c>
      <c r="L929" s="37">
        <f t="shared" si="56"/>
        <v>0.41818318525902698</v>
      </c>
      <c r="M929" s="2">
        <f t="shared" si="57"/>
        <v>1724140000</v>
      </c>
      <c r="N929" s="37">
        <f t="shared" si="58"/>
        <v>0.10689097316714084</v>
      </c>
      <c r="O929" s="2">
        <f t="shared" si="59"/>
        <v>440704000</v>
      </c>
    </row>
    <row r="930" spans="1:15" x14ac:dyDescent="0.3">
      <c r="A930" t="s">
        <v>349</v>
      </c>
      <c r="B930">
        <v>2</v>
      </c>
      <c r="C930">
        <v>2013</v>
      </c>
      <c r="D930" s="1">
        <v>41639</v>
      </c>
      <c r="E930" s="2">
        <v>5062528000</v>
      </c>
      <c r="F930" s="2">
        <v>2987126000</v>
      </c>
      <c r="G930" s="2">
        <v>1454080000</v>
      </c>
      <c r="H930">
        <v>0</v>
      </c>
      <c r="I930" s="2">
        <v>80969000</v>
      </c>
      <c r="J930" t="s">
        <v>15</v>
      </c>
      <c r="K930" t="s">
        <v>350</v>
      </c>
      <c r="L930" s="37">
        <f t="shared" si="56"/>
        <v>0.40995368321913483</v>
      </c>
      <c r="M930" s="2">
        <f t="shared" si="57"/>
        <v>2075402000</v>
      </c>
      <c r="N930" s="37">
        <f t="shared" si="58"/>
        <v>0.10673580472048748</v>
      </c>
      <c r="O930" s="2">
        <f t="shared" si="59"/>
        <v>540353000</v>
      </c>
    </row>
    <row r="931" spans="1:15" x14ac:dyDescent="0.3">
      <c r="A931" t="s">
        <v>349</v>
      </c>
      <c r="B931">
        <v>3</v>
      </c>
      <c r="C931">
        <v>2014</v>
      </c>
      <c r="D931" s="1">
        <v>42004</v>
      </c>
      <c r="E931" s="2">
        <v>6740064000</v>
      </c>
      <c r="F931" s="2">
        <v>4088151000</v>
      </c>
      <c r="G931" s="2">
        <v>1866520000</v>
      </c>
      <c r="H931">
        <v>0</v>
      </c>
      <c r="I931" s="2">
        <v>120719000</v>
      </c>
      <c r="J931" t="s">
        <v>15</v>
      </c>
      <c r="K931" t="s">
        <v>350</v>
      </c>
      <c r="L931" s="37">
        <f t="shared" si="56"/>
        <v>0.39345516600435837</v>
      </c>
      <c r="M931" s="2">
        <f t="shared" si="57"/>
        <v>2651913000</v>
      </c>
      <c r="N931" s="37">
        <f t="shared" si="58"/>
        <v>9.8615384067569686E-2</v>
      </c>
      <c r="O931" s="2">
        <f t="shared" si="59"/>
        <v>664674000</v>
      </c>
    </row>
    <row r="932" spans="1:15" x14ac:dyDescent="0.3">
      <c r="A932" t="s">
        <v>349</v>
      </c>
      <c r="B932">
        <v>4</v>
      </c>
      <c r="C932">
        <v>2015</v>
      </c>
      <c r="D932" s="1">
        <v>42369</v>
      </c>
      <c r="E932" s="2">
        <v>7192633000</v>
      </c>
      <c r="F932" s="2">
        <v>4359104000</v>
      </c>
      <c r="G932" s="2">
        <v>1987271000</v>
      </c>
      <c r="H932">
        <v>0</v>
      </c>
      <c r="I932" s="2">
        <v>122120000</v>
      </c>
      <c r="J932" t="s">
        <v>15</v>
      </c>
      <c r="K932" t="s">
        <v>350</v>
      </c>
      <c r="L932" s="37">
        <f t="shared" si="56"/>
        <v>0.39394878064819938</v>
      </c>
      <c r="M932" s="2">
        <f t="shared" si="57"/>
        <v>2833529000</v>
      </c>
      <c r="N932" s="37">
        <f t="shared" si="58"/>
        <v>0.10067773512147776</v>
      </c>
      <c r="O932" s="2">
        <f t="shared" si="59"/>
        <v>724138000</v>
      </c>
    </row>
    <row r="933" spans="1:15" x14ac:dyDescent="0.3">
      <c r="A933" t="s">
        <v>351</v>
      </c>
      <c r="B933">
        <v>1</v>
      </c>
      <c r="C933">
        <v>2012</v>
      </c>
      <c r="D933" s="1">
        <v>41274</v>
      </c>
      <c r="E933" s="2">
        <v>13107000000</v>
      </c>
      <c r="F933" s="2">
        <v>11799000000</v>
      </c>
      <c r="G933">
        <v>0</v>
      </c>
      <c r="H933">
        <v>0</v>
      </c>
      <c r="I933">
        <v>0</v>
      </c>
      <c r="J933" t="s">
        <v>12</v>
      </c>
      <c r="K933" t="s">
        <v>160</v>
      </c>
      <c r="L933" s="37">
        <f t="shared" si="56"/>
        <v>9.9794003204394577E-2</v>
      </c>
      <c r="M933" s="2">
        <f t="shared" si="57"/>
        <v>1308000000</v>
      </c>
      <c r="N933" s="37">
        <f t="shared" si="58"/>
        <v>9.9794003204394605E-2</v>
      </c>
      <c r="O933" s="2">
        <f t="shared" si="59"/>
        <v>1308000000</v>
      </c>
    </row>
    <row r="934" spans="1:15" x14ac:dyDescent="0.3">
      <c r="A934" t="s">
        <v>351</v>
      </c>
      <c r="B934">
        <v>2</v>
      </c>
      <c r="C934">
        <v>2013</v>
      </c>
      <c r="D934" s="1">
        <v>41639</v>
      </c>
      <c r="E934" s="2">
        <v>11420000000</v>
      </c>
      <c r="F934" s="2">
        <v>10303000000</v>
      </c>
      <c r="G934">
        <v>0</v>
      </c>
      <c r="H934">
        <v>0</v>
      </c>
      <c r="I934">
        <v>0</v>
      </c>
      <c r="J934" t="s">
        <v>12</v>
      </c>
      <c r="K934" t="s">
        <v>160</v>
      </c>
      <c r="L934" s="37">
        <f t="shared" si="56"/>
        <v>9.7810858143607682E-2</v>
      </c>
      <c r="M934" s="2">
        <f t="shared" si="57"/>
        <v>1117000000</v>
      </c>
      <c r="N934" s="37">
        <f t="shared" si="58"/>
        <v>9.781085814360771E-2</v>
      </c>
      <c r="O934" s="2">
        <f t="shared" si="59"/>
        <v>1117000000</v>
      </c>
    </row>
    <row r="935" spans="1:15" x14ac:dyDescent="0.3">
      <c r="A935" t="s">
        <v>351</v>
      </c>
      <c r="B935">
        <v>3</v>
      </c>
      <c r="C935">
        <v>2014</v>
      </c>
      <c r="D935" s="1">
        <v>42004</v>
      </c>
      <c r="E935" s="2">
        <v>10986000000</v>
      </c>
      <c r="F935" s="2">
        <v>9974000000</v>
      </c>
      <c r="G935">
        <v>0</v>
      </c>
      <c r="H935">
        <v>0</v>
      </c>
      <c r="I935">
        <v>0</v>
      </c>
      <c r="J935" t="s">
        <v>12</v>
      </c>
      <c r="K935" t="s">
        <v>160</v>
      </c>
      <c r="L935" s="37">
        <f t="shared" si="56"/>
        <v>9.2117240123793964E-2</v>
      </c>
      <c r="M935" s="2">
        <f t="shared" si="57"/>
        <v>1012000000</v>
      </c>
      <c r="N935" s="37">
        <f t="shared" si="58"/>
        <v>9.2117240123793923E-2</v>
      </c>
      <c r="O935" s="2">
        <f t="shared" si="59"/>
        <v>1012000000</v>
      </c>
    </row>
    <row r="936" spans="1:15" x14ac:dyDescent="0.3">
      <c r="A936" t="s">
        <v>351</v>
      </c>
      <c r="B936">
        <v>4</v>
      </c>
      <c r="C936">
        <v>2015</v>
      </c>
      <c r="D936" s="1">
        <v>42369</v>
      </c>
      <c r="E936" s="2">
        <v>10466000000</v>
      </c>
      <c r="F936" s="2">
        <v>9576000000</v>
      </c>
      <c r="G936">
        <v>0</v>
      </c>
      <c r="H936">
        <v>0</v>
      </c>
      <c r="I936">
        <v>0</v>
      </c>
      <c r="J936" t="s">
        <v>12</v>
      </c>
      <c r="K936" t="s">
        <v>160</v>
      </c>
      <c r="L936" s="37">
        <f t="shared" si="56"/>
        <v>8.503726351996943E-2</v>
      </c>
      <c r="M936" s="2">
        <f t="shared" si="57"/>
        <v>890000000</v>
      </c>
      <c r="N936" s="37">
        <f t="shared" si="58"/>
        <v>8.503726351996943E-2</v>
      </c>
      <c r="O936" s="2">
        <f t="shared" si="59"/>
        <v>890000000</v>
      </c>
    </row>
    <row r="937" spans="1:15" x14ac:dyDescent="0.3">
      <c r="A937" t="s">
        <v>352</v>
      </c>
      <c r="B937">
        <v>1</v>
      </c>
      <c r="C937">
        <v>2013</v>
      </c>
      <c r="D937" s="1">
        <v>41455</v>
      </c>
      <c r="E937" s="2">
        <v>1282236000</v>
      </c>
      <c r="F937" s="2">
        <v>322516000</v>
      </c>
      <c r="G937" s="2">
        <v>151382000</v>
      </c>
      <c r="H937" s="2">
        <v>235184000</v>
      </c>
      <c r="I937">
        <v>0</v>
      </c>
      <c r="J937" t="s">
        <v>18</v>
      </c>
      <c r="K937" t="s">
        <v>30</v>
      </c>
      <c r="L937" s="37">
        <f t="shared" si="56"/>
        <v>0.74847375990067344</v>
      </c>
      <c r="M937" s="2">
        <f t="shared" si="57"/>
        <v>959720000</v>
      </c>
      <c r="N937" s="37">
        <f t="shared" si="58"/>
        <v>0.4469957168571152</v>
      </c>
      <c r="O937" s="2">
        <f t="shared" si="59"/>
        <v>573154000</v>
      </c>
    </row>
    <row r="938" spans="1:15" x14ac:dyDescent="0.3">
      <c r="A938" t="s">
        <v>352</v>
      </c>
      <c r="B938">
        <v>2</v>
      </c>
      <c r="C938">
        <v>2014</v>
      </c>
      <c r="D938" s="1">
        <v>41819</v>
      </c>
      <c r="E938" s="2">
        <v>1388386000</v>
      </c>
      <c r="F938" s="2">
        <v>338580000</v>
      </c>
      <c r="G938" s="2">
        <v>159642000</v>
      </c>
      <c r="H938" s="2">
        <v>250434000</v>
      </c>
      <c r="I938">
        <v>0</v>
      </c>
      <c r="J938" t="s">
        <v>18</v>
      </c>
      <c r="K938" t="s">
        <v>30</v>
      </c>
      <c r="L938" s="37">
        <f t="shared" si="56"/>
        <v>0.75613410103530287</v>
      </c>
      <c r="M938" s="2">
        <f t="shared" si="57"/>
        <v>1049806000</v>
      </c>
      <c r="N938" s="37">
        <f t="shared" si="58"/>
        <v>0.46077243648380206</v>
      </c>
      <c r="O938" s="2">
        <f t="shared" si="59"/>
        <v>639730000</v>
      </c>
    </row>
    <row r="939" spans="1:15" x14ac:dyDescent="0.3">
      <c r="A939" t="s">
        <v>352</v>
      </c>
      <c r="B939">
        <v>3</v>
      </c>
      <c r="C939">
        <v>2015</v>
      </c>
      <c r="D939" s="1">
        <v>42183</v>
      </c>
      <c r="E939" s="2">
        <v>1475139000</v>
      </c>
      <c r="F939" s="2">
        <v>355727000</v>
      </c>
      <c r="G939" s="2">
        <v>169952000</v>
      </c>
      <c r="H939" s="2">
        <v>266761000</v>
      </c>
      <c r="I939">
        <v>0</v>
      </c>
      <c r="J939" t="s">
        <v>18</v>
      </c>
      <c r="K939" t="s">
        <v>30</v>
      </c>
      <c r="L939" s="37">
        <f t="shared" si="56"/>
        <v>0.75885187768745865</v>
      </c>
      <c r="M939" s="2">
        <f t="shared" si="57"/>
        <v>1119412000</v>
      </c>
      <c r="N939" s="37">
        <f t="shared" si="58"/>
        <v>0.46280316634567997</v>
      </c>
      <c r="O939" s="2">
        <f t="shared" si="59"/>
        <v>682699000</v>
      </c>
    </row>
    <row r="940" spans="1:15" x14ac:dyDescent="0.3">
      <c r="A940" t="s">
        <v>352</v>
      </c>
      <c r="B940">
        <v>4</v>
      </c>
      <c r="C940">
        <v>2016</v>
      </c>
      <c r="D940" s="1">
        <v>42554</v>
      </c>
      <c r="E940" s="2">
        <v>1423936000</v>
      </c>
      <c r="F940" s="2">
        <v>343801000</v>
      </c>
      <c r="G940" s="2">
        <v>170120000</v>
      </c>
      <c r="H940" s="2">
        <v>276462000</v>
      </c>
      <c r="I940">
        <v>0</v>
      </c>
      <c r="J940" t="s">
        <v>18</v>
      </c>
      <c r="K940" t="s">
        <v>30</v>
      </c>
      <c r="L940" s="37">
        <f t="shared" si="56"/>
        <v>0.75855586206121628</v>
      </c>
      <c r="M940" s="2">
        <f t="shared" si="57"/>
        <v>1080135000</v>
      </c>
      <c r="N940" s="37">
        <f t="shared" si="58"/>
        <v>0.44493081149714592</v>
      </c>
      <c r="O940" s="2">
        <f t="shared" si="59"/>
        <v>633553000</v>
      </c>
    </row>
    <row r="941" spans="1:15" x14ac:dyDescent="0.3">
      <c r="A941" t="s">
        <v>114</v>
      </c>
      <c r="B941">
        <v>1</v>
      </c>
      <c r="C941">
        <v>2012</v>
      </c>
      <c r="D941" s="1">
        <v>41274</v>
      </c>
      <c r="E941" s="2">
        <v>17621000000</v>
      </c>
      <c r="F941" s="2">
        <v>4610000000</v>
      </c>
      <c r="G941" s="2">
        <v>5017000000</v>
      </c>
      <c r="H941" s="2">
        <v>3904000000</v>
      </c>
      <c r="I941">
        <v>0</v>
      </c>
      <c r="J941" t="s">
        <v>21</v>
      </c>
      <c r="K941" t="s">
        <v>24</v>
      </c>
      <c r="L941" s="37">
        <f t="shared" si="56"/>
        <v>0.73838034163781852</v>
      </c>
      <c r="M941" s="2">
        <f t="shared" si="57"/>
        <v>13011000000</v>
      </c>
      <c r="N941" s="37">
        <f t="shared" si="58"/>
        <v>0.23210941490267295</v>
      </c>
      <c r="O941" s="2">
        <f t="shared" si="59"/>
        <v>4090000000</v>
      </c>
    </row>
    <row r="942" spans="1:15" x14ac:dyDescent="0.3">
      <c r="A942" t="s">
        <v>114</v>
      </c>
      <c r="B942">
        <v>2</v>
      </c>
      <c r="C942">
        <v>2013</v>
      </c>
      <c r="D942" s="1">
        <v>41639</v>
      </c>
      <c r="E942" s="2">
        <v>16385000000</v>
      </c>
      <c r="F942" s="2">
        <v>4619000000</v>
      </c>
      <c r="G942" s="2">
        <v>4939000000</v>
      </c>
      <c r="H942" s="2">
        <v>3731000000</v>
      </c>
      <c r="I942">
        <v>0</v>
      </c>
      <c r="J942" t="s">
        <v>21</v>
      </c>
      <c r="K942" t="s">
        <v>24</v>
      </c>
      <c r="L942" s="37">
        <f t="shared" si="56"/>
        <v>0.71809581934696376</v>
      </c>
      <c r="M942" s="2">
        <f t="shared" si="57"/>
        <v>11766000000</v>
      </c>
      <c r="N942" s="37">
        <f t="shared" si="58"/>
        <v>0.1889533109551419</v>
      </c>
      <c r="O942" s="2">
        <f t="shared" si="59"/>
        <v>3096000000</v>
      </c>
    </row>
    <row r="943" spans="1:15" x14ac:dyDescent="0.3">
      <c r="A943" t="s">
        <v>114</v>
      </c>
      <c r="B943">
        <v>3</v>
      </c>
      <c r="C943">
        <v>2014</v>
      </c>
      <c r="D943" s="1">
        <v>42004</v>
      </c>
      <c r="E943" s="2">
        <v>15879000000</v>
      </c>
      <c r="F943" s="2">
        <v>3932000000</v>
      </c>
      <c r="G943" s="2">
        <v>4822000000</v>
      </c>
      <c r="H943" s="2">
        <v>4534000000</v>
      </c>
      <c r="I943">
        <v>0</v>
      </c>
      <c r="J943" t="s">
        <v>21</v>
      </c>
      <c r="K943" t="s">
        <v>24</v>
      </c>
      <c r="L943" s="37">
        <f t="shared" si="56"/>
        <v>0.75237735373764092</v>
      </c>
      <c r="M943" s="2">
        <f t="shared" si="57"/>
        <v>11947000000</v>
      </c>
      <c r="N943" s="37">
        <f t="shared" si="58"/>
        <v>0.16317148435039991</v>
      </c>
      <c r="O943" s="2">
        <f t="shared" si="59"/>
        <v>2591000000</v>
      </c>
    </row>
    <row r="944" spans="1:15" x14ac:dyDescent="0.3">
      <c r="A944" t="s">
        <v>114</v>
      </c>
      <c r="B944">
        <v>4</v>
      </c>
      <c r="C944">
        <v>2015</v>
      </c>
      <c r="D944" s="1">
        <v>42369</v>
      </c>
      <c r="E944" s="2">
        <v>16560000000</v>
      </c>
      <c r="F944" s="2">
        <v>3909000000</v>
      </c>
      <c r="G944" s="2">
        <v>4841000000</v>
      </c>
      <c r="H944" s="2">
        <v>5920000000</v>
      </c>
      <c r="I944">
        <v>0</v>
      </c>
      <c r="J944" t="s">
        <v>21</v>
      </c>
      <c r="K944" t="s">
        <v>24</v>
      </c>
      <c r="L944" s="37">
        <f t="shared" si="56"/>
        <v>0.76394927536231882</v>
      </c>
      <c r="M944" s="2">
        <f t="shared" si="57"/>
        <v>12651000000</v>
      </c>
      <c r="N944" s="37">
        <f t="shared" si="58"/>
        <v>0.11413043478260869</v>
      </c>
      <c r="O944" s="2">
        <f t="shared" si="59"/>
        <v>1890000000</v>
      </c>
    </row>
    <row r="945" spans="1:15" x14ac:dyDescent="0.3">
      <c r="A945" t="s">
        <v>354</v>
      </c>
      <c r="B945">
        <v>1</v>
      </c>
      <c r="C945">
        <v>2013</v>
      </c>
      <c r="D945" s="1">
        <v>41639</v>
      </c>
      <c r="E945" s="2">
        <v>45358000000</v>
      </c>
      <c r="F945" s="2">
        <v>41171000000</v>
      </c>
      <c r="G945" s="2">
        <v>-318000000</v>
      </c>
      <c r="H945">
        <v>0</v>
      </c>
      <c r="I945">
        <v>0</v>
      </c>
      <c r="J945" t="s">
        <v>12</v>
      </c>
      <c r="K945" t="s">
        <v>87</v>
      </c>
      <c r="L945" s="37">
        <f t="shared" si="56"/>
        <v>9.2310066581418937E-2</v>
      </c>
      <c r="M945" s="2">
        <f t="shared" si="57"/>
        <v>4187000000</v>
      </c>
      <c r="N945" s="37">
        <f t="shared" si="58"/>
        <v>9.9320957714184935E-2</v>
      </c>
      <c r="O945" s="2">
        <f t="shared" si="59"/>
        <v>4505000000</v>
      </c>
    </row>
    <row r="946" spans="1:15" x14ac:dyDescent="0.3">
      <c r="A946" t="s">
        <v>354</v>
      </c>
      <c r="B946">
        <v>2</v>
      </c>
      <c r="C946">
        <v>2014</v>
      </c>
      <c r="D946" s="1">
        <v>42004</v>
      </c>
      <c r="E946" s="2">
        <v>39946000000</v>
      </c>
      <c r="F946" s="2">
        <v>35263000000</v>
      </c>
      <c r="G946" s="2">
        <v>-329000000</v>
      </c>
      <c r="H946">
        <v>0</v>
      </c>
      <c r="I946">
        <v>0</v>
      </c>
      <c r="J946" t="s">
        <v>12</v>
      </c>
      <c r="K946" t="s">
        <v>87</v>
      </c>
      <c r="L946" s="37">
        <f t="shared" si="56"/>
        <v>0.11723326490762531</v>
      </c>
      <c r="M946" s="2">
        <f t="shared" si="57"/>
        <v>4683000000</v>
      </c>
      <c r="N946" s="37">
        <f t="shared" si="58"/>
        <v>0.12546938366795174</v>
      </c>
      <c r="O946" s="2">
        <f t="shared" si="59"/>
        <v>5012000000</v>
      </c>
    </row>
    <row r="947" spans="1:15" x14ac:dyDescent="0.3">
      <c r="A947" t="s">
        <v>354</v>
      </c>
      <c r="B947">
        <v>3</v>
      </c>
      <c r="C947">
        <v>2015</v>
      </c>
      <c r="D947" s="1">
        <v>42369</v>
      </c>
      <c r="E947" s="2">
        <v>40536000000</v>
      </c>
      <c r="F947" s="2">
        <v>36044000000</v>
      </c>
      <c r="G947" s="2">
        <v>-220000000</v>
      </c>
      <c r="H947">
        <v>0</v>
      </c>
      <c r="I947">
        <v>0</v>
      </c>
      <c r="J947" t="s">
        <v>12</v>
      </c>
      <c r="K947" t="s">
        <v>87</v>
      </c>
      <c r="L947" s="37">
        <f t="shared" si="56"/>
        <v>0.11081507795539769</v>
      </c>
      <c r="M947" s="2">
        <f t="shared" si="57"/>
        <v>4492000000</v>
      </c>
      <c r="N947" s="37">
        <f t="shared" si="58"/>
        <v>0.11624235247681074</v>
      </c>
      <c r="O947" s="2">
        <f t="shared" si="59"/>
        <v>4712000000</v>
      </c>
    </row>
    <row r="948" spans="1:15" x14ac:dyDescent="0.3">
      <c r="A948" t="s">
        <v>354</v>
      </c>
      <c r="B948">
        <v>4</v>
      </c>
      <c r="C948">
        <v>2016</v>
      </c>
      <c r="D948" s="1">
        <v>42735</v>
      </c>
      <c r="E948" s="2">
        <v>47248000000</v>
      </c>
      <c r="F948" s="2">
        <v>42186000000</v>
      </c>
      <c r="G948" s="2">
        <v>-487000000</v>
      </c>
      <c r="H948">
        <v>0</v>
      </c>
      <c r="I948">
        <v>0</v>
      </c>
      <c r="J948" t="s">
        <v>12</v>
      </c>
      <c r="K948" t="s">
        <v>87</v>
      </c>
      <c r="L948" s="37">
        <f t="shared" si="56"/>
        <v>0.10713681002370468</v>
      </c>
      <c r="M948" s="2">
        <f t="shared" si="57"/>
        <v>5062000000</v>
      </c>
      <c r="N948" s="37">
        <f t="shared" si="58"/>
        <v>0.11744412461903149</v>
      </c>
      <c r="O948" s="2">
        <f t="shared" si="59"/>
        <v>5549000000</v>
      </c>
    </row>
    <row r="949" spans="1:15" x14ac:dyDescent="0.3">
      <c r="A949" t="s">
        <v>355</v>
      </c>
      <c r="B949">
        <v>1</v>
      </c>
      <c r="C949">
        <v>2012</v>
      </c>
      <c r="D949" s="1">
        <v>41274</v>
      </c>
      <c r="E949" s="2">
        <v>3094500000</v>
      </c>
      <c r="F949" s="2">
        <v>2144200000</v>
      </c>
      <c r="G949" s="2">
        <v>98200000</v>
      </c>
      <c r="H949">
        <v>0</v>
      </c>
      <c r="I949" s="2">
        <v>332400000</v>
      </c>
      <c r="J949" t="s">
        <v>38</v>
      </c>
      <c r="K949" t="s">
        <v>41</v>
      </c>
      <c r="L949" s="37">
        <f t="shared" si="56"/>
        <v>0.30709322992405885</v>
      </c>
      <c r="M949" s="2">
        <f t="shared" si="57"/>
        <v>950300000</v>
      </c>
      <c r="N949" s="37">
        <f t="shared" si="58"/>
        <v>0.16794312489901439</v>
      </c>
      <c r="O949" s="2">
        <f t="shared" si="59"/>
        <v>519700000</v>
      </c>
    </row>
    <row r="950" spans="1:15" x14ac:dyDescent="0.3">
      <c r="A950" t="s">
        <v>355</v>
      </c>
      <c r="B950">
        <v>2</v>
      </c>
      <c r="C950">
        <v>2013</v>
      </c>
      <c r="D950" s="1">
        <v>41639</v>
      </c>
      <c r="E950" s="2">
        <v>3276800000</v>
      </c>
      <c r="F950" s="2">
        <v>2272400000</v>
      </c>
      <c r="G950" s="2">
        <v>99600000</v>
      </c>
      <c r="H950">
        <v>0</v>
      </c>
      <c r="I950" s="2">
        <v>370900000</v>
      </c>
      <c r="J950" t="s">
        <v>38</v>
      </c>
      <c r="K950" t="s">
        <v>41</v>
      </c>
      <c r="L950" s="37">
        <f t="shared" si="56"/>
        <v>0.3065185546875</v>
      </c>
      <c r="M950" s="2">
        <f t="shared" si="57"/>
        <v>1004400000</v>
      </c>
      <c r="N950" s="37">
        <f t="shared" si="58"/>
        <v>0.162933349609375</v>
      </c>
      <c r="O950" s="2">
        <f t="shared" si="59"/>
        <v>533900000</v>
      </c>
    </row>
    <row r="951" spans="1:15" x14ac:dyDescent="0.3">
      <c r="A951" t="s">
        <v>355</v>
      </c>
      <c r="B951">
        <v>3</v>
      </c>
      <c r="C951">
        <v>2014</v>
      </c>
      <c r="D951" s="1">
        <v>42004</v>
      </c>
      <c r="E951" s="2">
        <v>3350300000</v>
      </c>
      <c r="F951" s="2">
        <v>2317500000</v>
      </c>
      <c r="G951" s="2">
        <v>101100000</v>
      </c>
      <c r="H951">
        <v>0</v>
      </c>
      <c r="I951" s="2">
        <v>388100000</v>
      </c>
      <c r="J951" t="s">
        <v>38</v>
      </c>
      <c r="K951" t="s">
        <v>41</v>
      </c>
      <c r="L951" s="37">
        <f t="shared" si="56"/>
        <v>0.30827090111333311</v>
      </c>
      <c r="M951" s="2">
        <f t="shared" si="57"/>
        <v>1032800000</v>
      </c>
      <c r="N951" s="37">
        <f t="shared" si="58"/>
        <v>0.16225412649613469</v>
      </c>
      <c r="O951" s="2">
        <f t="shared" si="59"/>
        <v>543600000</v>
      </c>
    </row>
    <row r="952" spans="1:15" x14ac:dyDescent="0.3">
      <c r="A952" t="s">
        <v>355</v>
      </c>
      <c r="B952">
        <v>4</v>
      </c>
      <c r="C952">
        <v>2015</v>
      </c>
      <c r="D952" s="1">
        <v>42369</v>
      </c>
      <c r="E952" s="2">
        <v>3253600000</v>
      </c>
      <c r="F952" s="2">
        <v>2171600000</v>
      </c>
      <c r="G952" s="2">
        <v>103700000</v>
      </c>
      <c r="H952">
        <v>0</v>
      </c>
      <c r="I952" s="2">
        <v>401300000</v>
      </c>
      <c r="J952" t="s">
        <v>38</v>
      </c>
      <c r="K952" t="s">
        <v>41</v>
      </c>
      <c r="L952" s="37">
        <f t="shared" si="56"/>
        <v>0.33255470863044012</v>
      </c>
      <c r="M952" s="2">
        <f t="shared" si="57"/>
        <v>1082000000</v>
      </c>
      <c r="N952" s="37">
        <f t="shared" si="58"/>
        <v>0.17734202114580772</v>
      </c>
      <c r="O952" s="2">
        <f t="shared" si="59"/>
        <v>577000000</v>
      </c>
    </row>
    <row r="953" spans="1:15" x14ac:dyDescent="0.3">
      <c r="A953" t="s">
        <v>356</v>
      </c>
      <c r="B953">
        <v>1</v>
      </c>
      <c r="C953">
        <v>2013</v>
      </c>
      <c r="D953" s="1">
        <v>41306</v>
      </c>
      <c r="E953" s="2">
        <v>50521000000</v>
      </c>
      <c r="F953" s="2">
        <v>33194000000</v>
      </c>
      <c r="G953" s="2">
        <v>12244000000</v>
      </c>
      <c r="H953">
        <v>0</v>
      </c>
      <c r="I953" s="2">
        <v>1523000000</v>
      </c>
      <c r="J953" t="s">
        <v>15</v>
      </c>
      <c r="K953" t="s">
        <v>290</v>
      </c>
      <c r="L953" s="37">
        <f t="shared" si="56"/>
        <v>0.34296629124522471</v>
      </c>
      <c r="M953" s="2">
        <f t="shared" si="57"/>
        <v>17327000000</v>
      </c>
      <c r="N953" s="37">
        <f t="shared" si="58"/>
        <v>7.0465746917123567E-2</v>
      </c>
      <c r="O953" s="2">
        <f t="shared" si="59"/>
        <v>3560000000</v>
      </c>
    </row>
    <row r="954" spans="1:15" x14ac:dyDescent="0.3">
      <c r="A954" t="s">
        <v>356</v>
      </c>
      <c r="B954">
        <v>2</v>
      </c>
      <c r="C954">
        <v>2014</v>
      </c>
      <c r="D954" s="1">
        <v>41670</v>
      </c>
      <c r="E954" s="2">
        <v>53417000000</v>
      </c>
      <c r="F954" s="2">
        <v>34941000000</v>
      </c>
      <c r="G954" s="2">
        <v>12865000000</v>
      </c>
      <c r="H954">
        <v>0</v>
      </c>
      <c r="I954" s="2">
        <v>1462000000</v>
      </c>
      <c r="J954" t="s">
        <v>15</v>
      </c>
      <c r="K954" t="s">
        <v>290</v>
      </c>
      <c r="L954" s="37">
        <f t="shared" si="56"/>
        <v>0.34588239698972234</v>
      </c>
      <c r="M954" s="2">
        <f t="shared" si="57"/>
        <v>18476000000</v>
      </c>
      <c r="N954" s="37">
        <f t="shared" si="58"/>
        <v>7.7671902203418394E-2</v>
      </c>
      <c r="O954" s="2">
        <f t="shared" si="59"/>
        <v>4149000000</v>
      </c>
    </row>
    <row r="955" spans="1:15" x14ac:dyDescent="0.3">
      <c r="A955" t="s">
        <v>356</v>
      </c>
      <c r="B955">
        <v>3</v>
      </c>
      <c r="C955">
        <v>2015</v>
      </c>
      <c r="D955" s="1">
        <v>42034</v>
      </c>
      <c r="E955" s="2">
        <v>56223000000</v>
      </c>
      <c r="F955" s="2">
        <v>36665000000</v>
      </c>
      <c r="G955" s="2">
        <v>13281000000</v>
      </c>
      <c r="H955">
        <v>0</v>
      </c>
      <c r="I955" s="2">
        <v>1485000000</v>
      </c>
      <c r="J955" t="s">
        <v>15</v>
      </c>
      <c r="K955" t="s">
        <v>290</v>
      </c>
      <c r="L955" s="37">
        <f t="shared" si="56"/>
        <v>0.34786475285915019</v>
      </c>
      <c r="M955" s="2">
        <f t="shared" si="57"/>
        <v>19558000000</v>
      </c>
      <c r="N955" s="37">
        <f t="shared" si="58"/>
        <v>8.5232022481902425E-2</v>
      </c>
      <c r="O955" s="2">
        <f t="shared" si="59"/>
        <v>4792000000</v>
      </c>
    </row>
    <row r="956" spans="1:15" x14ac:dyDescent="0.3">
      <c r="A956" t="s">
        <v>356</v>
      </c>
      <c r="B956">
        <v>4</v>
      </c>
      <c r="C956">
        <v>2016</v>
      </c>
      <c r="D956" s="1">
        <v>42398</v>
      </c>
      <c r="E956" s="2">
        <v>59074000000</v>
      </c>
      <c r="F956" s="2">
        <v>38504000000</v>
      </c>
      <c r="G956" s="2">
        <v>14115000000</v>
      </c>
      <c r="H956">
        <v>0</v>
      </c>
      <c r="I956" s="2">
        <v>1484000000</v>
      </c>
      <c r="J956" t="s">
        <v>15</v>
      </c>
      <c r="K956" t="s">
        <v>290</v>
      </c>
      <c r="L956" s="37">
        <f t="shared" si="56"/>
        <v>0.34820733317533936</v>
      </c>
      <c r="M956" s="2">
        <f t="shared" si="57"/>
        <v>20570000000</v>
      </c>
      <c r="N956" s="37">
        <f t="shared" si="58"/>
        <v>8.4148694857297632E-2</v>
      </c>
      <c r="O956" s="2">
        <f t="shared" si="59"/>
        <v>4971000000</v>
      </c>
    </row>
    <row r="957" spans="1:15" x14ac:dyDescent="0.3">
      <c r="A957" t="s">
        <v>357</v>
      </c>
      <c r="B957">
        <v>1</v>
      </c>
      <c r="C957">
        <v>2013</v>
      </c>
      <c r="D957" s="1">
        <v>41455</v>
      </c>
      <c r="E957" s="2">
        <v>3598916000</v>
      </c>
      <c r="F957" s="2">
        <v>2195857000</v>
      </c>
      <c r="G957" s="2">
        <v>601300000</v>
      </c>
      <c r="H957" s="2">
        <v>683688000</v>
      </c>
      <c r="I957">
        <v>0</v>
      </c>
      <c r="J957" t="s">
        <v>18</v>
      </c>
      <c r="K957" t="s">
        <v>64</v>
      </c>
      <c r="L957" s="37">
        <f t="shared" si="56"/>
        <v>0.38985600108477103</v>
      </c>
      <c r="M957" s="2">
        <f t="shared" si="57"/>
        <v>1403059000</v>
      </c>
      <c r="N957" s="37">
        <f t="shared" si="58"/>
        <v>3.2807378666242837E-2</v>
      </c>
      <c r="O957" s="2">
        <f t="shared" si="59"/>
        <v>118071000</v>
      </c>
    </row>
    <row r="958" spans="1:15" x14ac:dyDescent="0.3">
      <c r="A958" t="s">
        <v>357</v>
      </c>
      <c r="B958">
        <v>2</v>
      </c>
      <c r="C958">
        <v>2014</v>
      </c>
      <c r="D958" s="1">
        <v>41819</v>
      </c>
      <c r="E958" s="2">
        <v>4607309000</v>
      </c>
      <c r="F958" s="2">
        <v>2599828000</v>
      </c>
      <c r="G958" s="2">
        <v>613341000</v>
      </c>
      <c r="H958" s="2">
        <v>716471000</v>
      </c>
      <c r="I958">
        <v>0</v>
      </c>
      <c r="J958" t="s">
        <v>18</v>
      </c>
      <c r="K958" t="s">
        <v>64</v>
      </c>
      <c r="L958" s="37">
        <f t="shared" si="56"/>
        <v>0.43571659725883372</v>
      </c>
      <c r="M958" s="2">
        <f t="shared" si="57"/>
        <v>2007481000</v>
      </c>
      <c r="N958" s="37">
        <f t="shared" si="58"/>
        <v>0.1470856415317488</v>
      </c>
      <c r="O958" s="2">
        <f t="shared" si="59"/>
        <v>677669000</v>
      </c>
    </row>
    <row r="959" spans="1:15" x14ac:dyDescent="0.3">
      <c r="A959" t="s">
        <v>357</v>
      </c>
      <c r="B959">
        <v>3</v>
      </c>
      <c r="C959">
        <v>2015</v>
      </c>
      <c r="D959" s="1">
        <v>42183</v>
      </c>
      <c r="E959" s="2">
        <v>5259312000</v>
      </c>
      <c r="F959" s="2">
        <v>2974976000</v>
      </c>
      <c r="G959" s="2">
        <v>591611000</v>
      </c>
      <c r="H959" s="2">
        <v>825242000</v>
      </c>
      <c r="I959">
        <v>0</v>
      </c>
      <c r="J959" t="s">
        <v>18</v>
      </c>
      <c r="K959" t="s">
        <v>64</v>
      </c>
      <c r="L959" s="37">
        <f t="shared" si="56"/>
        <v>0.43434122181760659</v>
      </c>
      <c r="M959" s="2">
        <f t="shared" si="57"/>
        <v>2284336000</v>
      </c>
      <c r="N959" s="37">
        <f t="shared" si="58"/>
        <v>0.16494229663499713</v>
      </c>
      <c r="O959" s="2">
        <f t="shared" si="59"/>
        <v>867483000</v>
      </c>
    </row>
    <row r="960" spans="1:15" x14ac:dyDescent="0.3">
      <c r="A960" t="s">
        <v>357</v>
      </c>
      <c r="B960">
        <v>4</v>
      </c>
      <c r="C960">
        <v>2016</v>
      </c>
      <c r="D960" s="1">
        <v>42547</v>
      </c>
      <c r="E960" s="2">
        <v>5885893000</v>
      </c>
      <c r="F960" s="2">
        <v>3266971000</v>
      </c>
      <c r="G960" s="2">
        <v>630954000</v>
      </c>
      <c r="H960" s="2">
        <v>913712000</v>
      </c>
      <c r="I960">
        <v>0</v>
      </c>
      <c r="J960" t="s">
        <v>18</v>
      </c>
      <c r="K960" t="s">
        <v>64</v>
      </c>
      <c r="L960" s="37">
        <f t="shared" si="56"/>
        <v>0.44494896526321492</v>
      </c>
      <c r="M960" s="2">
        <f t="shared" si="57"/>
        <v>2618922000</v>
      </c>
      <c r="N960" s="37">
        <f t="shared" si="58"/>
        <v>0.18251368144137176</v>
      </c>
      <c r="O960" s="2">
        <f t="shared" si="59"/>
        <v>1074256000</v>
      </c>
    </row>
    <row r="961" spans="1:15" x14ac:dyDescent="0.3">
      <c r="A961" t="s">
        <v>115</v>
      </c>
      <c r="B961">
        <v>1</v>
      </c>
      <c r="C961">
        <v>2012</v>
      </c>
      <c r="D961" s="1">
        <v>41274</v>
      </c>
      <c r="E961" s="2">
        <v>7249000000</v>
      </c>
      <c r="F961" s="2">
        <v>2349000000</v>
      </c>
      <c r="G961" s="2">
        <v>2529000000</v>
      </c>
      <c r="H961" s="2">
        <v>886000000</v>
      </c>
      <c r="I961" s="2">
        <v>395000000</v>
      </c>
      <c r="J961" t="s">
        <v>21</v>
      </c>
      <c r="K961" t="s">
        <v>26</v>
      </c>
      <c r="L961" s="37">
        <f t="shared" si="56"/>
        <v>0.67595530417988692</v>
      </c>
      <c r="M961" s="2">
        <f t="shared" si="57"/>
        <v>4900000000</v>
      </c>
      <c r="N961" s="37">
        <f t="shared" si="58"/>
        <v>0.15036556766450546</v>
      </c>
      <c r="O961" s="2">
        <f t="shared" si="59"/>
        <v>1090000000</v>
      </c>
    </row>
    <row r="962" spans="1:15" x14ac:dyDescent="0.3">
      <c r="A962" t="s">
        <v>115</v>
      </c>
      <c r="B962">
        <v>2</v>
      </c>
      <c r="C962">
        <v>2013</v>
      </c>
      <c r="D962" s="1">
        <v>41639</v>
      </c>
      <c r="E962" s="2">
        <v>7143000000</v>
      </c>
      <c r="F962" s="2">
        <v>2174000000</v>
      </c>
      <c r="G962" s="2">
        <v>2678000000</v>
      </c>
      <c r="H962" s="2">
        <v>861000000</v>
      </c>
      <c r="I962" s="2">
        <v>410000000</v>
      </c>
      <c r="J962" t="s">
        <v>21</v>
      </c>
      <c r="K962" t="s">
        <v>26</v>
      </c>
      <c r="L962" s="37">
        <f t="shared" ref="L962:L1025" si="60">1-(F962/E962)</f>
        <v>0.69564608707825837</v>
      </c>
      <c r="M962" s="2">
        <f t="shared" ref="M962:M1025" si="61">E962-F962</f>
        <v>4969000000</v>
      </c>
      <c r="N962" s="37">
        <f t="shared" ref="N962:N1025" si="62">O962/E962</f>
        <v>0.14279714405711885</v>
      </c>
      <c r="O962" s="2">
        <f t="shared" ref="O962:O1025" si="63">M962-SUM(G962:I962)</f>
        <v>1020000000</v>
      </c>
    </row>
    <row r="963" spans="1:15" x14ac:dyDescent="0.3">
      <c r="A963" t="s">
        <v>115</v>
      </c>
      <c r="B963">
        <v>3</v>
      </c>
      <c r="C963">
        <v>2014</v>
      </c>
      <c r="D963" s="1">
        <v>42004</v>
      </c>
      <c r="E963" s="2">
        <v>7380000000</v>
      </c>
      <c r="F963" s="2">
        <v>2210000000</v>
      </c>
      <c r="G963" s="2">
        <v>2817000000</v>
      </c>
      <c r="H963" s="2">
        <v>817000000</v>
      </c>
      <c r="I963" s="2">
        <v>438000000</v>
      </c>
      <c r="J963" t="s">
        <v>21</v>
      </c>
      <c r="K963" t="s">
        <v>26</v>
      </c>
      <c r="L963" s="37">
        <f t="shared" si="60"/>
        <v>0.70054200542005418</v>
      </c>
      <c r="M963" s="2">
        <f t="shared" si="61"/>
        <v>5170000000</v>
      </c>
      <c r="N963" s="37">
        <f t="shared" si="62"/>
        <v>0.14878048780487804</v>
      </c>
      <c r="O963" s="2">
        <f t="shared" si="63"/>
        <v>1098000000</v>
      </c>
    </row>
    <row r="964" spans="1:15" x14ac:dyDescent="0.3">
      <c r="A964" t="s">
        <v>115</v>
      </c>
      <c r="B964">
        <v>4</v>
      </c>
      <c r="C964">
        <v>2015</v>
      </c>
      <c r="D964" s="1">
        <v>42369</v>
      </c>
      <c r="E964" s="2">
        <v>7477000000</v>
      </c>
      <c r="F964" s="2">
        <v>2173000000</v>
      </c>
      <c r="G964" s="2">
        <v>2996000000</v>
      </c>
      <c r="H964" s="2">
        <v>876000000</v>
      </c>
      <c r="I964" s="2">
        <v>495000000</v>
      </c>
      <c r="J964" t="s">
        <v>21</v>
      </c>
      <c r="K964" t="s">
        <v>26</v>
      </c>
      <c r="L964" s="37">
        <f t="shared" si="60"/>
        <v>0.709375417948375</v>
      </c>
      <c r="M964" s="2">
        <f t="shared" si="61"/>
        <v>5304000000</v>
      </c>
      <c r="N964" s="37">
        <f t="shared" si="62"/>
        <v>0.1253176407650127</v>
      </c>
      <c r="O964" s="2">
        <f t="shared" si="63"/>
        <v>937000000</v>
      </c>
    </row>
    <row r="965" spans="1:15" x14ac:dyDescent="0.3">
      <c r="A965" t="s">
        <v>360</v>
      </c>
      <c r="B965">
        <v>1</v>
      </c>
      <c r="C965">
        <v>2013</v>
      </c>
      <c r="D965" s="1">
        <v>41639</v>
      </c>
      <c r="E965" s="2">
        <v>17699000000</v>
      </c>
      <c r="F965" s="2">
        <v>8307000000</v>
      </c>
      <c r="G965" s="2">
        <v>7161000000</v>
      </c>
      <c r="H965">
        <v>0</v>
      </c>
      <c r="I965" s="2">
        <v>867000000</v>
      </c>
      <c r="J965" t="s">
        <v>12</v>
      </c>
      <c r="K965" t="s">
        <v>13</v>
      </c>
      <c r="L965" s="37">
        <f t="shared" si="60"/>
        <v>0.53065144923442009</v>
      </c>
      <c r="M965" s="2">
        <f t="shared" si="61"/>
        <v>9392000000</v>
      </c>
      <c r="N965" s="37">
        <f t="shared" si="62"/>
        <v>7.706650093225606E-2</v>
      </c>
      <c r="O965" s="2">
        <f t="shared" si="63"/>
        <v>1364000000</v>
      </c>
    </row>
    <row r="966" spans="1:15" x14ac:dyDescent="0.3">
      <c r="A966" t="s">
        <v>360</v>
      </c>
      <c r="B966">
        <v>2</v>
      </c>
      <c r="C966">
        <v>2014</v>
      </c>
      <c r="D966" s="1">
        <v>42004</v>
      </c>
      <c r="E966" s="2">
        <v>18605000000</v>
      </c>
      <c r="F966" s="2">
        <v>7677000000</v>
      </c>
      <c r="G966" s="2">
        <v>7639000000</v>
      </c>
      <c r="H966">
        <v>0</v>
      </c>
      <c r="I966" s="2">
        <v>938000000</v>
      </c>
      <c r="J966" t="s">
        <v>12</v>
      </c>
      <c r="K966" t="s">
        <v>13</v>
      </c>
      <c r="L966" s="37">
        <f t="shared" si="60"/>
        <v>0.58736898683149685</v>
      </c>
      <c r="M966" s="2">
        <f t="shared" si="61"/>
        <v>10928000000</v>
      </c>
      <c r="N966" s="37">
        <f t="shared" si="62"/>
        <v>0.12636388067723731</v>
      </c>
      <c r="O966" s="2">
        <f t="shared" si="63"/>
        <v>2351000000</v>
      </c>
    </row>
    <row r="967" spans="1:15" x14ac:dyDescent="0.3">
      <c r="A967" t="s">
        <v>360</v>
      </c>
      <c r="B967">
        <v>3</v>
      </c>
      <c r="C967">
        <v>2015</v>
      </c>
      <c r="D967" s="1">
        <v>42369</v>
      </c>
      <c r="E967" s="2">
        <v>19820000000</v>
      </c>
      <c r="F967" s="2">
        <v>6025000000</v>
      </c>
      <c r="G967" s="2">
        <v>8625000000</v>
      </c>
      <c r="H967">
        <v>0</v>
      </c>
      <c r="I967" s="2">
        <v>1015000000</v>
      </c>
      <c r="J967" t="s">
        <v>12</v>
      </c>
      <c r="K967" t="s">
        <v>13</v>
      </c>
      <c r="L967" s="37">
        <f t="shared" si="60"/>
        <v>0.69601412714429867</v>
      </c>
      <c r="M967" s="2">
        <f t="shared" si="61"/>
        <v>13795000000</v>
      </c>
      <c r="N967" s="37">
        <f t="shared" si="62"/>
        <v>0.20963673057517659</v>
      </c>
      <c r="O967" s="2">
        <f t="shared" si="63"/>
        <v>4155000000</v>
      </c>
    </row>
    <row r="968" spans="1:15" x14ac:dyDescent="0.3">
      <c r="A968" t="s">
        <v>360</v>
      </c>
      <c r="B968">
        <v>4</v>
      </c>
      <c r="C968">
        <v>2016</v>
      </c>
      <c r="D968" s="1">
        <v>42735</v>
      </c>
      <c r="E968" s="2">
        <v>20425000000</v>
      </c>
      <c r="F968" s="2">
        <v>6132000000</v>
      </c>
      <c r="G968" s="2">
        <v>9312000000</v>
      </c>
      <c r="H968">
        <v>0</v>
      </c>
      <c r="I968" s="2">
        <v>1221000000</v>
      </c>
      <c r="J968" t="s">
        <v>12</v>
      </c>
      <c r="K968" t="s">
        <v>13</v>
      </c>
      <c r="L968" s="37">
        <f t="shared" si="60"/>
        <v>0.6997796817625459</v>
      </c>
      <c r="M968" s="2">
        <f t="shared" si="61"/>
        <v>14293000000</v>
      </c>
      <c r="N968" s="37">
        <f t="shared" si="62"/>
        <v>0.18408812729498164</v>
      </c>
      <c r="O968" s="2">
        <f t="shared" si="63"/>
        <v>3760000000</v>
      </c>
    </row>
    <row r="969" spans="1:15" x14ac:dyDescent="0.3">
      <c r="A969" t="s">
        <v>361</v>
      </c>
      <c r="B969">
        <v>1</v>
      </c>
      <c r="C969">
        <v>2012</v>
      </c>
      <c r="D969" s="1">
        <v>41274</v>
      </c>
      <c r="E969" s="2">
        <v>6376000000</v>
      </c>
      <c r="F969" s="2">
        <v>3851000000</v>
      </c>
      <c r="G969" s="2">
        <v>1201000000</v>
      </c>
      <c r="H969">
        <v>0</v>
      </c>
      <c r="I969" s="2">
        <v>749000000</v>
      </c>
      <c r="J969" t="s">
        <v>178</v>
      </c>
      <c r="K969" t="s">
        <v>362</v>
      </c>
      <c r="L969" s="37">
        <f t="shared" si="60"/>
        <v>0.39601631116687575</v>
      </c>
      <c r="M969" s="2">
        <f t="shared" si="61"/>
        <v>2525000000</v>
      </c>
      <c r="N969" s="37">
        <f t="shared" si="62"/>
        <v>9.0181932245922206E-2</v>
      </c>
      <c r="O969" s="2">
        <f t="shared" si="63"/>
        <v>575000000</v>
      </c>
    </row>
    <row r="970" spans="1:15" x14ac:dyDescent="0.3">
      <c r="A970" t="s">
        <v>361</v>
      </c>
      <c r="B970">
        <v>2</v>
      </c>
      <c r="C970">
        <v>2013</v>
      </c>
      <c r="D970" s="1">
        <v>41639</v>
      </c>
      <c r="E970" s="2">
        <v>6313000000</v>
      </c>
      <c r="F970" s="2">
        <v>3685000000</v>
      </c>
      <c r="G970" s="2">
        <v>1162000000</v>
      </c>
      <c r="H970">
        <v>0</v>
      </c>
      <c r="I970" s="2">
        <v>800000000</v>
      </c>
      <c r="J970" t="s">
        <v>178</v>
      </c>
      <c r="K970" t="s">
        <v>362</v>
      </c>
      <c r="L970" s="37">
        <f t="shared" si="60"/>
        <v>0.4162838587042611</v>
      </c>
      <c r="M970" s="2">
        <f t="shared" si="61"/>
        <v>2628000000</v>
      </c>
      <c r="N970" s="37">
        <f t="shared" si="62"/>
        <v>0.10549659432916204</v>
      </c>
      <c r="O970" s="2">
        <f t="shared" si="63"/>
        <v>666000000</v>
      </c>
    </row>
    <row r="971" spans="1:15" x14ac:dyDescent="0.3">
      <c r="A971" t="s">
        <v>361</v>
      </c>
      <c r="B971">
        <v>3</v>
      </c>
      <c r="C971">
        <v>2014</v>
      </c>
      <c r="D971" s="1">
        <v>42004</v>
      </c>
      <c r="E971" s="2">
        <v>6777000000</v>
      </c>
      <c r="F971" s="2">
        <v>3775000000</v>
      </c>
      <c r="G971" s="2">
        <v>1181000000</v>
      </c>
      <c r="H971">
        <v>0</v>
      </c>
      <c r="I971" s="2">
        <v>808000000</v>
      </c>
      <c r="J971" t="s">
        <v>178</v>
      </c>
      <c r="K971" t="s">
        <v>362</v>
      </c>
      <c r="L971" s="37">
        <f t="shared" si="60"/>
        <v>0.4429688652796222</v>
      </c>
      <c r="M971" s="2">
        <f t="shared" si="61"/>
        <v>3002000000</v>
      </c>
      <c r="N971" s="37">
        <f t="shared" si="62"/>
        <v>0.14947616939648811</v>
      </c>
      <c r="O971" s="2">
        <f t="shared" si="63"/>
        <v>1013000000</v>
      </c>
    </row>
    <row r="972" spans="1:15" x14ac:dyDescent="0.3">
      <c r="A972" t="s">
        <v>361</v>
      </c>
      <c r="B972">
        <v>4</v>
      </c>
      <c r="C972">
        <v>2015</v>
      </c>
      <c r="D972" s="1">
        <v>42369</v>
      </c>
      <c r="E972" s="2">
        <v>8229000000</v>
      </c>
      <c r="F972" s="2">
        <v>4265000000</v>
      </c>
      <c r="G972" s="2">
        <v>1467000000</v>
      </c>
      <c r="H972">
        <v>0</v>
      </c>
      <c r="I972" s="2">
        <v>1166000000</v>
      </c>
      <c r="J972" t="s">
        <v>178</v>
      </c>
      <c r="K972" t="s">
        <v>362</v>
      </c>
      <c r="L972" s="37">
        <f t="shared" si="60"/>
        <v>0.48171102199538218</v>
      </c>
      <c r="M972" s="2">
        <f t="shared" si="61"/>
        <v>3964000000</v>
      </c>
      <c r="N972" s="37">
        <f t="shared" si="62"/>
        <v>0.16174504800097217</v>
      </c>
      <c r="O972" s="2">
        <f t="shared" si="63"/>
        <v>1331000000</v>
      </c>
    </row>
    <row r="973" spans="1:15" x14ac:dyDescent="0.3">
      <c r="A973" t="s">
        <v>363</v>
      </c>
      <c r="B973">
        <v>1</v>
      </c>
      <c r="C973">
        <v>2012</v>
      </c>
      <c r="D973" s="1">
        <v>41274</v>
      </c>
      <c r="E973" s="2">
        <v>45352000000</v>
      </c>
      <c r="F973" s="2">
        <v>39595000000</v>
      </c>
      <c r="G973" s="2">
        <v>909000000</v>
      </c>
      <c r="H973" s="2">
        <v>172000000</v>
      </c>
      <c r="I973">
        <v>0</v>
      </c>
      <c r="J973" t="s">
        <v>55</v>
      </c>
      <c r="K973" t="s">
        <v>189</v>
      </c>
      <c r="L973" s="37">
        <f t="shared" si="60"/>
        <v>0.12694037749162113</v>
      </c>
      <c r="M973" s="2">
        <f t="shared" si="61"/>
        <v>5757000000</v>
      </c>
      <c r="N973" s="37">
        <f t="shared" si="62"/>
        <v>0.10310460398659375</v>
      </c>
      <c r="O973" s="2">
        <f t="shared" si="63"/>
        <v>4676000000</v>
      </c>
    </row>
    <row r="974" spans="1:15" x14ac:dyDescent="0.3">
      <c r="A974" t="s">
        <v>363</v>
      </c>
      <c r="B974">
        <v>2</v>
      </c>
      <c r="C974">
        <v>2013</v>
      </c>
      <c r="D974" s="1">
        <v>41639</v>
      </c>
      <c r="E974" s="2">
        <v>44062000000</v>
      </c>
      <c r="F974" s="2">
        <v>37940000000</v>
      </c>
      <c r="G974" s="2">
        <v>870000000</v>
      </c>
      <c r="H974" s="2">
        <v>150000000</v>
      </c>
      <c r="I974">
        <v>0</v>
      </c>
      <c r="J974" t="s">
        <v>55</v>
      </c>
      <c r="K974" t="s">
        <v>189</v>
      </c>
      <c r="L974" s="37">
        <f t="shared" si="60"/>
        <v>0.13894058372293583</v>
      </c>
      <c r="M974" s="2">
        <f t="shared" si="61"/>
        <v>6122000000</v>
      </c>
      <c r="N974" s="37">
        <f t="shared" si="62"/>
        <v>0.11579138486677863</v>
      </c>
      <c r="O974" s="2">
        <f t="shared" si="63"/>
        <v>5102000000</v>
      </c>
    </row>
    <row r="975" spans="1:15" x14ac:dyDescent="0.3">
      <c r="A975" t="s">
        <v>363</v>
      </c>
      <c r="B975">
        <v>3</v>
      </c>
      <c r="C975">
        <v>2014</v>
      </c>
      <c r="D975" s="1">
        <v>42004</v>
      </c>
      <c r="E975" s="2">
        <v>45608000000</v>
      </c>
      <c r="F975" s="2">
        <v>38939000000</v>
      </c>
      <c r="G975" s="2">
        <v>806000000</v>
      </c>
      <c r="H975" s="2">
        <v>127000000</v>
      </c>
      <c r="I975">
        <v>0</v>
      </c>
      <c r="J975" t="s">
        <v>55</v>
      </c>
      <c r="K975" t="s">
        <v>189</v>
      </c>
      <c r="L975" s="37">
        <f t="shared" si="60"/>
        <v>0.14622434660585859</v>
      </c>
      <c r="M975" s="2">
        <f t="shared" si="61"/>
        <v>6669000000</v>
      </c>
      <c r="N975" s="37">
        <f t="shared" si="62"/>
        <v>0.12576740922645149</v>
      </c>
      <c r="O975" s="2">
        <f t="shared" si="63"/>
        <v>5736000000</v>
      </c>
    </row>
    <row r="976" spans="1:15" x14ac:dyDescent="0.3">
      <c r="A976" t="s">
        <v>363</v>
      </c>
      <c r="B976">
        <v>4</v>
      </c>
      <c r="C976">
        <v>2015</v>
      </c>
      <c r="D976" s="1">
        <v>42369</v>
      </c>
      <c r="E976" s="2">
        <v>32735000000</v>
      </c>
      <c r="F976" s="2">
        <v>25683000000</v>
      </c>
      <c r="G976" s="2">
        <v>828000000</v>
      </c>
      <c r="H976" s="2">
        <v>102000000</v>
      </c>
      <c r="I976">
        <v>0</v>
      </c>
      <c r="J976" t="s">
        <v>55</v>
      </c>
      <c r="K976" t="s">
        <v>189</v>
      </c>
      <c r="L976" s="37">
        <f t="shared" si="60"/>
        <v>0.21542691308996487</v>
      </c>
      <c r="M976" s="2">
        <f t="shared" si="61"/>
        <v>7052000000</v>
      </c>
      <c r="N976" s="37">
        <f t="shared" si="62"/>
        <v>0.18701695433022758</v>
      </c>
      <c r="O976" s="2">
        <f t="shared" si="63"/>
        <v>6122000000</v>
      </c>
    </row>
    <row r="977" spans="1:15" x14ac:dyDescent="0.3">
      <c r="A977" t="s">
        <v>364</v>
      </c>
      <c r="B977">
        <v>1</v>
      </c>
      <c r="C977">
        <v>2013</v>
      </c>
      <c r="D977" s="1">
        <v>41307</v>
      </c>
      <c r="E977" s="2">
        <v>27686000000</v>
      </c>
      <c r="F977" s="2">
        <v>16538000000</v>
      </c>
      <c r="G977" s="2">
        <v>8482000000</v>
      </c>
      <c r="H977">
        <v>0</v>
      </c>
      <c r="I977">
        <v>0</v>
      </c>
      <c r="J977" t="s">
        <v>15</v>
      </c>
      <c r="K977" t="s">
        <v>330</v>
      </c>
      <c r="L977" s="37">
        <f t="shared" si="60"/>
        <v>0.40265838329841797</v>
      </c>
      <c r="M977" s="2">
        <f t="shared" si="61"/>
        <v>11148000000</v>
      </c>
      <c r="N977" s="37">
        <f t="shared" si="62"/>
        <v>9.6294155891064076E-2</v>
      </c>
      <c r="O977" s="2">
        <f t="shared" si="63"/>
        <v>2666000000</v>
      </c>
    </row>
    <row r="978" spans="1:15" x14ac:dyDescent="0.3">
      <c r="A978" t="s">
        <v>364</v>
      </c>
      <c r="B978">
        <v>2</v>
      </c>
      <c r="C978">
        <v>2014</v>
      </c>
      <c r="D978" s="1">
        <v>41671</v>
      </c>
      <c r="E978" s="2">
        <v>27931000000</v>
      </c>
      <c r="F978" s="2">
        <v>16725000000</v>
      </c>
      <c r="G978" s="2">
        <v>8440000000</v>
      </c>
      <c r="H978">
        <v>0</v>
      </c>
      <c r="I978">
        <v>0</v>
      </c>
      <c r="J978" t="s">
        <v>15</v>
      </c>
      <c r="K978" t="s">
        <v>330</v>
      </c>
      <c r="L978" s="37">
        <f t="shared" si="60"/>
        <v>0.40120296444810422</v>
      </c>
      <c r="M978" s="2">
        <f t="shared" si="61"/>
        <v>11206000000</v>
      </c>
      <c r="N978" s="37">
        <f t="shared" si="62"/>
        <v>9.9029751888582582E-2</v>
      </c>
      <c r="O978" s="2">
        <f t="shared" si="63"/>
        <v>2766000000</v>
      </c>
    </row>
    <row r="979" spans="1:15" x14ac:dyDescent="0.3">
      <c r="A979" t="s">
        <v>364</v>
      </c>
      <c r="B979">
        <v>3</v>
      </c>
      <c r="C979">
        <v>2015</v>
      </c>
      <c r="D979" s="1">
        <v>42035</v>
      </c>
      <c r="E979" s="2">
        <v>28105000000</v>
      </c>
      <c r="F979" s="2">
        <v>16863000000</v>
      </c>
      <c r="G979" s="2">
        <v>8355000000</v>
      </c>
      <c r="H979">
        <v>0</v>
      </c>
      <c r="I979">
        <v>0</v>
      </c>
      <c r="J979" t="s">
        <v>15</v>
      </c>
      <c r="K979" t="s">
        <v>330</v>
      </c>
      <c r="L979" s="37">
        <f t="shared" si="60"/>
        <v>0.4</v>
      </c>
      <c r="M979" s="2">
        <f t="shared" si="61"/>
        <v>11242000000</v>
      </c>
      <c r="N979" s="37">
        <f t="shared" si="62"/>
        <v>0.10272193559864792</v>
      </c>
      <c r="O979" s="2">
        <f t="shared" si="63"/>
        <v>2887000000</v>
      </c>
    </row>
    <row r="980" spans="1:15" x14ac:dyDescent="0.3">
      <c r="A980" t="s">
        <v>364</v>
      </c>
      <c r="B980">
        <v>4</v>
      </c>
      <c r="C980">
        <v>2016</v>
      </c>
      <c r="D980" s="1">
        <v>42399</v>
      </c>
      <c r="E980" s="2">
        <v>27079000000</v>
      </c>
      <c r="F980" s="2">
        <v>16496000000</v>
      </c>
      <c r="G980" s="2">
        <v>8256000000</v>
      </c>
      <c r="H980">
        <v>0</v>
      </c>
      <c r="I980">
        <v>0</v>
      </c>
      <c r="J980" t="s">
        <v>15</v>
      </c>
      <c r="K980" t="s">
        <v>330</v>
      </c>
      <c r="L980" s="37">
        <f t="shared" si="60"/>
        <v>0.39081945418959341</v>
      </c>
      <c r="M980" s="2">
        <f t="shared" si="61"/>
        <v>10583000000</v>
      </c>
      <c r="N980" s="37">
        <f t="shared" si="62"/>
        <v>8.5933749399903989E-2</v>
      </c>
      <c r="O980" s="2">
        <f t="shared" si="63"/>
        <v>2327000000</v>
      </c>
    </row>
    <row r="981" spans="1:15" x14ac:dyDescent="0.3">
      <c r="A981" t="s">
        <v>365</v>
      </c>
      <c r="B981">
        <v>1</v>
      </c>
      <c r="C981">
        <v>2013</v>
      </c>
      <c r="D981" s="1">
        <v>41639</v>
      </c>
      <c r="E981" s="2">
        <v>8312000000</v>
      </c>
      <c r="F981">
        <v>0</v>
      </c>
      <c r="G981" s="2">
        <v>3456000000</v>
      </c>
      <c r="H981">
        <v>0</v>
      </c>
      <c r="I981" s="2">
        <v>258000000</v>
      </c>
      <c r="J981" t="s">
        <v>18</v>
      </c>
      <c r="K981" t="s">
        <v>53</v>
      </c>
      <c r="L981" s="37">
        <f t="shared" si="60"/>
        <v>1</v>
      </c>
      <c r="M981" s="2">
        <f t="shared" si="61"/>
        <v>8312000000</v>
      </c>
      <c r="N981" s="37">
        <f t="shared" si="62"/>
        <v>0.55317613089509143</v>
      </c>
      <c r="O981" s="2">
        <f t="shared" si="63"/>
        <v>4598000000</v>
      </c>
    </row>
    <row r="982" spans="1:15" x14ac:dyDescent="0.3">
      <c r="A982" t="s">
        <v>365</v>
      </c>
      <c r="B982">
        <v>2</v>
      </c>
      <c r="C982">
        <v>2014</v>
      </c>
      <c r="D982" s="1">
        <v>42004</v>
      </c>
      <c r="E982" s="2">
        <v>9441000000</v>
      </c>
      <c r="F982">
        <v>0</v>
      </c>
      <c r="G982" s="2">
        <v>4014000000</v>
      </c>
      <c r="H982">
        <v>0</v>
      </c>
      <c r="I982" s="2">
        <v>321000000</v>
      </c>
      <c r="J982" t="s">
        <v>18</v>
      </c>
      <c r="K982" t="s">
        <v>53</v>
      </c>
      <c r="L982" s="37">
        <f t="shared" si="60"/>
        <v>1</v>
      </c>
      <c r="M982" s="2">
        <f t="shared" si="61"/>
        <v>9441000000</v>
      </c>
      <c r="N982" s="37">
        <f t="shared" si="62"/>
        <v>0.54083253892596128</v>
      </c>
      <c r="O982" s="2">
        <f t="shared" si="63"/>
        <v>5106000000</v>
      </c>
    </row>
    <row r="983" spans="1:15" x14ac:dyDescent="0.3">
      <c r="A983" t="s">
        <v>365</v>
      </c>
      <c r="B983">
        <v>3</v>
      </c>
      <c r="C983">
        <v>2015</v>
      </c>
      <c r="D983" s="1">
        <v>42369</v>
      </c>
      <c r="E983" s="2">
        <v>9667000000</v>
      </c>
      <c r="F983">
        <v>0</v>
      </c>
      <c r="G983" s="2">
        <v>4162000000</v>
      </c>
      <c r="H983">
        <v>0</v>
      </c>
      <c r="I983" s="2">
        <v>366000000</v>
      </c>
      <c r="J983" t="s">
        <v>18</v>
      </c>
      <c r="K983" t="s">
        <v>53</v>
      </c>
      <c r="L983" s="37">
        <f t="shared" si="60"/>
        <v>1</v>
      </c>
      <c r="M983" s="2">
        <f t="shared" si="61"/>
        <v>9667000000</v>
      </c>
      <c r="N983" s="37">
        <f t="shared" si="62"/>
        <v>0.53160235853936066</v>
      </c>
      <c r="O983" s="2">
        <f t="shared" si="63"/>
        <v>5139000000</v>
      </c>
    </row>
    <row r="984" spans="1:15" x14ac:dyDescent="0.3">
      <c r="A984" t="s">
        <v>365</v>
      </c>
      <c r="B984">
        <v>4</v>
      </c>
      <c r="C984">
        <v>2016</v>
      </c>
      <c r="D984" s="1">
        <v>42735</v>
      </c>
      <c r="E984" s="2">
        <v>10776000000</v>
      </c>
      <c r="F984">
        <v>0</v>
      </c>
      <c r="G984" s="2">
        <v>4525000000</v>
      </c>
      <c r="H984">
        <v>0</v>
      </c>
      <c r="I984" s="2">
        <v>373000000</v>
      </c>
      <c r="J984" t="s">
        <v>18</v>
      </c>
      <c r="K984" t="s">
        <v>53</v>
      </c>
      <c r="L984" s="37">
        <f t="shared" si="60"/>
        <v>1</v>
      </c>
      <c r="M984" s="2">
        <f t="shared" si="61"/>
        <v>10776000000</v>
      </c>
      <c r="N984" s="37">
        <f t="shared" si="62"/>
        <v>0.54547141796585008</v>
      </c>
      <c r="O984" s="2">
        <f t="shared" si="63"/>
        <v>5878000000</v>
      </c>
    </row>
    <row r="985" spans="1:15" x14ac:dyDescent="0.3">
      <c r="A985" t="s">
        <v>366</v>
      </c>
      <c r="B985">
        <v>1</v>
      </c>
      <c r="C985">
        <v>2012</v>
      </c>
      <c r="D985" s="1">
        <v>41274</v>
      </c>
      <c r="E985" s="2">
        <v>475888000</v>
      </c>
      <c r="F985" s="2">
        <v>117275000</v>
      </c>
      <c r="G985" s="2">
        <v>47115000</v>
      </c>
      <c r="H985">
        <v>0</v>
      </c>
      <c r="I985" s="2">
        <v>121211000</v>
      </c>
      <c r="J985" t="s">
        <v>48</v>
      </c>
      <c r="K985" t="s">
        <v>230</v>
      </c>
      <c r="L985" s="37">
        <f t="shared" si="60"/>
        <v>0.75356596510103224</v>
      </c>
      <c r="M985" s="2">
        <f t="shared" si="61"/>
        <v>358613000</v>
      </c>
      <c r="N985" s="37">
        <f t="shared" si="62"/>
        <v>0.39985668896883303</v>
      </c>
      <c r="O985" s="2">
        <f t="shared" si="63"/>
        <v>190287000</v>
      </c>
    </row>
    <row r="986" spans="1:15" x14ac:dyDescent="0.3">
      <c r="A986" t="s">
        <v>366</v>
      </c>
      <c r="B986">
        <v>2</v>
      </c>
      <c r="C986">
        <v>2013</v>
      </c>
      <c r="D986" s="1">
        <v>41639</v>
      </c>
      <c r="E986" s="2">
        <v>635490000</v>
      </c>
      <c r="F986" s="2">
        <v>172050000</v>
      </c>
      <c r="G986" s="2">
        <v>43720000</v>
      </c>
      <c r="H986">
        <v>0</v>
      </c>
      <c r="I986" s="2">
        <v>186979000</v>
      </c>
      <c r="J986" t="s">
        <v>48</v>
      </c>
      <c r="K986" t="s">
        <v>230</v>
      </c>
      <c r="L986" s="37">
        <f t="shared" si="60"/>
        <v>0.72926403247887461</v>
      </c>
      <c r="M986" s="2">
        <f t="shared" si="61"/>
        <v>463440000</v>
      </c>
      <c r="N986" s="37">
        <f t="shared" si="62"/>
        <v>0.36623865049017296</v>
      </c>
      <c r="O986" s="2">
        <f t="shared" si="63"/>
        <v>232741000</v>
      </c>
    </row>
    <row r="987" spans="1:15" x14ac:dyDescent="0.3">
      <c r="A987" t="s">
        <v>366</v>
      </c>
      <c r="B987">
        <v>3</v>
      </c>
      <c r="C987">
        <v>2014</v>
      </c>
      <c r="D987" s="1">
        <v>42004</v>
      </c>
      <c r="E987" s="2">
        <v>992332000</v>
      </c>
      <c r="F987" s="2">
        <v>275379000</v>
      </c>
      <c r="G987" s="2">
        <v>57664000</v>
      </c>
      <c r="H987">
        <v>0</v>
      </c>
      <c r="I987" s="2">
        <v>301812000</v>
      </c>
      <c r="J987" t="s">
        <v>48</v>
      </c>
      <c r="K987" t="s">
        <v>230</v>
      </c>
      <c r="L987" s="37">
        <f t="shared" si="60"/>
        <v>0.72249307691377485</v>
      </c>
      <c r="M987" s="2">
        <f t="shared" si="61"/>
        <v>716953000</v>
      </c>
      <c r="N987" s="37">
        <f t="shared" si="62"/>
        <v>0.36023931506794099</v>
      </c>
      <c r="O987" s="2">
        <f t="shared" si="63"/>
        <v>357477000</v>
      </c>
    </row>
    <row r="988" spans="1:15" x14ac:dyDescent="0.3">
      <c r="A988" t="s">
        <v>366</v>
      </c>
      <c r="B988">
        <v>4</v>
      </c>
      <c r="C988">
        <v>2015</v>
      </c>
      <c r="D988" s="1">
        <v>42369</v>
      </c>
      <c r="E988" s="2">
        <v>1042779000</v>
      </c>
      <c r="F988" s="2">
        <v>280901000</v>
      </c>
      <c r="G988" s="2">
        <v>53992000</v>
      </c>
      <c r="H988">
        <v>0</v>
      </c>
      <c r="I988" s="2">
        <v>294520000</v>
      </c>
      <c r="J988" t="s">
        <v>48</v>
      </c>
      <c r="K988" t="s">
        <v>230</v>
      </c>
      <c r="L988" s="37">
        <f t="shared" si="60"/>
        <v>0.73062269186471918</v>
      </c>
      <c r="M988" s="2">
        <f t="shared" si="61"/>
        <v>761878000</v>
      </c>
      <c r="N988" s="37">
        <f t="shared" si="62"/>
        <v>0.39640805961761794</v>
      </c>
      <c r="O988" s="2">
        <f t="shared" si="63"/>
        <v>413366000</v>
      </c>
    </row>
    <row r="989" spans="1:15" x14ac:dyDescent="0.3">
      <c r="A989" t="s">
        <v>367</v>
      </c>
      <c r="B989">
        <v>1</v>
      </c>
      <c r="C989">
        <v>2012</v>
      </c>
      <c r="D989" s="1">
        <v>41274</v>
      </c>
      <c r="E989" s="2">
        <v>797517000</v>
      </c>
      <c r="F989" s="2">
        <v>337533000</v>
      </c>
      <c r="G989" s="2">
        <v>20412000</v>
      </c>
      <c r="H989">
        <v>0</v>
      </c>
      <c r="I989" s="2">
        <v>277621000</v>
      </c>
      <c r="J989" t="s">
        <v>48</v>
      </c>
      <c r="K989" t="s">
        <v>261</v>
      </c>
      <c r="L989" s="37">
        <f t="shared" si="60"/>
        <v>0.57677015035416179</v>
      </c>
      <c r="M989" s="2">
        <f t="shared" si="61"/>
        <v>459984000</v>
      </c>
      <c r="N989" s="37">
        <f t="shared" si="62"/>
        <v>0.20306902548785793</v>
      </c>
      <c r="O989" s="2">
        <f t="shared" si="63"/>
        <v>161951000</v>
      </c>
    </row>
    <row r="990" spans="1:15" x14ac:dyDescent="0.3">
      <c r="A990" t="s">
        <v>367</v>
      </c>
      <c r="B990">
        <v>2</v>
      </c>
      <c r="C990">
        <v>2013</v>
      </c>
      <c r="D990" s="1">
        <v>41639</v>
      </c>
      <c r="E990" s="2">
        <v>1029475000</v>
      </c>
      <c r="F990" s="2">
        <v>423256000</v>
      </c>
      <c r="G990" s="2">
        <v>27772000</v>
      </c>
      <c r="H990">
        <v>0</v>
      </c>
      <c r="I990" s="2">
        <v>357165000</v>
      </c>
      <c r="J990" t="s">
        <v>48</v>
      </c>
      <c r="K990" t="s">
        <v>261</v>
      </c>
      <c r="L990" s="37">
        <f t="shared" si="60"/>
        <v>0.58886228417397213</v>
      </c>
      <c r="M990" s="2">
        <f t="shared" si="61"/>
        <v>606219000</v>
      </c>
      <c r="N990" s="37">
        <f t="shared" si="62"/>
        <v>0.21494645328929796</v>
      </c>
      <c r="O990" s="2">
        <f t="shared" si="63"/>
        <v>221282000</v>
      </c>
    </row>
    <row r="991" spans="1:15" x14ac:dyDescent="0.3">
      <c r="A991" t="s">
        <v>367</v>
      </c>
      <c r="B991">
        <v>3</v>
      </c>
      <c r="C991">
        <v>2014</v>
      </c>
      <c r="D991" s="1">
        <v>42004</v>
      </c>
      <c r="E991" s="2">
        <v>1105247000</v>
      </c>
      <c r="F991" s="2">
        <v>441929000</v>
      </c>
      <c r="G991" s="2">
        <v>29412000</v>
      </c>
      <c r="H991">
        <v>0</v>
      </c>
      <c r="I991" s="2">
        <v>378716000</v>
      </c>
      <c r="J991" t="s">
        <v>48</v>
      </c>
      <c r="K991" t="s">
        <v>261</v>
      </c>
      <c r="L991" s="37">
        <f t="shared" si="60"/>
        <v>0.60015363081736472</v>
      </c>
      <c r="M991" s="2">
        <f t="shared" si="61"/>
        <v>663318000</v>
      </c>
      <c r="N991" s="37">
        <f t="shared" si="62"/>
        <v>0.23088956586174855</v>
      </c>
      <c r="O991" s="2">
        <f t="shared" si="63"/>
        <v>255190000</v>
      </c>
    </row>
    <row r="992" spans="1:15" x14ac:dyDescent="0.3">
      <c r="A992" t="s">
        <v>367</v>
      </c>
      <c r="B992">
        <v>4</v>
      </c>
      <c r="C992">
        <v>2015</v>
      </c>
      <c r="D992" s="1">
        <v>42369</v>
      </c>
      <c r="E992" s="2">
        <v>1288149000</v>
      </c>
      <c r="F992" s="2">
        <v>497359000</v>
      </c>
      <c r="G992" s="2">
        <v>29870000</v>
      </c>
      <c r="H992">
        <v>0</v>
      </c>
      <c r="I992" s="2">
        <v>464472000</v>
      </c>
      <c r="J992" t="s">
        <v>48</v>
      </c>
      <c r="K992" t="s">
        <v>261</v>
      </c>
      <c r="L992" s="37">
        <f t="shared" si="60"/>
        <v>0.61389637378905704</v>
      </c>
      <c r="M992" s="2">
        <f t="shared" si="61"/>
        <v>790790000</v>
      </c>
      <c r="N992" s="37">
        <f t="shared" si="62"/>
        <v>0.23013486793841395</v>
      </c>
      <c r="O992" s="2">
        <f t="shared" si="63"/>
        <v>296448000</v>
      </c>
    </row>
    <row r="993" spans="1:15" x14ac:dyDescent="0.3">
      <c r="A993" t="s">
        <v>368</v>
      </c>
      <c r="B993">
        <v>1</v>
      </c>
      <c r="C993">
        <v>2012</v>
      </c>
      <c r="D993" s="1">
        <v>41274</v>
      </c>
      <c r="E993" s="2">
        <v>11814000000</v>
      </c>
      <c r="F993" s="2">
        <v>10190000000</v>
      </c>
      <c r="G993" s="2">
        <v>582000000</v>
      </c>
      <c r="H993">
        <v>0</v>
      </c>
      <c r="I993" s="2">
        <v>102000000</v>
      </c>
      <c r="J993" t="s">
        <v>15</v>
      </c>
      <c r="K993" t="s">
        <v>129</v>
      </c>
      <c r="L993" s="37">
        <f t="shared" si="60"/>
        <v>0.13746402573218219</v>
      </c>
      <c r="M993" s="2">
        <f t="shared" si="61"/>
        <v>1624000000</v>
      </c>
      <c r="N993" s="37">
        <f t="shared" si="62"/>
        <v>7.9566615879465036E-2</v>
      </c>
      <c r="O993" s="2">
        <f t="shared" si="63"/>
        <v>940000000</v>
      </c>
    </row>
    <row r="994" spans="1:15" x14ac:dyDescent="0.3">
      <c r="A994" t="s">
        <v>368</v>
      </c>
      <c r="B994">
        <v>2</v>
      </c>
      <c r="C994">
        <v>2013</v>
      </c>
      <c r="D994" s="1">
        <v>41639</v>
      </c>
      <c r="E994" s="2">
        <v>12784000000</v>
      </c>
      <c r="F994" s="2">
        <v>11020000000</v>
      </c>
      <c r="G994" s="2">
        <v>649000000</v>
      </c>
      <c r="H994">
        <v>0</v>
      </c>
      <c r="I994" s="2">
        <v>127000000</v>
      </c>
      <c r="J994" t="s">
        <v>15</v>
      </c>
      <c r="K994" t="s">
        <v>129</v>
      </c>
      <c r="L994" s="37">
        <f t="shared" si="60"/>
        <v>0.13798498122653313</v>
      </c>
      <c r="M994" s="2">
        <f t="shared" si="61"/>
        <v>1764000000</v>
      </c>
      <c r="N994" s="37">
        <f t="shared" si="62"/>
        <v>7.7284105131414274E-2</v>
      </c>
      <c r="O994" s="2">
        <f t="shared" si="63"/>
        <v>988000000</v>
      </c>
    </row>
    <row r="995" spans="1:15" x14ac:dyDescent="0.3">
      <c r="A995" t="s">
        <v>368</v>
      </c>
      <c r="B995">
        <v>3</v>
      </c>
      <c r="C995">
        <v>2014</v>
      </c>
      <c r="D995" s="1">
        <v>42004</v>
      </c>
      <c r="E995" s="2">
        <v>13796000000</v>
      </c>
      <c r="F995" s="2">
        <v>11830000000</v>
      </c>
      <c r="G995" s="2">
        <v>659000000</v>
      </c>
      <c r="H995">
        <v>0</v>
      </c>
      <c r="I995" s="2">
        <v>148000000</v>
      </c>
      <c r="J995" t="s">
        <v>15</v>
      </c>
      <c r="K995" t="s">
        <v>129</v>
      </c>
      <c r="L995" s="37">
        <f t="shared" si="60"/>
        <v>0.14250507393447376</v>
      </c>
      <c r="M995" s="2">
        <f t="shared" si="61"/>
        <v>1966000000</v>
      </c>
      <c r="N995" s="37">
        <f t="shared" si="62"/>
        <v>8.400985792983473E-2</v>
      </c>
      <c r="O995" s="2">
        <f t="shared" si="63"/>
        <v>1159000000</v>
      </c>
    </row>
    <row r="996" spans="1:15" x14ac:dyDescent="0.3">
      <c r="A996" t="s">
        <v>368</v>
      </c>
      <c r="B996">
        <v>4</v>
      </c>
      <c r="C996">
        <v>2015</v>
      </c>
      <c r="D996" s="1">
        <v>42369</v>
      </c>
      <c r="E996" s="2">
        <v>14486000000</v>
      </c>
      <c r="F996" s="2">
        <v>12363000000</v>
      </c>
      <c r="G996" s="2">
        <v>634000000</v>
      </c>
      <c r="H996">
        <v>0</v>
      </c>
      <c r="I996" s="2">
        <v>139000000</v>
      </c>
      <c r="J996" t="s">
        <v>15</v>
      </c>
      <c r="K996" t="s">
        <v>129</v>
      </c>
      <c r="L996" s="37">
        <f t="shared" si="60"/>
        <v>0.14655529476736162</v>
      </c>
      <c r="M996" s="2">
        <f t="shared" si="61"/>
        <v>2123000000</v>
      </c>
      <c r="N996" s="37">
        <f t="shared" si="62"/>
        <v>9.319342813751208E-2</v>
      </c>
      <c r="O996" s="2">
        <f t="shared" si="63"/>
        <v>1350000000</v>
      </c>
    </row>
    <row r="997" spans="1:15" x14ac:dyDescent="0.3">
      <c r="A997" t="s">
        <v>369</v>
      </c>
      <c r="B997">
        <v>1</v>
      </c>
      <c r="C997">
        <v>2013</v>
      </c>
      <c r="D997" s="1">
        <v>41639</v>
      </c>
      <c r="E997" s="2">
        <v>6761000000</v>
      </c>
      <c r="F997" s="2">
        <v>4802000000</v>
      </c>
      <c r="G997" s="2">
        <v>1347000000</v>
      </c>
      <c r="H997">
        <v>0</v>
      </c>
      <c r="I997">
        <v>0</v>
      </c>
      <c r="J997" t="s">
        <v>12</v>
      </c>
      <c r="K997" t="s">
        <v>60</v>
      </c>
      <c r="L997" s="37">
        <f t="shared" si="60"/>
        <v>0.28975003697677859</v>
      </c>
      <c r="M997" s="2">
        <f t="shared" si="61"/>
        <v>1959000000</v>
      </c>
      <c r="N997" s="37">
        <f t="shared" si="62"/>
        <v>9.0519153971306027E-2</v>
      </c>
      <c r="O997" s="2">
        <f t="shared" si="63"/>
        <v>612000000</v>
      </c>
    </row>
    <row r="998" spans="1:15" x14ac:dyDescent="0.3">
      <c r="A998" t="s">
        <v>369</v>
      </c>
      <c r="B998">
        <v>2</v>
      </c>
      <c r="C998">
        <v>2014</v>
      </c>
      <c r="D998" s="1">
        <v>42004</v>
      </c>
      <c r="E998" s="2">
        <v>7006000000</v>
      </c>
      <c r="F998" s="2">
        <v>4946000000</v>
      </c>
      <c r="G998" s="2">
        <v>1338000000</v>
      </c>
      <c r="H998">
        <v>0</v>
      </c>
      <c r="I998">
        <v>0</v>
      </c>
      <c r="J998" t="s">
        <v>12</v>
      </c>
      <c r="K998" t="s">
        <v>60</v>
      </c>
      <c r="L998" s="37">
        <f t="shared" si="60"/>
        <v>0.29403368541250352</v>
      </c>
      <c r="M998" s="2">
        <f t="shared" si="61"/>
        <v>2060000000</v>
      </c>
      <c r="N998" s="37">
        <f t="shared" si="62"/>
        <v>0.10305452469312018</v>
      </c>
      <c r="O998" s="2">
        <f t="shared" si="63"/>
        <v>722000000</v>
      </c>
    </row>
    <row r="999" spans="1:15" x14ac:dyDescent="0.3">
      <c r="A999" t="s">
        <v>369</v>
      </c>
      <c r="B999">
        <v>3</v>
      </c>
      <c r="C999">
        <v>2015</v>
      </c>
      <c r="D999" s="1">
        <v>42369</v>
      </c>
      <c r="E999" s="2">
        <v>7142000000</v>
      </c>
      <c r="F999" s="2">
        <v>4889000000</v>
      </c>
      <c r="G999" s="2">
        <v>1339000000</v>
      </c>
      <c r="H999">
        <v>0</v>
      </c>
      <c r="I999">
        <v>0</v>
      </c>
      <c r="J999" t="s">
        <v>12</v>
      </c>
      <c r="K999" t="s">
        <v>60</v>
      </c>
      <c r="L999" s="37">
        <f t="shared" si="60"/>
        <v>0.31545785494259315</v>
      </c>
      <c r="M999" s="2">
        <f t="shared" si="61"/>
        <v>2253000000</v>
      </c>
      <c r="N999" s="37">
        <f t="shared" si="62"/>
        <v>0.12797535704284513</v>
      </c>
      <c r="O999" s="2">
        <f t="shared" si="63"/>
        <v>914000000</v>
      </c>
    </row>
    <row r="1000" spans="1:15" x14ac:dyDescent="0.3">
      <c r="A1000" t="s">
        <v>369</v>
      </c>
      <c r="B1000">
        <v>4</v>
      </c>
      <c r="C1000">
        <v>2016</v>
      </c>
      <c r="D1000" s="1">
        <v>42735</v>
      </c>
      <c r="E1000" s="2">
        <v>7357000000</v>
      </c>
      <c r="F1000" s="2">
        <v>4901000000</v>
      </c>
      <c r="G1000" s="2">
        <v>1403000000</v>
      </c>
      <c r="H1000">
        <v>0</v>
      </c>
      <c r="I1000">
        <v>0</v>
      </c>
      <c r="J1000" t="s">
        <v>12</v>
      </c>
      <c r="K1000" t="s">
        <v>60</v>
      </c>
      <c r="L1000" s="37">
        <f t="shared" si="60"/>
        <v>0.33383172488786195</v>
      </c>
      <c r="M1000" s="2">
        <f t="shared" si="61"/>
        <v>2456000000</v>
      </c>
      <c r="N1000" s="37">
        <f t="shared" si="62"/>
        <v>0.14312899279597663</v>
      </c>
      <c r="O1000" s="2">
        <f t="shared" si="63"/>
        <v>1053000000</v>
      </c>
    </row>
    <row r="1001" spans="1:15" x14ac:dyDescent="0.3">
      <c r="A1001" t="s">
        <v>370</v>
      </c>
      <c r="B1001">
        <v>1</v>
      </c>
      <c r="C1001">
        <v>2012</v>
      </c>
      <c r="D1001" s="1">
        <v>41274</v>
      </c>
      <c r="E1001" s="2">
        <v>6420881000</v>
      </c>
      <c r="F1001" s="2">
        <v>3011684000</v>
      </c>
      <c r="G1001" s="2">
        <v>2388182000</v>
      </c>
      <c r="H1001">
        <v>0</v>
      </c>
      <c r="I1001">
        <v>0</v>
      </c>
      <c r="J1001" t="s">
        <v>15</v>
      </c>
      <c r="K1001" t="s">
        <v>282</v>
      </c>
      <c r="L1001" s="37">
        <f t="shared" si="60"/>
        <v>0.53095470855167692</v>
      </c>
      <c r="M1001" s="2">
        <f t="shared" si="61"/>
        <v>3409197000</v>
      </c>
      <c r="N1001" s="37">
        <f t="shared" si="62"/>
        <v>0.15901478317383549</v>
      </c>
      <c r="O1001" s="2">
        <f t="shared" si="63"/>
        <v>1021015000</v>
      </c>
    </row>
    <row r="1002" spans="1:15" x14ac:dyDescent="0.3">
      <c r="A1002" t="s">
        <v>370</v>
      </c>
      <c r="B1002">
        <v>2</v>
      </c>
      <c r="C1002">
        <v>2013</v>
      </c>
      <c r="D1002" s="1">
        <v>41639</v>
      </c>
      <c r="E1002" s="2">
        <v>6484892000</v>
      </c>
      <c r="F1002" s="2">
        <v>3006009000</v>
      </c>
      <c r="G1002" s="2">
        <v>2310780000</v>
      </c>
      <c r="H1002">
        <v>0</v>
      </c>
      <c r="I1002">
        <v>0</v>
      </c>
      <c r="J1002" t="s">
        <v>15</v>
      </c>
      <c r="K1002" t="s">
        <v>282</v>
      </c>
      <c r="L1002" s="37">
        <f t="shared" si="60"/>
        <v>0.53645966656036825</v>
      </c>
      <c r="M1002" s="2">
        <f t="shared" si="61"/>
        <v>3478883000</v>
      </c>
      <c r="N1002" s="37">
        <f t="shared" si="62"/>
        <v>0.18012682400878843</v>
      </c>
      <c r="O1002" s="2">
        <f t="shared" si="63"/>
        <v>1168103000</v>
      </c>
    </row>
    <row r="1003" spans="1:15" x14ac:dyDescent="0.3">
      <c r="A1003" t="s">
        <v>370</v>
      </c>
      <c r="B1003">
        <v>3</v>
      </c>
      <c r="C1003">
        <v>2014</v>
      </c>
      <c r="D1003" s="1">
        <v>42004</v>
      </c>
      <c r="E1003" s="2">
        <v>6023819000</v>
      </c>
      <c r="F1003" s="2">
        <v>3022797000</v>
      </c>
      <c r="G1003" s="2">
        <v>2347308000</v>
      </c>
      <c r="H1003">
        <v>0</v>
      </c>
      <c r="I1003">
        <v>0</v>
      </c>
      <c r="J1003" t="s">
        <v>15</v>
      </c>
      <c r="K1003" t="s">
        <v>282</v>
      </c>
      <c r="L1003" s="37">
        <f t="shared" si="60"/>
        <v>0.49819259177608088</v>
      </c>
      <c r="M1003" s="2">
        <f t="shared" si="61"/>
        <v>3001022000</v>
      </c>
      <c r="N1003" s="37">
        <f t="shared" si="62"/>
        <v>0.10852152098195514</v>
      </c>
      <c r="O1003" s="2">
        <f t="shared" si="63"/>
        <v>653714000</v>
      </c>
    </row>
    <row r="1004" spans="1:15" x14ac:dyDescent="0.3">
      <c r="A1004" t="s">
        <v>370</v>
      </c>
      <c r="B1004">
        <v>4</v>
      </c>
      <c r="C1004">
        <v>2015</v>
      </c>
      <c r="D1004" s="1">
        <v>42369</v>
      </c>
      <c r="E1004" s="2">
        <v>5702613000</v>
      </c>
      <c r="F1004" s="2">
        <v>2896255000</v>
      </c>
      <c r="G1004" s="2">
        <v>2265436000</v>
      </c>
      <c r="H1004">
        <v>0</v>
      </c>
      <c r="I1004">
        <v>0</v>
      </c>
      <c r="J1004" t="s">
        <v>15</v>
      </c>
      <c r="K1004" t="s">
        <v>282</v>
      </c>
      <c r="L1004" s="37">
        <f t="shared" si="60"/>
        <v>0.49211791156089324</v>
      </c>
      <c r="M1004" s="2">
        <f t="shared" si="61"/>
        <v>2806358000</v>
      </c>
      <c r="N1004" s="37">
        <f t="shared" si="62"/>
        <v>9.4855112910520137E-2</v>
      </c>
      <c r="O1004" s="2">
        <f t="shared" si="63"/>
        <v>540922000</v>
      </c>
    </row>
    <row r="1005" spans="1:15" x14ac:dyDescent="0.3">
      <c r="A1005" t="s">
        <v>371</v>
      </c>
      <c r="B1005">
        <v>1</v>
      </c>
      <c r="C1005">
        <v>2012</v>
      </c>
      <c r="D1005" s="1">
        <v>41274</v>
      </c>
      <c r="E1005" s="2">
        <v>27567000000</v>
      </c>
      <c r="F1005" s="2">
        <v>16750700000</v>
      </c>
      <c r="G1005" s="2">
        <v>2211700000</v>
      </c>
      <c r="H1005">
        <v>0</v>
      </c>
      <c r="I1005">
        <v>0</v>
      </c>
      <c r="J1005" t="s">
        <v>15</v>
      </c>
      <c r="K1005" t="s">
        <v>151</v>
      </c>
      <c r="L1005" s="37">
        <f t="shared" si="60"/>
        <v>0.39236405847571376</v>
      </c>
      <c r="M1005" s="2">
        <f t="shared" si="61"/>
        <v>10816300000</v>
      </c>
      <c r="N1005" s="37">
        <f t="shared" si="62"/>
        <v>0.31213407334856896</v>
      </c>
      <c r="O1005" s="2">
        <f t="shared" si="63"/>
        <v>8604600000</v>
      </c>
    </row>
    <row r="1006" spans="1:15" x14ac:dyDescent="0.3">
      <c r="A1006" t="s">
        <v>371</v>
      </c>
      <c r="B1006">
        <v>2</v>
      </c>
      <c r="C1006">
        <v>2013</v>
      </c>
      <c r="D1006" s="1">
        <v>41639</v>
      </c>
      <c r="E1006" s="2">
        <v>28105700000</v>
      </c>
      <c r="F1006" s="2">
        <v>17203000000</v>
      </c>
      <c r="G1006" s="2">
        <v>2138400000</v>
      </c>
      <c r="H1006">
        <v>0</v>
      </c>
      <c r="I1006">
        <v>0</v>
      </c>
      <c r="J1006" t="s">
        <v>15</v>
      </c>
      <c r="K1006" t="s">
        <v>151</v>
      </c>
      <c r="L1006" s="37">
        <f t="shared" si="60"/>
        <v>0.38791775333829082</v>
      </c>
      <c r="M1006" s="2">
        <f t="shared" si="61"/>
        <v>10902700000</v>
      </c>
      <c r="N1006" s="37">
        <f t="shared" si="62"/>
        <v>0.31183354266216462</v>
      </c>
      <c r="O1006" s="2">
        <f t="shared" si="63"/>
        <v>8764300000</v>
      </c>
    </row>
    <row r="1007" spans="1:15" x14ac:dyDescent="0.3">
      <c r="A1007" t="s">
        <v>371</v>
      </c>
      <c r="B1007">
        <v>3</v>
      </c>
      <c r="C1007">
        <v>2014</v>
      </c>
      <c r="D1007" s="1">
        <v>42004</v>
      </c>
      <c r="E1007" s="2">
        <v>27441300000</v>
      </c>
      <c r="F1007" s="2">
        <v>16985600000</v>
      </c>
      <c r="G1007" s="2">
        <v>2506500000</v>
      </c>
      <c r="H1007">
        <v>0</v>
      </c>
      <c r="I1007">
        <v>0</v>
      </c>
      <c r="J1007" t="s">
        <v>15</v>
      </c>
      <c r="K1007" t="s">
        <v>151</v>
      </c>
      <c r="L1007" s="37">
        <f t="shared" si="60"/>
        <v>0.38102057847113657</v>
      </c>
      <c r="M1007" s="2">
        <f t="shared" si="61"/>
        <v>10455700000</v>
      </c>
      <c r="N1007" s="37">
        <f t="shared" si="62"/>
        <v>0.28968015363703614</v>
      </c>
      <c r="O1007" s="2">
        <f t="shared" si="63"/>
        <v>7949200000</v>
      </c>
    </row>
    <row r="1008" spans="1:15" x14ac:dyDescent="0.3">
      <c r="A1008" t="s">
        <v>371</v>
      </c>
      <c r="B1008">
        <v>4</v>
      </c>
      <c r="C1008">
        <v>2015</v>
      </c>
      <c r="D1008" s="1">
        <v>42369</v>
      </c>
      <c r="E1008" s="2">
        <v>25413000000</v>
      </c>
      <c r="F1008" s="2">
        <v>15623800000</v>
      </c>
      <c r="G1008" s="2">
        <v>2643700000</v>
      </c>
      <c r="H1008">
        <v>0</v>
      </c>
      <c r="I1008">
        <v>0</v>
      </c>
      <c r="J1008" t="s">
        <v>15</v>
      </c>
      <c r="K1008" t="s">
        <v>151</v>
      </c>
      <c r="L1008" s="37">
        <f t="shared" si="60"/>
        <v>0.3852044229331445</v>
      </c>
      <c r="M1008" s="2">
        <f t="shared" si="61"/>
        <v>9789200000</v>
      </c>
      <c r="N1008" s="37">
        <f t="shared" si="62"/>
        <v>0.28117498917876677</v>
      </c>
      <c r="O1008" s="2">
        <f t="shared" si="63"/>
        <v>7145500000</v>
      </c>
    </row>
    <row r="1009" spans="1:15" x14ac:dyDescent="0.3">
      <c r="A1009" t="s">
        <v>372</v>
      </c>
      <c r="B1009">
        <v>1</v>
      </c>
      <c r="C1009">
        <v>2013</v>
      </c>
      <c r="D1009" s="1">
        <v>41364</v>
      </c>
      <c r="E1009" s="2">
        <v>1581623000</v>
      </c>
      <c r="F1009" s="2">
        <v>743164000</v>
      </c>
      <c r="G1009" s="2">
        <v>261471000</v>
      </c>
      <c r="H1009" s="2">
        <v>254723000</v>
      </c>
      <c r="I1009" s="2">
        <v>111537000</v>
      </c>
      <c r="J1009" t="s">
        <v>18</v>
      </c>
      <c r="K1009" t="s">
        <v>30</v>
      </c>
      <c r="L1009" s="37">
        <f t="shared" si="60"/>
        <v>0.53012569999298187</v>
      </c>
      <c r="M1009" s="2">
        <f t="shared" si="61"/>
        <v>838459000</v>
      </c>
      <c r="N1009" s="37">
        <f t="shared" si="62"/>
        <v>0.13323529058441866</v>
      </c>
      <c r="O1009" s="2">
        <f t="shared" si="63"/>
        <v>210728000</v>
      </c>
    </row>
    <row r="1010" spans="1:15" x14ac:dyDescent="0.3">
      <c r="A1010" t="s">
        <v>372</v>
      </c>
      <c r="B1010">
        <v>2</v>
      </c>
      <c r="C1010">
        <v>2014</v>
      </c>
      <c r="D1010" s="1">
        <v>41729</v>
      </c>
      <c r="E1010" s="2">
        <v>1931217000</v>
      </c>
      <c r="F1010" s="2">
        <v>802474000</v>
      </c>
      <c r="G1010" s="2">
        <v>267278000</v>
      </c>
      <c r="H1010" s="2">
        <v>305043000</v>
      </c>
      <c r="I1010" s="2">
        <v>94534000</v>
      </c>
      <c r="J1010" t="s">
        <v>18</v>
      </c>
      <c r="K1010" t="s">
        <v>30</v>
      </c>
      <c r="L1010" s="37">
        <f t="shared" si="60"/>
        <v>0.58447238192290141</v>
      </c>
      <c r="M1010" s="2">
        <f t="shared" si="61"/>
        <v>1128743000</v>
      </c>
      <c r="N1010" s="37">
        <f t="shared" si="62"/>
        <v>0.23916939422136405</v>
      </c>
      <c r="O1010" s="2">
        <f t="shared" si="63"/>
        <v>461888000</v>
      </c>
    </row>
    <row r="1011" spans="1:15" x14ac:dyDescent="0.3">
      <c r="A1011" t="s">
        <v>372</v>
      </c>
      <c r="B1011">
        <v>3</v>
      </c>
      <c r="C1011">
        <v>2015</v>
      </c>
      <c r="D1011" s="1">
        <v>42094</v>
      </c>
      <c r="E1011" s="2">
        <v>2147036000</v>
      </c>
      <c r="F1011" s="2">
        <v>917472000</v>
      </c>
      <c r="G1011" s="2">
        <v>274815000</v>
      </c>
      <c r="H1011" s="2">
        <v>349543000</v>
      </c>
      <c r="I1011" s="2">
        <v>176746000</v>
      </c>
      <c r="J1011" t="s">
        <v>18</v>
      </c>
      <c r="K1011" t="s">
        <v>30</v>
      </c>
      <c r="L1011" s="37">
        <f t="shared" si="60"/>
        <v>0.57267973149961149</v>
      </c>
      <c r="M1011" s="2">
        <f t="shared" si="61"/>
        <v>1229564000</v>
      </c>
      <c r="N1011" s="37">
        <f t="shared" si="62"/>
        <v>0.19955883366650581</v>
      </c>
      <c r="O1011" s="2">
        <f t="shared" si="63"/>
        <v>428460000</v>
      </c>
    </row>
    <row r="1012" spans="1:15" x14ac:dyDescent="0.3">
      <c r="A1012" t="s">
        <v>372</v>
      </c>
      <c r="B1012">
        <v>4</v>
      </c>
      <c r="C1012">
        <v>2016</v>
      </c>
      <c r="D1012" s="1">
        <v>42460</v>
      </c>
      <c r="E1012" s="2">
        <v>2173334000</v>
      </c>
      <c r="F1012" s="2">
        <v>967870000</v>
      </c>
      <c r="G1012" s="2">
        <v>301670000</v>
      </c>
      <c r="H1012" s="2">
        <v>372596000</v>
      </c>
      <c r="I1012" s="2">
        <v>174896000</v>
      </c>
      <c r="J1012" t="s">
        <v>18</v>
      </c>
      <c r="K1012" t="s">
        <v>30</v>
      </c>
      <c r="L1012" s="37">
        <f t="shared" si="60"/>
        <v>0.5546611795517854</v>
      </c>
      <c r="M1012" s="2">
        <f t="shared" si="61"/>
        <v>1205464000</v>
      </c>
      <c r="N1012" s="37">
        <f t="shared" si="62"/>
        <v>0.16394258774767248</v>
      </c>
      <c r="O1012" s="2">
        <f t="shared" si="63"/>
        <v>356302000</v>
      </c>
    </row>
    <row r="1013" spans="1:15" x14ac:dyDescent="0.3">
      <c r="A1013" t="s">
        <v>121</v>
      </c>
      <c r="B1013">
        <v>1</v>
      </c>
      <c r="C1013">
        <v>2013</v>
      </c>
      <c r="D1013" s="1">
        <v>41455</v>
      </c>
      <c r="E1013" s="2">
        <v>101093000000</v>
      </c>
      <c r="F1013" s="2">
        <v>96172000000</v>
      </c>
      <c r="G1013" s="2">
        <v>2875000000</v>
      </c>
      <c r="H1013">
        <v>0</v>
      </c>
      <c r="I1013" s="2">
        <v>158000000</v>
      </c>
      <c r="J1013" t="s">
        <v>21</v>
      </c>
      <c r="K1013" t="s">
        <v>24</v>
      </c>
      <c r="L1013" s="37">
        <f t="shared" si="60"/>
        <v>4.8677950006429715E-2</v>
      </c>
      <c r="M1013" s="2">
        <f t="shared" si="61"/>
        <v>4921000000</v>
      </c>
      <c r="N1013" s="37">
        <f t="shared" si="62"/>
        <v>1.8675872711265865E-2</v>
      </c>
      <c r="O1013" s="2">
        <f t="shared" si="63"/>
        <v>1888000000</v>
      </c>
    </row>
    <row r="1014" spans="1:15" x14ac:dyDescent="0.3">
      <c r="A1014" t="s">
        <v>121</v>
      </c>
      <c r="B1014">
        <v>2</v>
      </c>
      <c r="C1014">
        <v>2014</v>
      </c>
      <c r="D1014" s="1">
        <v>41820</v>
      </c>
      <c r="E1014" s="2">
        <v>91084000000</v>
      </c>
      <c r="F1014" s="2">
        <v>85923000000</v>
      </c>
      <c r="G1014" s="2">
        <v>3028000000</v>
      </c>
      <c r="H1014">
        <v>0</v>
      </c>
      <c r="I1014" s="2">
        <v>223000000</v>
      </c>
      <c r="J1014" t="s">
        <v>21</v>
      </c>
      <c r="K1014" t="s">
        <v>24</v>
      </c>
      <c r="L1014" s="37">
        <f t="shared" si="60"/>
        <v>5.6661982345966311E-2</v>
      </c>
      <c r="M1014" s="2">
        <f t="shared" si="61"/>
        <v>5161000000</v>
      </c>
      <c r="N1014" s="37">
        <f t="shared" si="62"/>
        <v>2.0969654384963329E-2</v>
      </c>
      <c r="O1014" s="2">
        <f t="shared" si="63"/>
        <v>1910000000</v>
      </c>
    </row>
    <row r="1015" spans="1:15" x14ac:dyDescent="0.3">
      <c r="A1015" t="s">
        <v>121</v>
      </c>
      <c r="B1015">
        <v>3</v>
      </c>
      <c r="C1015">
        <v>2015</v>
      </c>
      <c r="D1015" s="1">
        <v>42185</v>
      </c>
      <c r="E1015" s="2">
        <v>102531000000</v>
      </c>
      <c r="F1015" s="2">
        <v>96819000000</v>
      </c>
      <c r="G1015" s="2">
        <v>3240000000</v>
      </c>
      <c r="H1015">
        <v>0</v>
      </c>
      <c r="I1015" s="2">
        <v>281000000</v>
      </c>
      <c r="J1015" t="s">
        <v>21</v>
      </c>
      <c r="K1015" t="s">
        <v>24</v>
      </c>
      <c r="L1015" s="37">
        <f t="shared" si="60"/>
        <v>5.570998039617292E-2</v>
      </c>
      <c r="M1015" s="2">
        <f t="shared" si="61"/>
        <v>5712000000</v>
      </c>
      <c r="N1015" s="37">
        <f t="shared" si="62"/>
        <v>2.1369146892159446E-2</v>
      </c>
      <c r="O1015" s="2">
        <f t="shared" si="63"/>
        <v>2191000000</v>
      </c>
    </row>
    <row r="1016" spans="1:15" x14ac:dyDescent="0.3">
      <c r="A1016" t="s">
        <v>121</v>
      </c>
      <c r="B1016">
        <v>4</v>
      </c>
      <c r="C1016">
        <v>2016</v>
      </c>
      <c r="D1016" s="1">
        <v>42551</v>
      </c>
      <c r="E1016" s="2">
        <v>121546000000</v>
      </c>
      <c r="F1016" s="2">
        <v>115003000000</v>
      </c>
      <c r="G1016" s="2">
        <v>3648000000</v>
      </c>
      <c r="H1016">
        <v>0</v>
      </c>
      <c r="I1016" s="2">
        <v>459000000</v>
      </c>
      <c r="J1016" t="s">
        <v>21</v>
      </c>
      <c r="K1016" t="s">
        <v>24</v>
      </c>
      <c r="L1016" s="37">
        <f t="shared" si="60"/>
        <v>5.3831471212545057E-2</v>
      </c>
      <c r="M1016" s="2">
        <f t="shared" si="61"/>
        <v>6543000000</v>
      </c>
      <c r="N1016" s="37">
        <f t="shared" si="62"/>
        <v>2.004179487601402E-2</v>
      </c>
      <c r="O1016" s="2">
        <f t="shared" si="63"/>
        <v>2436000000</v>
      </c>
    </row>
    <row r="1017" spans="1:15" x14ac:dyDescent="0.3">
      <c r="A1017" t="s">
        <v>130</v>
      </c>
      <c r="B1017">
        <v>1</v>
      </c>
      <c r="C1017">
        <v>2013</v>
      </c>
      <c r="D1017" s="1">
        <v>41639</v>
      </c>
      <c r="E1017" s="2">
        <v>6493900000</v>
      </c>
      <c r="F1017" s="2">
        <v>340400000</v>
      </c>
      <c r="G1017" s="2">
        <v>1684500000</v>
      </c>
      <c r="H1017" s="2">
        <v>2226200000</v>
      </c>
      <c r="I1017" s="2">
        <v>262800000</v>
      </c>
      <c r="J1017" t="s">
        <v>21</v>
      </c>
      <c r="K1017" t="s">
        <v>62</v>
      </c>
      <c r="L1017" s="37">
        <f t="shared" si="60"/>
        <v>0.94758157655646069</v>
      </c>
      <c r="M1017" s="2">
        <f t="shared" si="61"/>
        <v>6153500000</v>
      </c>
      <c r="N1017" s="37">
        <f t="shared" si="62"/>
        <v>0.30490152296770817</v>
      </c>
      <c r="O1017" s="2">
        <f t="shared" si="63"/>
        <v>1980000000</v>
      </c>
    </row>
    <row r="1018" spans="1:15" x14ac:dyDescent="0.3">
      <c r="A1018" t="s">
        <v>130</v>
      </c>
      <c r="B1018">
        <v>2</v>
      </c>
      <c r="C1018">
        <v>2014</v>
      </c>
      <c r="D1018" s="1">
        <v>42004</v>
      </c>
      <c r="E1018" s="2">
        <v>7670400000</v>
      </c>
      <c r="F1018" s="2">
        <v>385900000</v>
      </c>
      <c r="G1018" s="2">
        <v>2027900000</v>
      </c>
      <c r="H1018" s="2">
        <v>2430600000</v>
      </c>
      <c r="I1018" s="2">
        <v>258300000</v>
      </c>
      <c r="J1018" t="s">
        <v>21</v>
      </c>
      <c r="K1018" t="s">
        <v>62</v>
      </c>
      <c r="L1018" s="37">
        <f t="shared" si="60"/>
        <v>0.94968971631205679</v>
      </c>
      <c r="M1018" s="2">
        <f t="shared" si="61"/>
        <v>7284500000</v>
      </c>
      <c r="N1018" s="37">
        <f t="shared" si="62"/>
        <v>0.33475438047559447</v>
      </c>
      <c r="O1018" s="2">
        <f t="shared" si="63"/>
        <v>2567700000</v>
      </c>
    </row>
    <row r="1019" spans="1:15" x14ac:dyDescent="0.3">
      <c r="A1019" t="s">
        <v>130</v>
      </c>
      <c r="B1019">
        <v>3</v>
      </c>
      <c r="C1019">
        <v>2015</v>
      </c>
      <c r="D1019" s="1">
        <v>42369</v>
      </c>
      <c r="E1019" s="2">
        <v>9256000000</v>
      </c>
      <c r="F1019" s="2">
        <v>420100000</v>
      </c>
      <c r="G1019" s="2">
        <v>2305400000</v>
      </c>
      <c r="H1019" s="2">
        <v>3697300000</v>
      </c>
      <c r="I1019" s="2">
        <v>279000000</v>
      </c>
      <c r="J1019" t="s">
        <v>21</v>
      </c>
      <c r="K1019" t="s">
        <v>62</v>
      </c>
      <c r="L1019" s="37">
        <f t="shared" si="60"/>
        <v>0.95461322385479686</v>
      </c>
      <c r="M1019" s="2">
        <f t="shared" si="61"/>
        <v>8835900000</v>
      </c>
      <c r="N1019" s="37">
        <f t="shared" si="62"/>
        <v>0.27595073465859982</v>
      </c>
      <c r="O1019" s="2">
        <f t="shared" si="63"/>
        <v>2554200000</v>
      </c>
    </row>
    <row r="1020" spans="1:15" x14ac:dyDescent="0.3">
      <c r="A1020" t="s">
        <v>130</v>
      </c>
      <c r="B1020">
        <v>4</v>
      </c>
      <c r="C1020">
        <v>2016</v>
      </c>
      <c r="D1020" s="1">
        <v>42735</v>
      </c>
      <c r="E1020" s="2">
        <v>11229200000</v>
      </c>
      <c r="F1020" s="2">
        <v>438000000</v>
      </c>
      <c r="G1020" s="2">
        <v>2657700000</v>
      </c>
      <c r="H1020" s="2">
        <v>4470100000</v>
      </c>
      <c r="I1020" s="2">
        <v>459000000</v>
      </c>
      <c r="J1020" t="s">
        <v>21</v>
      </c>
      <c r="K1020" t="s">
        <v>62</v>
      </c>
      <c r="L1020" s="37">
        <f t="shared" si="60"/>
        <v>0.96099454992341393</v>
      </c>
      <c r="M1020" s="2">
        <f t="shared" si="61"/>
        <v>10791200000</v>
      </c>
      <c r="N1020" s="37">
        <f t="shared" si="62"/>
        <v>0.28536316033199161</v>
      </c>
      <c r="O1020" s="2">
        <f t="shared" si="63"/>
        <v>3204400000</v>
      </c>
    </row>
    <row r="1021" spans="1:15" x14ac:dyDescent="0.3">
      <c r="A1021" t="s">
        <v>376</v>
      </c>
      <c r="B1021">
        <v>1</v>
      </c>
      <c r="C1021">
        <v>2012</v>
      </c>
      <c r="D1021" s="1">
        <v>41274</v>
      </c>
      <c r="E1021" s="2">
        <v>35015000000</v>
      </c>
      <c r="F1021" s="2">
        <v>21939000000</v>
      </c>
      <c r="G1021" s="2">
        <v>9176000000</v>
      </c>
      <c r="H1021">
        <v>0</v>
      </c>
      <c r="I1021" s="2">
        <v>217000000</v>
      </c>
      <c r="J1021" t="s">
        <v>32</v>
      </c>
      <c r="K1021" t="s">
        <v>120</v>
      </c>
      <c r="L1021" s="37">
        <f t="shared" si="60"/>
        <v>0.37343995430529775</v>
      </c>
      <c r="M1021" s="2">
        <f t="shared" si="61"/>
        <v>13076000000</v>
      </c>
      <c r="N1021" s="37">
        <f t="shared" si="62"/>
        <v>0.1051834927888048</v>
      </c>
      <c r="O1021" s="2">
        <f t="shared" si="63"/>
        <v>3683000000</v>
      </c>
    </row>
    <row r="1022" spans="1:15" x14ac:dyDescent="0.3">
      <c r="A1022" t="s">
        <v>376</v>
      </c>
      <c r="B1022">
        <v>2</v>
      </c>
      <c r="C1022">
        <v>2013</v>
      </c>
      <c r="D1022" s="1">
        <v>41639</v>
      </c>
      <c r="E1022" s="2">
        <v>35299000000</v>
      </c>
      <c r="F1022" s="2">
        <v>22189000000</v>
      </c>
      <c r="G1022" s="2">
        <v>8679000000</v>
      </c>
      <c r="H1022">
        <v>0</v>
      </c>
      <c r="I1022" s="2">
        <v>217000000</v>
      </c>
      <c r="J1022" t="s">
        <v>32</v>
      </c>
      <c r="K1022" t="s">
        <v>120</v>
      </c>
      <c r="L1022" s="37">
        <f t="shared" si="60"/>
        <v>0.37139862319045869</v>
      </c>
      <c r="M1022" s="2">
        <f t="shared" si="61"/>
        <v>13110000000</v>
      </c>
      <c r="N1022" s="37">
        <f t="shared" si="62"/>
        <v>0.11938015241224964</v>
      </c>
      <c r="O1022" s="2">
        <f t="shared" si="63"/>
        <v>4214000000</v>
      </c>
    </row>
    <row r="1023" spans="1:15" x14ac:dyDescent="0.3">
      <c r="A1023" t="s">
        <v>376</v>
      </c>
      <c r="B1023">
        <v>3</v>
      </c>
      <c r="C1023">
        <v>2014</v>
      </c>
      <c r="D1023" s="1">
        <v>42004</v>
      </c>
      <c r="E1023" s="2">
        <v>34244000000</v>
      </c>
      <c r="F1023" s="2">
        <v>21647000000</v>
      </c>
      <c r="G1023" s="2">
        <v>8457000000</v>
      </c>
      <c r="H1023">
        <v>0</v>
      </c>
      <c r="I1023" s="2">
        <v>206000000</v>
      </c>
      <c r="J1023" t="s">
        <v>32</v>
      </c>
      <c r="K1023" t="s">
        <v>120</v>
      </c>
      <c r="L1023" s="37">
        <f t="shared" si="60"/>
        <v>0.36786006307674335</v>
      </c>
      <c r="M1023" s="2">
        <f t="shared" si="61"/>
        <v>12597000000</v>
      </c>
      <c r="N1023" s="37">
        <f t="shared" si="62"/>
        <v>0.11488143908421913</v>
      </c>
      <c r="O1023" s="2">
        <f t="shared" si="63"/>
        <v>3934000000</v>
      </c>
    </row>
    <row r="1024" spans="1:15" x14ac:dyDescent="0.3">
      <c r="A1024" t="s">
        <v>376</v>
      </c>
      <c r="B1024">
        <v>4</v>
      </c>
      <c r="C1024">
        <v>2015</v>
      </c>
      <c r="D1024" s="1">
        <v>42369</v>
      </c>
      <c r="E1024" s="2">
        <v>29636000000</v>
      </c>
      <c r="F1024" s="2">
        <v>18124000000</v>
      </c>
      <c r="G1024" s="2">
        <v>7577000000</v>
      </c>
      <c r="H1024">
        <v>0</v>
      </c>
      <c r="I1024" s="2">
        <v>181000000</v>
      </c>
      <c r="J1024" t="s">
        <v>32</v>
      </c>
      <c r="K1024" t="s">
        <v>120</v>
      </c>
      <c r="L1024" s="37">
        <f t="shared" si="60"/>
        <v>0.38844648400593873</v>
      </c>
      <c r="M1024" s="2">
        <f t="shared" si="61"/>
        <v>11512000000</v>
      </c>
      <c r="N1024" s="37">
        <f t="shared" si="62"/>
        <v>0.12667026589283303</v>
      </c>
      <c r="O1024" s="2">
        <f t="shared" si="63"/>
        <v>3754000000</v>
      </c>
    </row>
    <row r="1025" spans="1:15" x14ac:dyDescent="0.3">
      <c r="A1025" t="s">
        <v>131</v>
      </c>
      <c r="B1025">
        <v>1</v>
      </c>
      <c r="C1025">
        <v>2013</v>
      </c>
      <c r="D1025" s="1">
        <v>41636</v>
      </c>
      <c r="E1025" s="2">
        <v>2910748000</v>
      </c>
      <c r="F1025" s="2">
        <v>514722000</v>
      </c>
      <c r="G1025" s="2">
        <v>1468434000</v>
      </c>
      <c r="H1025" s="2">
        <v>338786000</v>
      </c>
      <c r="I1025" s="2">
        <v>12794000</v>
      </c>
      <c r="J1025" t="s">
        <v>21</v>
      </c>
      <c r="K1025" t="s">
        <v>132</v>
      </c>
      <c r="L1025" s="37">
        <f t="shared" si="60"/>
        <v>0.82316504211288644</v>
      </c>
      <c r="M1025" s="2">
        <f t="shared" si="61"/>
        <v>2396026000</v>
      </c>
      <c r="N1025" s="37">
        <f t="shared" si="62"/>
        <v>0.19789140111064235</v>
      </c>
      <c r="O1025" s="2">
        <f t="shared" si="63"/>
        <v>576012000</v>
      </c>
    </row>
    <row r="1026" spans="1:15" x14ac:dyDescent="0.3">
      <c r="A1026" t="s">
        <v>131</v>
      </c>
      <c r="B1026">
        <v>2</v>
      </c>
      <c r="C1026">
        <v>2015</v>
      </c>
      <c r="D1026" s="1">
        <v>42007</v>
      </c>
      <c r="E1026" s="2">
        <v>3402703000</v>
      </c>
      <c r="F1026" s="2">
        <v>604377000</v>
      </c>
      <c r="G1026" s="2">
        <v>1628961000</v>
      </c>
      <c r="H1026" s="2">
        <v>392805000</v>
      </c>
      <c r="I1026" s="2">
        <v>13476000</v>
      </c>
      <c r="J1026" t="s">
        <v>21</v>
      </c>
      <c r="K1026" t="s">
        <v>132</v>
      </c>
      <c r="L1026" s="37">
        <f t="shared" ref="L1026:L1089" si="64">1-(F1026/E1026)</f>
        <v>0.82238326412854723</v>
      </c>
      <c r="M1026" s="2">
        <f t="shared" ref="M1026:M1089" si="65">E1026-F1026</f>
        <v>2798326000</v>
      </c>
      <c r="N1026" s="37">
        <f t="shared" ref="N1026:N1089" si="66">O1026/E1026</f>
        <v>0.22425818533089723</v>
      </c>
      <c r="O1026" s="2">
        <f t="shared" ref="O1026:O1089" si="67">M1026-SUM(G1026:I1026)</f>
        <v>763084000</v>
      </c>
    </row>
    <row r="1027" spans="1:15" x14ac:dyDescent="0.3">
      <c r="A1027" t="s">
        <v>131</v>
      </c>
      <c r="B1027">
        <v>3</v>
      </c>
      <c r="C1027">
        <v>2016</v>
      </c>
      <c r="D1027" s="1">
        <v>42371</v>
      </c>
      <c r="E1027" s="2">
        <v>4425267000</v>
      </c>
      <c r="F1027" s="2">
        <v>750781000</v>
      </c>
      <c r="G1027" s="2">
        <v>2262024000</v>
      </c>
      <c r="H1027" s="2">
        <v>539799000</v>
      </c>
      <c r="I1027" s="2">
        <v>91527000</v>
      </c>
      <c r="J1027" t="s">
        <v>21</v>
      </c>
      <c r="K1027" t="s">
        <v>132</v>
      </c>
      <c r="L1027" s="37">
        <f t="shared" si="64"/>
        <v>0.83034221437938094</v>
      </c>
      <c r="M1027" s="2">
        <f t="shared" si="65"/>
        <v>3674486000</v>
      </c>
      <c r="N1027" s="37">
        <f t="shared" si="66"/>
        <v>0.17651725873263693</v>
      </c>
      <c r="O1027" s="2">
        <f t="shared" si="67"/>
        <v>781136000</v>
      </c>
    </row>
    <row r="1028" spans="1:15" x14ac:dyDescent="0.3">
      <c r="A1028" t="s">
        <v>131</v>
      </c>
      <c r="B1028">
        <v>4</v>
      </c>
      <c r="C1028">
        <v>2016</v>
      </c>
      <c r="D1028" s="1">
        <v>42735</v>
      </c>
      <c r="E1028" s="2">
        <v>4796473000</v>
      </c>
      <c r="F1028" s="2">
        <v>779116000</v>
      </c>
      <c r="G1028" s="2">
        <v>2464380000</v>
      </c>
      <c r="H1028" s="2">
        <v>551418000</v>
      </c>
      <c r="I1028" s="2">
        <v>90546000</v>
      </c>
      <c r="J1028" t="s">
        <v>21</v>
      </c>
      <c r="K1028" t="s">
        <v>132</v>
      </c>
      <c r="L1028" s="37">
        <f t="shared" si="64"/>
        <v>0.8375648106431538</v>
      </c>
      <c r="M1028" s="2">
        <f t="shared" si="65"/>
        <v>4017357000</v>
      </c>
      <c r="N1028" s="37">
        <f t="shared" si="66"/>
        <v>0.18993393687403223</v>
      </c>
      <c r="O1028" s="2">
        <f t="shared" si="67"/>
        <v>911013000</v>
      </c>
    </row>
    <row r="1029" spans="1:15" x14ac:dyDescent="0.3">
      <c r="A1029" t="s">
        <v>378</v>
      </c>
      <c r="B1029">
        <v>1</v>
      </c>
      <c r="C1029">
        <v>2012</v>
      </c>
      <c r="D1029" s="1">
        <v>41274</v>
      </c>
      <c r="E1029" s="2">
        <v>5787980000</v>
      </c>
      <c r="F1029" s="2">
        <v>4297922000</v>
      </c>
      <c r="G1029" s="2">
        <v>1110550000</v>
      </c>
      <c r="H1029">
        <v>0</v>
      </c>
      <c r="I1029">
        <v>0</v>
      </c>
      <c r="J1029" t="s">
        <v>15</v>
      </c>
      <c r="K1029" t="s">
        <v>379</v>
      </c>
      <c r="L1029" s="37">
        <f t="shared" si="64"/>
        <v>0.25744007408456837</v>
      </c>
      <c r="M1029" s="2">
        <f t="shared" si="65"/>
        <v>1490058000</v>
      </c>
      <c r="N1029" s="37">
        <f t="shared" si="66"/>
        <v>6.5568298439179121E-2</v>
      </c>
      <c r="O1029" s="2">
        <f t="shared" si="67"/>
        <v>379508000</v>
      </c>
    </row>
    <row r="1030" spans="1:15" x14ac:dyDescent="0.3">
      <c r="A1030" t="s">
        <v>378</v>
      </c>
      <c r="B1030">
        <v>2</v>
      </c>
      <c r="C1030">
        <v>2013</v>
      </c>
      <c r="D1030" s="1">
        <v>41639</v>
      </c>
      <c r="E1030" s="2">
        <v>7348754000</v>
      </c>
      <c r="F1030" s="2">
        <v>5427945000</v>
      </c>
      <c r="G1030" s="2">
        <v>1373878000</v>
      </c>
      <c r="H1030">
        <v>0</v>
      </c>
      <c r="I1030">
        <v>0</v>
      </c>
      <c r="J1030" t="s">
        <v>15</v>
      </c>
      <c r="K1030" t="s">
        <v>379</v>
      </c>
      <c r="L1030" s="37">
        <f t="shared" si="64"/>
        <v>0.26137886776452168</v>
      </c>
      <c r="M1030" s="2">
        <f t="shared" si="65"/>
        <v>1920809000</v>
      </c>
      <c r="N1030" s="37">
        <f t="shared" si="66"/>
        <v>7.4424997761525294E-2</v>
      </c>
      <c r="O1030" s="2">
        <f t="shared" si="67"/>
        <v>546931000</v>
      </c>
    </row>
    <row r="1031" spans="1:15" x14ac:dyDescent="0.3">
      <c r="A1031" t="s">
        <v>378</v>
      </c>
      <c r="B1031">
        <v>3</v>
      </c>
      <c r="C1031">
        <v>2014</v>
      </c>
      <c r="D1031" s="1">
        <v>42004</v>
      </c>
      <c r="E1031" s="2">
        <v>7803446000</v>
      </c>
      <c r="F1031" s="2">
        <v>5649254000</v>
      </c>
      <c r="G1031" s="2">
        <v>1381396000</v>
      </c>
      <c r="H1031">
        <v>0</v>
      </c>
      <c r="I1031">
        <v>0</v>
      </c>
      <c r="J1031" t="s">
        <v>15</v>
      </c>
      <c r="K1031" t="s">
        <v>379</v>
      </c>
      <c r="L1031" s="37">
        <f t="shared" si="64"/>
        <v>0.27605650119190928</v>
      </c>
      <c r="M1031" s="2">
        <f t="shared" si="65"/>
        <v>2154192000</v>
      </c>
      <c r="N1031" s="37">
        <f t="shared" si="66"/>
        <v>9.9032658135905602E-2</v>
      </c>
      <c r="O1031" s="2">
        <f t="shared" si="67"/>
        <v>772796000</v>
      </c>
    </row>
    <row r="1032" spans="1:15" x14ac:dyDescent="0.3">
      <c r="A1032" t="s">
        <v>378</v>
      </c>
      <c r="B1032">
        <v>4</v>
      </c>
      <c r="C1032">
        <v>2015</v>
      </c>
      <c r="D1032" s="1">
        <v>42369</v>
      </c>
      <c r="E1032" s="2">
        <v>8071563000</v>
      </c>
      <c r="F1032" s="2">
        <v>5660877000</v>
      </c>
      <c r="G1032" s="2">
        <v>1573120000</v>
      </c>
      <c r="H1032">
        <v>0</v>
      </c>
      <c r="I1032">
        <v>0</v>
      </c>
      <c r="J1032" t="s">
        <v>15</v>
      </c>
      <c r="K1032" t="s">
        <v>379</v>
      </c>
      <c r="L1032" s="37">
        <f t="shared" si="64"/>
        <v>0.29866408773616704</v>
      </c>
      <c r="M1032" s="2">
        <f t="shared" si="65"/>
        <v>2410686000</v>
      </c>
      <c r="N1032" s="37">
        <f t="shared" si="66"/>
        <v>0.10376751070393678</v>
      </c>
      <c r="O1032" s="2">
        <f t="shared" si="67"/>
        <v>837566000</v>
      </c>
    </row>
    <row r="1033" spans="1:15" x14ac:dyDescent="0.3">
      <c r="A1033" t="s">
        <v>380</v>
      </c>
      <c r="B1033">
        <v>1</v>
      </c>
      <c r="C1033">
        <v>2012</v>
      </c>
      <c r="D1033" s="1">
        <v>41274</v>
      </c>
      <c r="E1033" s="2">
        <v>3901300000</v>
      </c>
      <c r="F1033" s="2">
        <v>1503800000</v>
      </c>
      <c r="G1033" s="2">
        <v>1457300000</v>
      </c>
      <c r="H1033" s="2">
        <v>100100000</v>
      </c>
      <c r="I1033">
        <v>0</v>
      </c>
      <c r="J1033" t="s">
        <v>32</v>
      </c>
      <c r="K1033" t="s">
        <v>120</v>
      </c>
      <c r="L1033" s="37">
        <f t="shared" si="64"/>
        <v>0.61453874349575788</v>
      </c>
      <c r="M1033" s="2">
        <f t="shared" si="65"/>
        <v>2397500000</v>
      </c>
      <c r="N1033" s="37">
        <f t="shared" si="66"/>
        <v>0.21533847691795044</v>
      </c>
      <c r="O1033" s="2">
        <f t="shared" si="67"/>
        <v>840100000</v>
      </c>
    </row>
    <row r="1034" spans="1:15" x14ac:dyDescent="0.3">
      <c r="A1034" t="s">
        <v>380</v>
      </c>
      <c r="B1034">
        <v>2</v>
      </c>
      <c r="C1034">
        <v>2013</v>
      </c>
      <c r="D1034" s="1">
        <v>41639</v>
      </c>
      <c r="E1034" s="2">
        <v>4200700000</v>
      </c>
      <c r="F1034" s="2">
        <v>1528500000</v>
      </c>
      <c r="G1034" s="2">
        <v>1548600000</v>
      </c>
      <c r="H1034" s="2">
        <v>100200000</v>
      </c>
      <c r="I1034">
        <v>0</v>
      </c>
      <c r="J1034" t="s">
        <v>32</v>
      </c>
      <c r="K1034" t="s">
        <v>120</v>
      </c>
      <c r="L1034" s="37">
        <f t="shared" si="64"/>
        <v>0.63613207322589094</v>
      </c>
      <c r="M1034" s="2">
        <f t="shared" si="65"/>
        <v>2672200000</v>
      </c>
      <c r="N1034" s="37">
        <f t="shared" si="66"/>
        <v>0.24362606232294617</v>
      </c>
      <c r="O1034" s="2">
        <f t="shared" si="67"/>
        <v>1023400000</v>
      </c>
    </row>
    <row r="1035" spans="1:15" x14ac:dyDescent="0.3">
      <c r="A1035" t="s">
        <v>380</v>
      </c>
      <c r="B1035">
        <v>3</v>
      </c>
      <c r="C1035">
        <v>2014</v>
      </c>
      <c r="D1035" s="1">
        <v>42004</v>
      </c>
      <c r="E1035" s="2">
        <v>4409300000</v>
      </c>
      <c r="F1035" s="2">
        <v>1700600000</v>
      </c>
      <c r="G1035" s="2">
        <v>1617600000</v>
      </c>
      <c r="H1035" s="2">
        <v>115100000</v>
      </c>
      <c r="I1035">
        <v>0</v>
      </c>
      <c r="J1035" t="s">
        <v>32</v>
      </c>
      <c r="K1035" t="s">
        <v>120</v>
      </c>
      <c r="L1035" s="37">
        <f t="shared" si="64"/>
        <v>0.61431519742362739</v>
      </c>
      <c r="M1035" s="2">
        <f t="shared" si="65"/>
        <v>2708700000</v>
      </c>
      <c r="N1035" s="37">
        <f t="shared" si="66"/>
        <v>0.22135032771641758</v>
      </c>
      <c r="O1035" s="2">
        <f t="shared" si="67"/>
        <v>976000000</v>
      </c>
    </row>
    <row r="1036" spans="1:15" x14ac:dyDescent="0.3">
      <c r="A1036" t="s">
        <v>380</v>
      </c>
      <c r="B1036">
        <v>4</v>
      </c>
      <c r="C1036">
        <v>2015</v>
      </c>
      <c r="D1036" s="1">
        <v>42369</v>
      </c>
      <c r="E1036" s="2">
        <v>4071300000</v>
      </c>
      <c r="F1036" s="2">
        <v>1455300000</v>
      </c>
      <c r="G1036" s="2">
        <v>1532400000</v>
      </c>
      <c r="H1036" s="2">
        <v>108400000</v>
      </c>
      <c r="I1036">
        <v>0</v>
      </c>
      <c r="J1036" t="s">
        <v>32</v>
      </c>
      <c r="K1036" t="s">
        <v>120</v>
      </c>
      <c r="L1036" s="37">
        <f t="shared" si="64"/>
        <v>0.64254660673494945</v>
      </c>
      <c r="M1036" s="2">
        <f t="shared" si="65"/>
        <v>2616000000</v>
      </c>
      <c r="N1036" s="37">
        <f t="shared" si="66"/>
        <v>0.23953037113452705</v>
      </c>
      <c r="O1036" s="2">
        <f t="shared" si="67"/>
        <v>975200000</v>
      </c>
    </row>
    <row r="1037" spans="1:15" x14ac:dyDescent="0.3">
      <c r="A1037" t="s">
        <v>381</v>
      </c>
      <c r="B1037">
        <v>1</v>
      </c>
      <c r="C1037">
        <v>2013</v>
      </c>
      <c r="D1037" s="1">
        <v>41608</v>
      </c>
      <c r="E1037" s="2">
        <v>4123400000</v>
      </c>
      <c r="F1037" s="2">
        <v>2457600000</v>
      </c>
      <c r="G1037" s="2">
        <v>1090300000</v>
      </c>
      <c r="H1037">
        <v>0</v>
      </c>
      <c r="I1037">
        <v>0</v>
      </c>
      <c r="J1037" t="s">
        <v>32</v>
      </c>
      <c r="K1037" t="s">
        <v>120</v>
      </c>
      <c r="L1037" s="37">
        <f t="shared" si="64"/>
        <v>0.40398700101857687</v>
      </c>
      <c r="M1037" s="2">
        <f t="shared" si="65"/>
        <v>1665800000</v>
      </c>
      <c r="N1037" s="37">
        <f t="shared" si="66"/>
        <v>0.13956928748120484</v>
      </c>
      <c r="O1037" s="2">
        <f t="shared" si="67"/>
        <v>575500000</v>
      </c>
    </row>
    <row r="1038" spans="1:15" x14ac:dyDescent="0.3">
      <c r="A1038" t="s">
        <v>381</v>
      </c>
      <c r="B1038">
        <v>2</v>
      </c>
      <c r="C1038">
        <v>2014</v>
      </c>
      <c r="D1038" s="1">
        <v>41973</v>
      </c>
      <c r="E1038" s="2">
        <v>4243200000</v>
      </c>
      <c r="F1038" s="2">
        <v>2513000000</v>
      </c>
      <c r="G1038" s="2">
        <v>1122000000</v>
      </c>
      <c r="H1038">
        <v>0</v>
      </c>
      <c r="I1038">
        <v>0</v>
      </c>
      <c r="J1038" t="s">
        <v>32</v>
      </c>
      <c r="K1038" t="s">
        <v>120</v>
      </c>
      <c r="L1038" s="37">
        <f t="shared" si="64"/>
        <v>0.40775829562594268</v>
      </c>
      <c r="M1038" s="2">
        <f t="shared" si="65"/>
        <v>1730200000</v>
      </c>
      <c r="N1038" s="37">
        <f t="shared" si="66"/>
        <v>0.14333521870286575</v>
      </c>
      <c r="O1038" s="2">
        <f t="shared" si="67"/>
        <v>608200000</v>
      </c>
    </row>
    <row r="1039" spans="1:15" x14ac:dyDescent="0.3">
      <c r="A1039" t="s">
        <v>381</v>
      </c>
      <c r="B1039">
        <v>3</v>
      </c>
      <c r="C1039">
        <v>2015</v>
      </c>
      <c r="D1039" s="1">
        <v>42338</v>
      </c>
      <c r="E1039" s="2">
        <v>4296300000</v>
      </c>
      <c r="F1039" s="2">
        <v>2559000000</v>
      </c>
      <c r="G1039" s="2">
        <v>1127400000</v>
      </c>
      <c r="H1039">
        <v>0</v>
      </c>
      <c r="I1039">
        <v>0</v>
      </c>
      <c r="J1039" t="s">
        <v>32</v>
      </c>
      <c r="K1039" t="s">
        <v>120</v>
      </c>
      <c r="L1039" s="37">
        <f t="shared" si="64"/>
        <v>0.40437120312827313</v>
      </c>
      <c r="M1039" s="2">
        <f t="shared" si="65"/>
        <v>1737300000</v>
      </c>
      <c r="N1039" s="37">
        <f t="shared" si="66"/>
        <v>0.14195936037986173</v>
      </c>
      <c r="O1039" s="2">
        <f t="shared" si="67"/>
        <v>609900000</v>
      </c>
    </row>
    <row r="1040" spans="1:15" x14ac:dyDescent="0.3">
      <c r="A1040" t="s">
        <v>381</v>
      </c>
      <c r="B1040">
        <v>4</v>
      </c>
      <c r="C1040">
        <v>2016</v>
      </c>
      <c r="D1040" s="1">
        <v>42704</v>
      </c>
      <c r="E1040" s="2">
        <v>4411500000</v>
      </c>
      <c r="F1040" s="2">
        <v>2579800000</v>
      </c>
      <c r="G1040" s="2">
        <v>1175000000</v>
      </c>
      <c r="H1040">
        <v>0</v>
      </c>
      <c r="I1040">
        <v>0</v>
      </c>
      <c r="J1040" t="s">
        <v>32</v>
      </c>
      <c r="K1040" t="s">
        <v>120</v>
      </c>
      <c r="L1040" s="37">
        <f t="shared" si="64"/>
        <v>0.4152102459480902</v>
      </c>
      <c r="M1040" s="2">
        <f t="shared" si="65"/>
        <v>1831700000</v>
      </c>
      <c r="N1040" s="37">
        <f t="shared" si="66"/>
        <v>0.14886093165589936</v>
      </c>
      <c r="O1040" s="2">
        <f t="shared" si="67"/>
        <v>656700000</v>
      </c>
    </row>
    <row r="1041" spans="1:15" x14ac:dyDescent="0.3">
      <c r="A1041" t="s">
        <v>382</v>
      </c>
      <c r="B1041">
        <v>1</v>
      </c>
      <c r="C1041">
        <v>2012</v>
      </c>
      <c r="D1041" s="1">
        <v>41274</v>
      </c>
      <c r="E1041" s="2">
        <v>2031901000</v>
      </c>
      <c r="F1041" s="2">
        <v>1704767000</v>
      </c>
      <c r="G1041" s="2">
        <v>135824000</v>
      </c>
      <c r="H1041">
        <v>0</v>
      </c>
      <c r="I1041">
        <v>0</v>
      </c>
      <c r="J1041" t="s">
        <v>55</v>
      </c>
      <c r="K1041" t="s">
        <v>383</v>
      </c>
      <c r="L1041" s="37">
        <f t="shared" si="64"/>
        <v>0.16099898567892823</v>
      </c>
      <c r="M1041" s="2">
        <f t="shared" si="65"/>
        <v>327134000</v>
      </c>
      <c r="N1041" s="37">
        <f t="shared" si="66"/>
        <v>9.4153209236079907E-2</v>
      </c>
      <c r="O1041" s="2">
        <f t="shared" si="67"/>
        <v>191310000</v>
      </c>
    </row>
    <row r="1042" spans="1:15" x14ac:dyDescent="0.3">
      <c r="A1042" t="s">
        <v>382</v>
      </c>
      <c r="B1042">
        <v>2</v>
      </c>
      <c r="C1042">
        <v>2013</v>
      </c>
      <c r="D1042" s="1">
        <v>41639</v>
      </c>
      <c r="E1042" s="2">
        <v>2155551000</v>
      </c>
      <c r="F1042" s="2">
        <v>1791594000</v>
      </c>
      <c r="G1042" s="2">
        <v>145298000</v>
      </c>
      <c r="H1042">
        <v>0</v>
      </c>
      <c r="I1042">
        <v>0</v>
      </c>
      <c r="J1042" t="s">
        <v>55</v>
      </c>
      <c r="K1042" t="s">
        <v>383</v>
      </c>
      <c r="L1042" s="37">
        <f t="shared" si="64"/>
        <v>0.16884638776813909</v>
      </c>
      <c r="M1042" s="2">
        <f t="shared" si="65"/>
        <v>363957000</v>
      </c>
      <c r="N1042" s="37">
        <f t="shared" si="66"/>
        <v>0.10143995665145478</v>
      </c>
      <c r="O1042" s="2">
        <f t="shared" si="67"/>
        <v>218659000</v>
      </c>
    </row>
    <row r="1043" spans="1:15" x14ac:dyDescent="0.3">
      <c r="A1043" t="s">
        <v>382</v>
      </c>
      <c r="B1043">
        <v>3</v>
      </c>
      <c r="C1043">
        <v>2014</v>
      </c>
      <c r="D1043" s="1">
        <v>42004</v>
      </c>
      <c r="E1043" s="2">
        <v>2957951000</v>
      </c>
      <c r="F1043" s="2">
        <v>2435591000</v>
      </c>
      <c r="G1043" s="2">
        <v>164596000</v>
      </c>
      <c r="H1043">
        <v>0</v>
      </c>
      <c r="I1043">
        <v>0</v>
      </c>
      <c r="J1043" t="s">
        <v>55</v>
      </c>
      <c r="K1043" t="s">
        <v>383</v>
      </c>
      <c r="L1043" s="37">
        <f t="shared" si="64"/>
        <v>0.17659521743260786</v>
      </c>
      <c r="M1043" s="2">
        <f t="shared" si="65"/>
        <v>522360000</v>
      </c>
      <c r="N1043" s="37">
        <f t="shared" si="66"/>
        <v>0.12094994136143566</v>
      </c>
      <c r="O1043" s="2">
        <f t="shared" si="67"/>
        <v>357764000</v>
      </c>
    </row>
    <row r="1044" spans="1:15" x14ac:dyDescent="0.3">
      <c r="A1044" t="s">
        <v>382</v>
      </c>
      <c r="B1044">
        <v>4</v>
      </c>
      <c r="C1044">
        <v>2015</v>
      </c>
      <c r="D1044" s="1">
        <v>42369</v>
      </c>
      <c r="E1044" s="2">
        <v>3539570000</v>
      </c>
      <c r="F1044" s="2">
        <v>2817803000</v>
      </c>
      <c r="G1044" s="2">
        <v>233887000</v>
      </c>
      <c r="H1044">
        <v>0</v>
      </c>
      <c r="I1044">
        <v>0</v>
      </c>
      <c r="J1044" t="s">
        <v>55</v>
      </c>
      <c r="K1044" t="s">
        <v>383</v>
      </c>
      <c r="L1044" s="37">
        <f t="shared" si="64"/>
        <v>0.20391375223544106</v>
      </c>
      <c r="M1044" s="2">
        <f t="shared" si="65"/>
        <v>721767000</v>
      </c>
      <c r="N1044" s="37">
        <f t="shared" si="66"/>
        <v>0.13783595182465666</v>
      </c>
      <c r="O1044" s="2">
        <f t="shared" si="67"/>
        <v>487880000</v>
      </c>
    </row>
    <row r="1045" spans="1:15" x14ac:dyDescent="0.3">
      <c r="A1045" t="s">
        <v>145</v>
      </c>
      <c r="B1045">
        <v>1</v>
      </c>
      <c r="C1045">
        <v>2012</v>
      </c>
      <c r="D1045" s="1">
        <v>41274</v>
      </c>
      <c r="E1045" s="2">
        <v>29119000000</v>
      </c>
      <c r="F1045" s="2">
        <v>17900000000</v>
      </c>
      <c r="G1045">
        <v>0</v>
      </c>
      <c r="H1045">
        <v>0</v>
      </c>
      <c r="I1045" s="2">
        <v>8742000000</v>
      </c>
      <c r="J1045" t="s">
        <v>21</v>
      </c>
      <c r="K1045" t="s">
        <v>77</v>
      </c>
      <c r="L1045" s="37">
        <f t="shared" si="64"/>
        <v>0.38528108794944882</v>
      </c>
      <c r="M1045" s="2">
        <f t="shared" si="65"/>
        <v>11219000000</v>
      </c>
      <c r="N1045" s="37">
        <f t="shared" si="66"/>
        <v>8.5064734365877956E-2</v>
      </c>
      <c r="O1045" s="2">
        <f t="shared" si="67"/>
        <v>2477000000</v>
      </c>
    </row>
    <row r="1046" spans="1:15" x14ac:dyDescent="0.3">
      <c r="A1046" t="s">
        <v>145</v>
      </c>
      <c r="B1046">
        <v>2</v>
      </c>
      <c r="C1046">
        <v>2013</v>
      </c>
      <c r="D1046" s="1">
        <v>41639</v>
      </c>
      <c r="E1046" s="2">
        <v>32380000000</v>
      </c>
      <c r="F1046" s="2">
        <v>20865000000</v>
      </c>
      <c r="G1046">
        <v>0</v>
      </c>
      <c r="H1046">
        <v>0</v>
      </c>
      <c r="I1046" s="2">
        <v>9339000000</v>
      </c>
      <c r="J1046" t="s">
        <v>21</v>
      </c>
      <c r="K1046" t="s">
        <v>77</v>
      </c>
      <c r="L1046" s="37">
        <f t="shared" si="64"/>
        <v>0.35562075355157508</v>
      </c>
      <c r="M1046" s="2">
        <f t="shared" si="65"/>
        <v>11515000000</v>
      </c>
      <c r="N1046" s="37">
        <f t="shared" si="66"/>
        <v>6.7201976528721438E-2</v>
      </c>
      <c r="O1046" s="2">
        <f t="shared" si="67"/>
        <v>2176000000</v>
      </c>
    </row>
    <row r="1047" spans="1:15" x14ac:dyDescent="0.3">
      <c r="A1047" t="s">
        <v>145</v>
      </c>
      <c r="B1047">
        <v>3</v>
      </c>
      <c r="C1047">
        <v>2014</v>
      </c>
      <c r="D1047" s="1">
        <v>42004</v>
      </c>
      <c r="E1047" s="2">
        <v>34914000000</v>
      </c>
      <c r="F1047" s="2">
        <v>21334000000</v>
      </c>
      <c r="G1047">
        <v>0</v>
      </c>
      <c r="H1047">
        <v>0</v>
      </c>
      <c r="I1047" s="2">
        <v>10276000000</v>
      </c>
      <c r="J1047" t="s">
        <v>21</v>
      </c>
      <c r="K1047" t="s">
        <v>77</v>
      </c>
      <c r="L1047" s="37">
        <f t="shared" si="64"/>
        <v>0.38895571976857424</v>
      </c>
      <c r="M1047" s="2">
        <f t="shared" si="65"/>
        <v>13580000000</v>
      </c>
      <c r="N1047" s="37">
        <f t="shared" si="66"/>
        <v>9.4632525634415987E-2</v>
      </c>
      <c r="O1047" s="2">
        <f t="shared" si="67"/>
        <v>3304000000</v>
      </c>
    </row>
    <row r="1048" spans="1:15" x14ac:dyDescent="0.3">
      <c r="A1048" t="s">
        <v>145</v>
      </c>
      <c r="B1048">
        <v>4</v>
      </c>
      <c r="C1048">
        <v>2015</v>
      </c>
      <c r="D1048" s="1">
        <v>42369</v>
      </c>
      <c r="E1048" s="2">
        <v>37876000000</v>
      </c>
      <c r="F1048" s="2">
        <v>23290000000</v>
      </c>
      <c r="G1048">
        <v>0</v>
      </c>
      <c r="H1048">
        <v>0</v>
      </c>
      <c r="I1048" s="2">
        <v>11259000000</v>
      </c>
      <c r="J1048" t="s">
        <v>21</v>
      </c>
      <c r="K1048" t="s">
        <v>77</v>
      </c>
      <c r="L1048" s="37">
        <f t="shared" si="64"/>
        <v>0.38509874326750448</v>
      </c>
      <c r="M1048" s="2">
        <f t="shared" si="65"/>
        <v>14586000000</v>
      </c>
      <c r="N1048" s="37">
        <f t="shared" si="66"/>
        <v>8.7839264969901784E-2</v>
      </c>
      <c r="O1048" s="2">
        <f t="shared" si="67"/>
        <v>3327000000</v>
      </c>
    </row>
    <row r="1049" spans="1:15" x14ac:dyDescent="0.3">
      <c r="A1049" t="s">
        <v>386</v>
      </c>
      <c r="B1049">
        <v>1</v>
      </c>
      <c r="C1049">
        <v>2013</v>
      </c>
      <c r="D1049" s="1">
        <v>41639</v>
      </c>
      <c r="E1049" s="2">
        <v>30871000000</v>
      </c>
      <c r="F1049" s="2">
        <v>16106000000</v>
      </c>
      <c r="G1049" s="2">
        <v>6384000000</v>
      </c>
      <c r="H1049" s="2">
        <v>1715000000</v>
      </c>
      <c r="I1049">
        <v>0</v>
      </c>
      <c r="J1049" t="s">
        <v>12</v>
      </c>
      <c r="K1049" t="s">
        <v>160</v>
      </c>
      <c r="L1049" s="37">
        <f t="shared" si="64"/>
        <v>0.47828058695863429</v>
      </c>
      <c r="M1049" s="2">
        <f t="shared" si="65"/>
        <v>14765000000</v>
      </c>
      <c r="N1049" s="37">
        <f t="shared" si="66"/>
        <v>0.21593080884972951</v>
      </c>
      <c r="O1049" s="2">
        <f t="shared" si="67"/>
        <v>6666000000</v>
      </c>
    </row>
    <row r="1050" spans="1:15" x14ac:dyDescent="0.3">
      <c r="A1050" t="s">
        <v>386</v>
      </c>
      <c r="B1050">
        <v>2</v>
      </c>
      <c r="C1050">
        <v>2014</v>
      </c>
      <c r="D1050" s="1">
        <v>42004</v>
      </c>
      <c r="E1050" s="2">
        <v>31821000000</v>
      </c>
      <c r="F1050" s="2">
        <v>16447000000</v>
      </c>
      <c r="G1050" s="2">
        <v>6469000000</v>
      </c>
      <c r="H1050" s="2">
        <v>1770000000</v>
      </c>
      <c r="I1050">
        <v>0</v>
      </c>
      <c r="J1050" t="s">
        <v>12</v>
      </c>
      <c r="K1050" t="s">
        <v>160</v>
      </c>
      <c r="L1050" s="37">
        <f t="shared" si="64"/>
        <v>0.48314006473712323</v>
      </c>
      <c r="M1050" s="2">
        <f t="shared" si="65"/>
        <v>15374000000</v>
      </c>
      <c r="N1050" s="37">
        <f t="shared" si="66"/>
        <v>0.2242229973916596</v>
      </c>
      <c r="O1050" s="2">
        <f t="shared" si="67"/>
        <v>7135000000</v>
      </c>
    </row>
    <row r="1051" spans="1:15" x14ac:dyDescent="0.3">
      <c r="A1051" t="s">
        <v>386</v>
      </c>
      <c r="B1051">
        <v>3</v>
      </c>
      <c r="C1051">
        <v>2015</v>
      </c>
      <c r="D1051" s="1">
        <v>42369</v>
      </c>
      <c r="E1051" s="2">
        <v>30274000000</v>
      </c>
      <c r="F1051" s="2">
        <v>15383000000</v>
      </c>
      <c r="G1051" s="2">
        <v>6182000000</v>
      </c>
      <c r="H1051" s="2">
        <v>1763000000</v>
      </c>
      <c r="I1051">
        <v>0</v>
      </c>
      <c r="J1051" t="s">
        <v>12</v>
      </c>
      <c r="K1051" t="s">
        <v>160</v>
      </c>
      <c r="L1051" s="37">
        <f t="shared" si="64"/>
        <v>0.49187421549844756</v>
      </c>
      <c r="M1051" s="2">
        <f t="shared" si="65"/>
        <v>14891000000</v>
      </c>
      <c r="N1051" s="37">
        <f t="shared" si="66"/>
        <v>0.22943780141375439</v>
      </c>
      <c r="O1051" s="2">
        <f t="shared" si="67"/>
        <v>6946000000</v>
      </c>
    </row>
    <row r="1052" spans="1:15" x14ac:dyDescent="0.3">
      <c r="A1052" t="s">
        <v>386</v>
      </c>
      <c r="B1052">
        <v>4</v>
      </c>
      <c r="C1052">
        <v>2016</v>
      </c>
      <c r="D1052" s="1">
        <v>42735</v>
      </c>
      <c r="E1052" s="2">
        <v>30109000000</v>
      </c>
      <c r="F1052" s="2">
        <v>15040000000</v>
      </c>
      <c r="G1052" s="2">
        <v>6111000000</v>
      </c>
      <c r="H1052" s="2">
        <v>1735000000</v>
      </c>
      <c r="I1052">
        <v>0</v>
      </c>
      <c r="J1052" t="s">
        <v>12</v>
      </c>
      <c r="K1052" t="s">
        <v>160</v>
      </c>
      <c r="L1052" s="37">
        <f t="shared" si="64"/>
        <v>0.50048158357966055</v>
      </c>
      <c r="M1052" s="2">
        <f t="shared" si="65"/>
        <v>15069000000</v>
      </c>
      <c r="N1052" s="37">
        <f t="shared" si="66"/>
        <v>0.23989504799229466</v>
      </c>
      <c r="O1052" s="2">
        <f t="shared" si="67"/>
        <v>7223000000</v>
      </c>
    </row>
    <row r="1053" spans="1:15" x14ac:dyDescent="0.3">
      <c r="A1053" t="s">
        <v>387</v>
      </c>
      <c r="B1053">
        <v>1</v>
      </c>
      <c r="C1053">
        <v>2012</v>
      </c>
      <c r="D1053" s="1">
        <v>41274</v>
      </c>
      <c r="E1053" s="2">
        <v>2060702000</v>
      </c>
      <c r="F1053" s="2">
        <v>995046000</v>
      </c>
      <c r="G1053">
        <v>0</v>
      </c>
      <c r="H1053">
        <v>0</v>
      </c>
      <c r="I1053">
        <v>0</v>
      </c>
      <c r="J1053" t="s">
        <v>32</v>
      </c>
      <c r="K1053" t="s">
        <v>210</v>
      </c>
      <c r="L1053" s="37">
        <f t="shared" si="64"/>
        <v>0.51713251115396597</v>
      </c>
      <c r="M1053" s="2">
        <f t="shared" si="65"/>
        <v>1065656000</v>
      </c>
      <c r="N1053" s="37">
        <f t="shared" si="66"/>
        <v>0.51713251115396597</v>
      </c>
      <c r="O1053" s="2">
        <f t="shared" si="67"/>
        <v>1065656000</v>
      </c>
    </row>
    <row r="1054" spans="1:15" x14ac:dyDescent="0.3">
      <c r="A1054" t="s">
        <v>387</v>
      </c>
      <c r="B1054">
        <v>2</v>
      </c>
      <c r="C1054">
        <v>2013</v>
      </c>
      <c r="D1054" s="1">
        <v>41639</v>
      </c>
      <c r="E1054" s="2">
        <v>2246428000</v>
      </c>
      <c r="F1054" s="2">
        <v>1073497000</v>
      </c>
      <c r="G1054">
        <v>0</v>
      </c>
      <c r="H1054">
        <v>0</v>
      </c>
      <c r="I1054">
        <v>0</v>
      </c>
      <c r="J1054" t="s">
        <v>32</v>
      </c>
      <c r="K1054" t="s">
        <v>210</v>
      </c>
      <c r="L1054" s="37">
        <f t="shared" si="64"/>
        <v>0.52213157955652267</v>
      </c>
      <c r="M1054" s="2">
        <f t="shared" si="65"/>
        <v>1172931000</v>
      </c>
      <c r="N1054" s="37">
        <f t="shared" si="66"/>
        <v>0.52213157955652267</v>
      </c>
      <c r="O1054" s="2">
        <f t="shared" si="67"/>
        <v>1172931000</v>
      </c>
    </row>
    <row r="1055" spans="1:15" x14ac:dyDescent="0.3">
      <c r="A1055" t="s">
        <v>387</v>
      </c>
      <c r="B1055">
        <v>3</v>
      </c>
      <c r="C1055">
        <v>2014</v>
      </c>
      <c r="D1055" s="1">
        <v>42004</v>
      </c>
      <c r="E1055" s="2">
        <v>2464867000</v>
      </c>
      <c r="F1055" s="2">
        <v>1125057000</v>
      </c>
      <c r="G1055">
        <v>0</v>
      </c>
      <c r="H1055">
        <v>0</v>
      </c>
      <c r="I1055">
        <v>0</v>
      </c>
      <c r="J1055" t="s">
        <v>32</v>
      </c>
      <c r="K1055" t="s">
        <v>210</v>
      </c>
      <c r="L1055" s="37">
        <f t="shared" si="64"/>
        <v>0.54356279669450724</v>
      </c>
      <c r="M1055" s="2">
        <f t="shared" si="65"/>
        <v>1339810000</v>
      </c>
      <c r="N1055" s="37">
        <f t="shared" si="66"/>
        <v>0.54356279669450724</v>
      </c>
      <c r="O1055" s="2">
        <f t="shared" si="67"/>
        <v>1339810000</v>
      </c>
    </row>
    <row r="1056" spans="1:15" x14ac:dyDescent="0.3">
      <c r="A1056" t="s">
        <v>387</v>
      </c>
      <c r="B1056">
        <v>4</v>
      </c>
      <c r="C1056">
        <v>2015</v>
      </c>
      <c r="D1056" s="1">
        <v>42369</v>
      </c>
      <c r="E1056" s="2">
        <v>2722564000</v>
      </c>
      <c r="F1056" s="2">
        <v>1090263000</v>
      </c>
      <c r="G1056">
        <v>0</v>
      </c>
      <c r="H1056">
        <v>0</v>
      </c>
      <c r="I1056">
        <v>0</v>
      </c>
      <c r="J1056" t="s">
        <v>32</v>
      </c>
      <c r="K1056" t="s">
        <v>210</v>
      </c>
      <c r="L1056" s="37">
        <f t="shared" si="64"/>
        <v>0.59954550196065182</v>
      </c>
      <c r="M1056" s="2">
        <f t="shared" si="65"/>
        <v>1632301000</v>
      </c>
      <c r="N1056" s="37">
        <f t="shared" si="66"/>
        <v>0.59954550196065182</v>
      </c>
      <c r="O1056" s="2">
        <f t="shared" si="67"/>
        <v>1632301000</v>
      </c>
    </row>
    <row r="1057" spans="1:15" x14ac:dyDescent="0.3">
      <c r="A1057" t="s">
        <v>388</v>
      </c>
      <c r="B1057">
        <v>1</v>
      </c>
      <c r="C1057">
        <v>2012</v>
      </c>
      <c r="D1057" s="1">
        <v>41274</v>
      </c>
      <c r="E1057" s="2">
        <v>24618000000</v>
      </c>
      <c r="F1057" s="2">
        <v>15055000000</v>
      </c>
      <c r="G1057" s="2">
        <v>2249000000</v>
      </c>
      <c r="H1057">
        <v>0</v>
      </c>
      <c r="I1057">
        <v>0</v>
      </c>
      <c r="J1057" t="s">
        <v>32</v>
      </c>
      <c r="K1057" t="s">
        <v>389</v>
      </c>
      <c r="L1057" s="37">
        <f t="shared" si="64"/>
        <v>0.38845560159233083</v>
      </c>
      <c r="M1057" s="2">
        <f t="shared" si="65"/>
        <v>9563000000</v>
      </c>
      <c r="N1057" s="37">
        <f t="shared" si="66"/>
        <v>0.29709968315866442</v>
      </c>
      <c r="O1057" s="2">
        <f t="shared" si="67"/>
        <v>7314000000</v>
      </c>
    </row>
    <row r="1058" spans="1:15" x14ac:dyDescent="0.3">
      <c r="A1058" t="s">
        <v>388</v>
      </c>
      <c r="B1058">
        <v>2</v>
      </c>
      <c r="C1058">
        <v>2013</v>
      </c>
      <c r="D1058" s="1">
        <v>41639</v>
      </c>
      <c r="E1058" s="2">
        <v>24466000000</v>
      </c>
      <c r="F1058" s="2">
        <v>14009000000</v>
      </c>
      <c r="G1058" s="2">
        <v>2362000000</v>
      </c>
      <c r="H1058">
        <v>0</v>
      </c>
      <c r="I1058">
        <v>0</v>
      </c>
      <c r="J1058" t="s">
        <v>32</v>
      </c>
      <c r="K1058" t="s">
        <v>389</v>
      </c>
      <c r="L1058" s="37">
        <f t="shared" si="64"/>
        <v>0.42740946619798903</v>
      </c>
      <c r="M1058" s="2">
        <f t="shared" si="65"/>
        <v>10457000000</v>
      </c>
      <c r="N1058" s="37">
        <f t="shared" si="66"/>
        <v>0.33086732608517944</v>
      </c>
      <c r="O1058" s="2">
        <f t="shared" si="67"/>
        <v>8095000000</v>
      </c>
    </row>
    <row r="1059" spans="1:15" x14ac:dyDescent="0.3">
      <c r="A1059" t="s">
        <v>388</v>
      </c>
      <c r="B1059">
        <v>3</v>
      </c>
      <c r="C1059">
        <v>2014</v>
      </c>
      <c r="D1059" s="1">
        <v>42004</v>
      </c>
      <c r="E1059" s="2">
        <v>24522000000</v>
      </c>
      <c r="F1059" s="2">
        <v>14362000000</v>
      </c>
      <c r="G1059" s="2">
        <v>2541000000</v>
      </c>
      <c r="H1059">
        <v>0</v>
      </c>
      <c r="I1059">
        <v>0</v>
      </c>
      <c r="J1059" t="s">
        <v>32</v>
      </c>
      <c r="K1059" t="s">
        <v>389</v>
      </c>
      <c r="L1059" s="37">
        <f t="shared" si="64"/>
        <v>0.41432183345567242</v>
      </c>
      <c r="M1059" s="2">
        <f t="shared" si="65"/>
        <v>10160000000</v>
      </c>
      <c r="N1059" s="37">
        <f t="shared" si="66"/>
        <v>0.31070059538373707</v>
      </c>
      <c r="O1059" s="2">
        <f t="shared" si="67"/>
        <v>7619000000</v>
      </c>
    </row>
    <row r="1060" spans="1:15" x14ac:dyDescent="0.3">
      <c r="A1060" t="s">
        <v>388</v>
      </c>
      <c r="B1060">
        <v>4</v>
      </c>
      <c r="C1060">
        <v>2015</v>
      </c>
      <c r="D1060" s="1">
        <v>42369</v>
      </c>
      <c r="E1060" s="2">
        <v>25434000000</v>
      </c>
      <c r="F1060" s="2">
        <v>14320000000</v>
      </c>
      <c r="G1060" s="2">
        <v>2749000000</v>
      </c>
      <c r="H1060">
        <v>0</v>
      </c>
      <c r="I1060">
        <v>0</v>
      </c>
      <c r="J1060" t="s">
        <v>32</v>
      </c>
      <c r="K1060" t="s">
        <v>389</v>
      </c>
      <c r="L1060" s="37">
        <f t="shared" si="64"/>
        <v>0.43697412911850275</v>
      </c>
      <c r="M1060" s="2">
        <f t="shared" si="65"/>
        <v>11114000000</v>
      </c>
      <c r="N1060" s="37">
        <f t="shared" si="66"/>
        <v>0.32889046158685226</v>
      </c>
      <c r="O1060" s="2">
        <f t="shared" si="67"/>
        <v>8365000000</v>
      </c>
    </row>
    <row r="1061" spans="1:15" x14ac:dyDescent="0.3">
      <c r="A1061" t="s">
        <v>390</v>
      </c>
      <c r="B1061">
        <v>1</v>
      </c>
      <c r="C1061">
        <v>2013</v>
      </c>
      <c r="D1061" s="1">
        <v>41517</v>
      </c>
      <c r="E1061" s="2">
        <v>14861000000</v>
      </c>
      <c r="F1061" s="2">
        <v>7208000000</v>
      </c>
      <c r="G1061" s="2">
        <v>2550000000</v>
      </c>
      <c r="H1061" s="2">
        <v>1533000000</v>
      </c>
      <c r="I1061">
        <v>0</v>
      </c>
      <c r="J1061" t="s">
        <v>55</v>
      </c>
      <c r="K1061" t="s">
        <v>134</v>
      </c>
      <c r="L1061" s="37">
        <f t="shared" si="64"/>
        <v>0.51497207455756677</v>
      </c>
      <c r="M1061" s="2">
        <f t="shared" si="65"/>
        <v>7653000000</v>
      </c>
      <c r="N1061" s="37">
        <f t="shared" si="66"/>
        <v>0.24022609514837495</v>
      </c>
      <c r="O1061" s="2">
        <f t="shared" si="67"/>
        <v>3570000000</v>
      </c>
    </row>
    <row r="1062" spans="1:15" x14ac:dyDescent="0.3">
      <c r="A1062" t="s">
        <v>390</v>
      </c>
      <c r="B1062">
        <v>2</v>
      </c>
      <c r="C1062">
        <v>2014</v>
      </c>
      <c r="D1062" s="1">
        <v>41882</v>
      </c>
      <c r="E1062" s="2">
        <v>15855000000</v>
      </c>
      <c r="F1062" s="2">
        <v>7281000000</v>
      </c>
      <c r="G1062" s="2">
        <v>2774000000</v>
      </c>
      <c r="H1062" s="2">
        <v>1725000000</v>
      </c>
      <c r="I1062">
        <v>0</v>
      </c>
      <c r="J1062" t="s">
        <v>55</v>
      </c>
      <c r="K1062" t="s">
        <v>134</v>
      </c>
      <c r="L1062" s="37">
        <f t="shared" si="64"/>
        <v>0.54077578051087982</v>
      </c>
      <c r="M1062" s="2">
        <f t="shared" si="65"/>
        <v>8574000000</v>
      </c>
      <c r="N1062" s="37">
        <f t="shared" si="66"/>
        <v>0.25701671397035636</v>
      </c>
      <c r="O1062" s="2">
        <f t="shared" si="67"/>
        <v>4075000000</v>
      </c>
    </row>
    <row r="1063" spans="1:15" x14ac:dyDescent="0.3">
      <c r="A1063" t="s">
        <v>390</v>
      </c>
      <c r="B1063">
        <v>3</v>
      </c>
      <c r="C1063">
        <v>2015</v>
      </c>
      <c r="D1063" s="1">
        <v>42247</v>
      </c>
      <c r="E1063" s="2">
        <v>15001000000</v>
      </c>
      <c r="F1063" s="2">
        <v>6819000000</v>
      </c>
      <c r="G1063" s="2">
        <v>2686000000</v>
      </c>
      <c r="H1063" s="2">
        <v>1580000000</v>
      </c>
      <c r="I1063">
        <v>0</v>
      </c>
      <c r="J1063" t="s">
        <v>55</v>
      </c>
      <c r="K1063" t="s">
        <v>134</v>
      </c>
      <c r="L1063" s="37">
        <f t="shared" si="64"/>
        <v>0.54543030464635689</v>
      </c>
      <c r="M1063" s="2">
        <f t="shared" si="65"/>
        <v>8182000000</v>
      </c>
      <c r="N1063" s="37">
        <f t="shared" si="66"/>
        <v>0.26104926338244117</v>
      </c>
      <c r="O1063" s="2">
        <f t="shared" si="67"/>
        <v>3916000000</v>
      </c>
    </row>
    <row r="1064" spans="1:15" x14ac:dyDescent="0.3">
      <c r="A1064" t="s">
        <v>390</v>
      </c>
      <c r="B1064">
        <v>4</v>
      </c>
      <c r="C1064">
        <v>2016</v>
      </c>
      <c r="D1064" s="1">
        <v>42613</v>
      </c>
      <c r="E1064" s="2">
        <v>13502000000</v>
      </c>
      <c r="F1064" s="2">
        <v>6485000000</v>
      </c>
      <c r="G1064" s="2">
        <v>2833000000</v>
      </c>
      <c r="H1064" s="2">
        <v>1512000000</v>
      </c>
      <c r="I1064">
        <v>0</v>
      </c>
      <c r="J1064" t="s">
        <v>55</v>
      </c>
      <c r="K1064" t="s">
        <v>134</v>
      </c>
      <c r="L1064" s="37">
        <f t="shared" si="64"/>
        <v>0.51970078506887862</v>
      </c>
      <c r="M1064" s="2">
        <f t="shared" si="65"/>
        <v>7017000000</v>
      </c>
      <c r="N1064" s="37">
        <f t="shared" si="66"/>
        <v>0.19789660790993926</v>
      </c>
      <c r="O1064" s="2">
        <f t="shared" si="67"/>
        <v>2672000000</v>
      </c>
    </row>
    <row r="1065" spans="1:15" x14ac:dyDescent="0.3">
      <c r="A1065" t="s">
        <v>391</v>
      </c>
      <c r="B1065">
        <v>1</v>
      </c>
      <c r="C1065">
        <v>2013</v>
      </c>
      <c r="D1065" s="1">
        <v>41425</v>
      </c>
      <c r="E1065" s="2">
        <v>9974100000</v>
      </c>
      <c r="F1065" s="2">
        <v>7213900000</v>
      </c>
      <c r="G1065" s="2">
        <v>550600000</v>
      </c>
      <c r="H1065">
        <v>0</v>
      </c>
      <c r="I1065">
        <v>0</v>
      </c>
      <c r="J1065" t="s">
        <v>55</v>
      </c>
      <c r="K1065" t="s">
        <v>134</v>
      </c>
      <c r="L1065" s="37">
        <f t="shared" si="64"/>
        <v>0.27673674817778049</v>
      </c>
      <c r="M1065" s="2">
        <f t="shared" si="65"/>
        <v>2760200000</v>
      </c>
      <c r="N1065" s="37">
        <f t="shared" si="66"/>
        <v>0.22153377247069911</v>
      </c>
      <c r="O1065" s="2">
        <f t="shared" si="67"/>
        <v>2209600000</v>
      </c>
    </row>
    <row r="1066" spans="1:15" x14ac:dyDescent="0.3">
      <c r="A1066" t="s">
        <v>391</v>
      </c>
      <c r="B1066">
        <v>2</v>
      </c>
      <c r="C1066">
        <v>2014</v>
      </c>
      <c r="D1066" s="1">
        <v>42004</v>
      </c>
      <c r="E1066" s="2">
        <v>9055800000</v>
      </c>
      <c r="F1066" s="2">
        <v>7129200000</v>
      </c>
      <c r="G1066" s="2">
        <v>505800000</v>
      </c>
      <c r="H1066">
        <v>0</v>
      </c>
      <c r="I1066">
        <v>0</v>
      </c>
      <c r="J1066" t="s">
        <v>55</v>
      </c>
      <c r="K1066" t="s">
        <v>134</v>
      </c>
      <c r="L1066" s="37">
        <f t="shared" si="64"/>
        <v>0.21274763135228247</v>
      </c>
      <c r="M1066" s="2">
        <f t="shared" si="65"/>
        <v>1926600000</v>
      </c>
      <c r="N1066" s="37">
        <f t="shared" si="66"/>
        <v>0.15689392433578481</v>
      </c>
      <c r="O1066" s="2">
        <f t="shared" si="67"/>
        <v>1420800000</v>
      </c>
    </row>
    <row r="1067" spans="1:15" x14ac:dyDescent="0.3">
      <c r="A1067" t="s">
        <v>391</v>
      </c>
      <c r="B1067">
        <v>3</v>
      </c>
      <c r="C1067">
        <v>2015</v>
      </c>
      <c r="D1067" s="1">
        <v>42369</v>
      </c>
      <c r="E1067" s="2">
        <v>8895300000</v>
      </c>
      <c r="F1067" s="2">
        <v>7177400000</v>
      </c>
      <c r="G1067" s="2">
        <v>439100000</v>
      </c>
      <c r="H1067">
        <v>0</v>
      </c>
      <c r="I1067">
        <v>0</v>
      </c>
      <c r="J1067" t="s">
        <v>55</v>
      </c>
      <c r="K1067" t="s">
        <v>134</v>
      </c>
      <c r="L1067" s="37">
        <f t="shared" si="64"/>
        <v>0.1931244589839578</v>
      </c>
      <c r="M1067" s="2">
        <f t="shared" si="65"/>
        <v>1717900000</v>
      </c>
      <c r="N1067" s="37">
        <f t="shared" si="66"/>
        <v>0.14376131215360921</v>
      </c>
      <c r="O1067" s="2">
        <f t="shared" si="67"/>
        <v>1278800000</v>
      </c>
    </row>
    <row r="1068" spans="1:15" x14ac:dyDescent="0.3">
      <c r="A1068" t="s">
        <v>391</v>
      </c>
      <c r="B1068">
        <v>4</v>
      </c>
      <c r="C1068">
        <v>2016</v>
      </c>
      <c r="D1068" s="1">
        <v>42735</v>
      </c>
      <c r="E1068" s="2">
        <v>7162800000</v>
      </c>
      <c r="F1068" s="2">
        <v>6352800000</v>
      </c>
      <c r="G1068" s="2">
        <v>491000000</v>
      </c>
      <c r="H1068">
        <v>0</v>
      </c>
      <c r="I1068">
        <v>0</v>
      </c>
      <c r="J1068" t="s">
        <v>55</v>
      </c>
      <c r="K1068" t="s">
        <v>134</v>
      </c>
      <c r="L1068" s="37">
        <f t="shared" si="64"/>
        <v>0.11308426872172894</v>
      </c>
      <c r="M1068" s="2">
        <f t="shared" si="65"/>
        <v>810000000</v>
      </c>
      <c r="N1068" s="37">
        <f t="shared" si="66"/>
        <v>4.4535656447199416E-2</v>
      </c>
      <c r="O1068" s="2">
        <f t="shared" si="67"/>
        <v>319000000</v>
      </c>
    </row>
    <row r="1069" spans="1:15" x14ac:dyDescent="0.3">
      <c r="A1069" t="s">
        <v>392</v>
      </c>
      <c r="B1069">
        <v>1</v>
      </c>
      <c r="C1069">
        <v>2012</v>
      </c>
      <c r="D1069" s="1">
        <v>41274</v>
      </c>
      <c r="E1069" s="2">
        <v>82243000000</v>
      </c>
      <c r="F1069" s="2">
        <v>68948000000</v>
      </c>
      <c r="G1069" s="2">
        <v>7202000000</v>
      </c>
      <c r="H1069">
        <v>0</v>
      </c>
      <c r="I1069" s="2">
        <v>995000000</v>
      </c>
      <c r="J1069" t="s">
        <v>79</v>
      </c>
      <c r="K1069" t="s">
        <v>337</v>
      </c>
      <c r="L1069" s="37">
        <f t="shared" si="64"/>
        <v>0.16165509526646649</v>
      </c>
      <c r="M1069" s="2">
        <f t="shared" si="65"/>
        <v>13295000000</v>
      </c>
      <c r="N1069" s="37">
        <f t="shared" si="66"/>
        <v>6.198703841056382E-2</v>
      </c>
      <c r="O1069" s="2">
        <f t="shared" si="67"/>
        <v>5098000000</v>
      </c>
    </row>
    <row r="1070" spans="1:15" x14ac:dyDescent="0.3">
      <c r="A1070" t="s">
        <v>392</v>
      </c>
      <c r="B1070">
        <v>2</v>
      </c>
      <c r="C1070">
        <v>2013</v>
      </c>
      <c r="D1070" s="1">
        <v>41639</v>
      </c>
      <c r="E1070" s="2">
        <v>100160000000</v>
      </c>
      <c r="F1070" s="2">
        <v>87758000000</v>
      </c>
      <c r="G1070" s="2">
        <v>7851000000</v>
      </c>
      <c r="H1070">
        <v>0</v>
      </c>
      <c r="I1070" s="2">
        <v>1220000000</v>
      </c>
      <c r="J1070" t="s">
        <v>79</v>
      </c>
      <c r="K1070" t="s">
        <v>337</v>
      </c>
      <c r="L1070" s="37">
        <f t="shared" si="64"/>
        <v>0.12382188498402558</v>
      </c>
      <c r="M1070" s="2">
        <f t="shared" si="65"/>
        <v>12402000000</v>
      </c>
      <c r="N1070" s="37">
        <f t="shared" si="66"/>
        <v>3.3256789137380192E-2</v>
      </c>
      <c r="O1070" s="2">
        <f t="shared" si="67"/>
        <v>3331000000</v>
      </c>
    </row>
    <row r="1071" spans="1:15" x14ac:dyDescent="0.3">
      <c r="A1071" t="s">
        <v>392</v>
      </c>
      <c r="B1071">
        <v>3</v>
      </c>
      <c r="C1071">
        <v>2014</v>
      </c>
      <c r="D1071" s="1">
        <v>42004</v>
      </c>
      <c r="E1071" s="2">
        <v>97817000000</v>
      </c>
      <c r="F1071" s="2">
        <v>84275000000</v>
      </c>
      <c r="G1071" s="2">
        <v>8450000000</v>
      </c>
      <c r="H1071">
        <v>0</v>
      </c>
      <c r="I1071" s="2">
        <v>1326000000</v>
      </c>
      <c r="J1071" t="s">
        <v>79</v>
      </c>
      <c r="K1071" t="s">
        <v>337</v>
      </c>
      <c r="L1071" s="37">
        <f t="shared" si="64"/>
        <v>0.13844219307482342</v>
      </c>
      <c r="M1071" s="2">
        <f t="shared" si="65"/>
        <v>13542000000</v>
      </c>
      <c r="N1071" s="37">
        <f t="shared" si="66"/>
        <v>3.8500465154318778E-2</v>
      </c>
      <c r="O1071" s="2">
        <f t="shared" si="67"/>
        <v>3766000000</v>
      </c>
    </row>
    <row r="1072" spans="1:15" x14ac:dyDescent="0.3">
      <c r="A1072" t="s">
        <v>392</v>
      </c>
      <c r="B1072">
        <v>4</v>
      </c>
      <c r="C1072">
        <v>2015</v>
      </c>
      <c r="D1072" s="1">
        <v>42369</v>
      </c>
      <c r="E1072" s="2">
        <v>72051000000</v>
      </c>
      <c r="F1072" s="2">
        <v>55891000000</v>
      </c>
      <c r="G1072" s="2">
        <v>10029000000</v>
      </c>
      <c r="H1072">
        <v>0</v>
      </c>
      <c r="I1072" s="2">
        <v>1646000000</v>
      </c>
      <c r="J1072" t="s">
        <v>79</v>
      </c>
      <c r="K1072" t="s">
        <v>337</v>
      </c>
      <c r="L1072" s="37">
        <f t="shared" si="64"/>
        <v>0.22428557549513539</v>
      </c>
      <c r="M1072" s="2">
        <f t="shared" si="65"/>
        <v>16160000000</v>
      </c>
      <c r="N1072" s="37">
        <f t="shared" si="66"/>
        <v>6.2247574634633804E-2</v>
      </c>
      <c r="O1072" s="2">
        <f t="shared" si="67"/>
        <v>4485000000</v>
      </c>
    </row>
    <row r="1073" spans="1:15" x14ac:dyDescent="0.3">
      <c r="A1073" t="s">
        <v>155</v>
      </c>
      <c r="B1073">
        <v>1</v>
      </c>
      <c r="C1073">
        <v>2012</v>
      </c>
      <c r="D1073" s="1">
        <v>41274</v>
      </c>
      <c r="E1073" s="2">
        <v>8110000000</v>
      </c>
      <c r="F1073" s="2">
        <v>6781000000</v>
      </c>
      <c r="G1073" s="2">
        <v>1105000000</v>
      </c>
      <c r="H1073">
        <v>0</v>
      </c>
      <c r="I1073" s="2">
        <v>88000000</v>
      </c>
      <c r="J1073" t="s">
        <v>21</v>
      </c>
      <c r="K1073" t="s">
        <v>77</v>
      </c>
      <c r="L1073" s="37">
        <f t="shared" si="64"/>
        <v>0.16387176325524044</v>
      </c>
      <c r="M1073" s="2">
        <f t="shared" si="65"/>
        <v>1329000000</v>
      </c>
      <c r="N1073" s="37">
        <f t="shared" si="66"/>
        <v>1.6769420468557335E-2</v>
      </c>
      <c r="O1073" s="2">
        <f t="shared" si="67"/>
        <v>136000000</v>
      </c>
    </row>
    <row r="1074" spans="1:15" x14ac:dyDescent="0.3">
      <c r="A1074" t="s">
        <v>155</v>
      </c>
      <c r="B1074">
        <v>2</v>
      </c>
      <c r="C1074">
        <v>2013</v>
      </c>
      <c r="D1074" s="1">
        <v>41639</v>
      </c>
      <c r="E1074" s="2">
        <v>10863000000</v>
      </c>
      <c r="F1074" s="2">
        <v>8995000000</v>
      </c>
      <c r="G1074" s="2">
        <v>1264000000</v>
      </c>
      <c r="H1074">
        <v>0</v>
      </c>
      <c r="I1074" s="2">
        <v>327000000</v>
      </c>
      <c r="J1074" t="s">
        <v>21</v>
      </c>
      <c r="K1074" t="s">
        <v>77</v>
      </c>
      <c r="L1074" s="37">
        <f t="shared" si="64"/>
        <v>0.17195986375770966</v>
      </c>
      <c r="M1074" s="2">
        <f t="shared" si="65"/>
        <v>1868000000</v>
      </c>
      <c r="N1074" s="37">
        <f t="shared" si="66"/>
        <v>2.5499401638589707E-2</v>
      </c>
      <c r="O1074" s="2">
        <f t="shared" si="67"/>
        <v>277000000</v>
      </c>
    </row>
    <row r="1075" spans="1:15" x14ac:dyDescent="0.3">
      <c r="A1075" t="s">
        <v>155</v>
      </c>
      <c r="B1075">
        <v>3</v>
      </c>
      <c r="C1075">
        <v>2014</v>
      </c>
      <c r="D1075" s="1">
        <v>42004</v>
      </c>
      <c r="E1075" s="2">
        <v>16560000000</v>
      </c>
      <c r="F1075" s="2">
        <v>12678000000</v>
      </c>
      <c r="G1075" s="2">
        <v>2012000000</v>
      </c>
      <c r="H1075">
        <v>0</v>
      </c>
      <c r="I1075" s="2">
        <v>1406000000</v>
      </c>
      <c r="J1075" t="s">
        <v>21</v>
      </c>
      <c r="K1075" t="s">
        <v>77</v>
      </c>
      <c r="L1075" s="37">
        <f t="shared" si="64"/>
        <v>0.23442028985507246</v>
      </c>
      <c r="M1075" s="2">
        <f t="shared" si="65"/>
        <v>3882000000</v>
      </c>
      <c r="N1075" s="37">
        <f t="shared" si="66"/>
        <v>2.8019323671497585E-2</v>
      </c>
      <c r="O1075" s="2">
        <f t="shared" si="67"/>
        <v>464000000</v>
      </c>
    </row>
    <row r="1076" spans="1:15" x14ac:dyDescent="0.3">
      <c r="A1076" t="s">
        <v>155</v>
      </c>
      <c r="B1076">
        <v>4</v>
      </c>
      <c r="C1076">
        <v>2015</v>
      </c>
      <c r="D1076" s="1">
        <v>42369</v>
      </c>
      <c r="E1076" s="2">
        <v>22760000000</v>
      </c>
      <c r="F1076" s="2">
        <v>17242000000</v>
      </c>
      <c r="G1076" s="2">
        <v>2977000000</v>
      </c>
      <c r="H1076">
        <v>0</v>
      </c>
      <c r="I1076" s="2">
        <v>1836000000</v>
      </c>
      <c r="J1076" t="s">
        <v>21</v>
      </c>
      <c r="K1076" t="s">
        <v>77</v>
      </c>
      <c r="L1076" s="37">
        <f t="shared" si="64"/>
        <v>0.24244288224956068</v>
      </c>
      <c r="M1076" s="2">
        <f t="shared" si="65"/>
        <v>5518000000</v>
      </c>
      <c r="N1076" s="37">
        <f t="shared" si="66"/>
        <v>3.0975395430579963E-2</v>
      </c>
      <c r="O1076" s="2">
        <f t="shared" si="67"/>
        <v>705000000</v>
      </c>
    </row>
    <row r="1077" spans="1:15" x14ac:dyDescent="0.3">
      <c r="A1077" t="s">
        <v>394</v>
      </c>
      <c r="B1077">
        <v>1</v>
      </c>
      <c r="C1077">
        <v>2012</v>
      </c>
      <c r="D1077" s="1">
        <v>41274</v>
      </c>
      <c r="E1077" s="2">
        <v>11966000000</v>
      </c>
      <c r="F1077" s="2">
        <v>2079000000</v>
      </c>
      <c r="G1077" s="2">
        <v>4017000000</v>
      </c>
      <c r="H1077">
        <v>0</v>
      </c>
      <c r="I1077" s="2">
        <v>2008000000</v>
      </c>
      <c r="J1077" t="s">
        <v>79</v>
      </c>
      <c r="K1077" t="s">
        <v>80</v>
      </c>
      <c r="L1077" s="37">
        <f t="shared" si="64"/>
        <v>0.82625773023566773</v>
      </c>
      <c r="M1077" s="2">
        <f t="shared" si="65"/>
        <v>9887000000</v>
      </c>
      <c r="N1077" s="37">
        <f t="shared" si="66"/>
        <v>0.32274778539194382</v>
      </c>
      <c r="O1077" s="2">
        <f t="shared" si="67"/>
        <v>3862000000</v>
      </c>
    </row>
    <row r="1078" spans="1:15" x14ac:dyDescent="0.3">
      <c r="A1078" t="s">
        <v>394</v>
      </c>
      <c r="B1078">
        <v>2</v>
      </c>
      <c r="C1078">
        <v>2013</v>
      </c>
      <c r="D1078" s="1">
        <v>41639</v>
      </c>
      <c r="E1078" s="2">
        <v>11325000000</v>
      </c>
      <c r="F1078" s="2">
        <v>2156000000</v>
      </c>
      <c r="G1078" s="2">
        <v>3469000000</v>
      </c>
      <c r="H1078">
        <v>0</v>
      </c>
      <c r="I1078" s="2">
        <v>2500000000</v>
      </c>
      <c r="J1078" t="s">
        <v>79</v>
      </c>
      <c r="K1078" t="s">
        <v>80</v>
      </c>
      <c r="L1078" s="37">
        <f t="shared" si="64"/>
        <v>0.80962472406181019</v>
      </c>
      <c r="M1078" s="2">
        <f t="shared" si="65"/>
        <v>9169000000</v>
      </c>
      <c r="N1078" s="37">
        <f t="shared" si="66"/>
        <v>0.282560706401766</v>
      </c>
      <c r="O1078" s="2">
        <f t="shared" si="67"/>
        <v>3200000000</v>
      </c>
    </row>
    <row r="1079" spans="1:15" x14ac:dyDescent="0.3">
      <c r="A1079" t="s">
        <v>394</v>
      </c>
      <c r="B1079">
        <v>3</v>
      </c>
      <c r="C1079">
        <v>2014</v>
      </c>
      <c r="D1079" s="1">
        <v>42004</v>
      </c>
      <c r="E1079" s="2">
        <v>10846000000</v>
      </c>
      <c r="F1079" s="2">
        <v>2246000000</v>
      </c>
      <c r="G1079" s="2">
        <v>3627000000</v>
      </c>
      <c r="H1079">
        <v>0</v>
      </c>
      <c r="I1079" s="2">
        <v>2861000000</v>
      </c>
      <c r="J1079" t="s">
        <v>79</v>
      </c>
      <c r="K1079" t="s">
        <v>80</v>
      </c>
      <c r="L1079" s="37">
        <f t="shared" si="64"/>
        <v>0.79291904849714179</v>
      </c>
      <c r="M1079" s="2">
        <f t="shared" si="65"/>
        <v>8600000000</v>
      </c>
      <c r="N1079" s="37">
        <f t="shared" si="66"/>
        <v>0.1947261663286004</v>
      </c>
      <c r="O1079" s="2">
        <f t="shared" si="67"/>
        <v>2112000000</v>
      </c>
    </row>
    <row r="1080" spans="1:15" x14ac:dyDescent="0.3">
      <c r="A1080" t="s">
        <v>394</v>
      </c>
      <c r="B1080">
        <v>4</v>
      </c>
      <c r="C1080">
        <v>2015</v>
      </c>
      <c r="D1080" s="1">
        <v>42369</v>
      </c>
      <c r="E1080" s="2">
        <v>5522000000</v>
      </c>
      <c r="F1080" s="2">
        <v>1694000000</v>
      </c>
      <c r="G1080" s="2">
        <v>1831000000</v>
      </c>
      <c r="H1080">
        <v>0</v>
      </c>
      <c r="I1080" s="2">
        <v>2957000000</v>
      </c>
      <c r="J1080" t="s">
        <v>79</v>
      </c>
      <c r="K1080" t="s">
        <v>80</v>
      </c>
      <c r="L1080" s="37">
        <f t="shared" si="64"/>
        <v>0.69322709163346619</v>
      </c>
      <c r="M1080" s="2">
        <f t="shared" si="65"/>
        <v>3828000000</v>
      </c>
      <c r="N1080" s="37">
        <f t="shared" si="66"/>
        <v>-0.17385005432814199</v>
      </c>
      <c r="O1080" s="2">
        <f t="shared" si="67"/>
        <v>-960000000</v>
      </c>
    </row>
    <row r="1081" spans="1:15" x14ac:dyDescent="0.3">
      <c r="A1081" t="s">
        <v>395</v>
      </c>
      <c r="B1081">
        <v>1</v>
      </c>
      <c r="C1081">
        <v>2013</v>
      </c>
      <c r="D1081" s="1">
        <v>41455</v>
      </c>
      <c r="E1081" s="2">
        <v>77849000000</v>
      </c>
      <c r="F1081" s="2">
        <v>20385000000</v>
      </c>
      <c r="G1081" s="2">
        <v>20289000000</v>
      </c>
      <c r="H1081" s="2">
        <v>10411000000</v>
      </c>
      <c r="I1081">
        <v>0</v>
      </c>
      <c r="J1081" t="s">
        <v>18</v>
      </c>
      <c r="K1081" t="s">
        <v>396</v>
      </c>
      <c r="L1081" s="37">
        <f t="shared" si="64"/>
        <v>0.73814692545825888</v>
      </c>
      <c r="M1081" s="2">
        <f t="shared" si="65"/>
        <v>57464000000</v>
      </c>
      <c r="N1081" s="37">
        <f t="shared" si="66"/>
        <v>0.34379375457616668</v>
      </c>
      <c r="O1081" s="2">
        <f t="shared" si="67"/>
        <v>26764000000</v>
      </c>
    </row>
    <row r="1082" spans="1:15" x14ac:dyDescent="0.3">
      <c r="A1082" t="s">
        <v>395</v>
      </c>
      <c r="B1082">
        <v>2</v>
      </c>
      <c r="C1082">
        <v>2014</v>
      </c>
      <c r="D1082" s="1">
        <v>41820</v>
      </c>
      <c r="E1082" s="2">
        <v>86833000000</v>
      </c>
      <c r="F1082" s="2">
        <v>27078000000</v>
      </c>
      <c r="G1082" s="2">
        <v>20488000000</v>
      </c>
      <c r="H1082" s="2">
        <v>11381000000</v>
      </c>
      <c r="I1082">
        <v>0</v>
      </c>
      <c r="J1082" t="s">
        <v>18</v>
      </c>
      <c r="K1082" t="s">
        <v>396</v>
      </c>
      <c r="L1082" s="37">
        <f t="shared" si="64"/>
        <v>0.68816003132449644</v>
      </c>
      <c r="M1082" s="2">
        <f t="shared" si="65"/>
        <v>59755000000</v>
      </c>
      <c r="N1082" s="37">
        <f t="shared" si="66"/>
        <v>0.32114518673776099</v>
      </c>
      <c r="O1082" s="2">
        <f t="shared" si="67"/>
        <v>27886000000</v>
      </c>
    </row>
    <row r="1083" spans="1:15" x14ac:dyDescent="0.3">
      <c r="A1083" t="s">
        <v>395</v>
      </c>
      <c r="B1083">
        <v>3</v>
      </c>
      <c r="C1083">
        <v>2015</v>
      </c>
      <c r="D1083" s="1">
        <v>42185</v>
      </c>
      <c r="E1083" s="2">
        <v>93580000000</v>
      </c>
      <c r="F1083" s="2">
        <v>33038000000</v>
      </c>
      <c r="G1083" s="2">
        <v>20324000000</v>
      </c>
      <c r="H1083" s="2">
        <v>12046000000</v>
      </c>
      <c r="I1083">
        <v>0</v>
      </c>
      <c r="J1083" t="s">
        <v>18</v>
      </c>
      <c r="K1083" t="s">
        <v>396</v>
      </c>
      <c r="L1083" s="37">
        <f t="shared" si="64"/>
        <v>0.64695447745244716</v>
      </c>
      <c r="M1083" s="2">
        <f t="shared" si="65"/>
        <v>60542000000</v>
      </c>
      <c r="N1083" s="37">
        <f t="shared" si="66"/>
        <v>0.30104723231459712</v>
      </c>
      <c r="O1083" s="2">
        <f t="shared" si="67"/>
        <v>28172000000</v>
      </c>
    </row>
    <row r="1084" spans="1:15" x14ac:dyDescent="0.3">
      <c r="A1084" t="s">
        <v>395</v>
      </c>
      <c r="B1084">
        <v>4</v>
      </c>
      <c r="C1084">
        <v>2016</v>
      </c>
      <c r="D1084" s="1">
        <v>42551</v>
      </c>
      <c r="E1084" s="2">
        <v>85320000000</v>
      </c>
      <c r="F1084" s="2">
        <v>32780000000</v>
      </c>
      <c r="G1084" s="2">
        <v>19260000000</v>
      </c>
      <c r="H1084" s="2">
        <v>11988000000</v>
      </c>
      <c r="I1084">
        <v>0</v>
      </c>
      <c r="J1084" t="s">
        <v>18</v>
      </c>
      <c r="K1084" t="s">
        <v>396</v>
      </c>
      <c r="L1084" s="37">
        <f t="shared" si="64"/>
        <v>0.61579934364744493</v>
      </c>
      <c r="M1084" s="2">
        <f t="shared" si="65"/>
        <v>52540000000</v>
      </c>
      <c r="N1084" s="37">
        <f t="shared" si="66"/>
        <v>0.24955461790904829</v>
      </c>
      <c r="O1084" s="2">
        <f t="shared" si="67"/>
        <v>21292000000</v>
      </c>
    </row>
    <row r="1085" spans="1:15" x14ac:dyDescent="0.3">
      <c r="A1085" t="s">
        <v>161</v>
      </c>
      <c r="B1085">
        <v>1</v>
      </c>
      <c r="C1085">
        <v>2013</v>
      </c>
      <c r="D1085" s="1">
        <v>41578</v>
      </c>
      <c r="E1085" s="2">
        <v>1587725000</v>
      </c>
      <c r="F1085" s="2">
        <v>560917000</v>
      </c>
      <c r="G1085" s="2">
        <v>610735000</v>
      </c>
      <c r="H1085" s="2">
        <v>58827000</v>
      </c>
      <c r="I1085" s="2">
        <v>30239000</v>
      </c>
      <c r="J1085" t="s">
        <v>21</v>
      </c>
      <c r="K1085" t="s">
        <v>162</v>
      </c>
      <c r="L1085" s="37">
        <f t="shared" si="64"/>
        <v>0.64671652836605831</v>
      </c>
      <c r="M1085" s="2">
        <f t="shared" si="65"/>
        <v>1026808000</v>
      </c>
      <c r="N1085" s="37">
        <f t="shared" si="66"/>
        <v>0.20595947031129447</v>
      </c>
      <c r="O1085" s="2">
        <f t="shared" si="67"/>
        <v>327007000</v>
      </c>
    </row>
    <row r="1086" spans="1:15" x14ac:dyDescent="0.3">
      <c r="A1086" t="s">
        <v>161</v>
      </c>
      <c r="B1086">
        <v>2</v>
      </c>
      <c r="C1086">
        <v>2014</v>
      </c>
      <c r="D1086" s="1">
        <v>41943</v>
      </c>
      <c r="E1086" s="2">
        <v>1717776000</v>
      </c>
      <c r="F1086" s="2">
        <v>626206000</v>
      </c>
      <c r="G1086" s="2">
        <v>683115000</v>
      </c>
      <c r="H1086" s="2">
        <v>66259000</v>
      </c>
      <c r="I1086" s="2">
        <v>35710000</v>
      </c>
      <c r="J1086" t="s">
        <v>21</v>
      </c>
      <c r="K1086" t="s">
        <v>162</v>
      </c>
      <c r="L1086" s="37">
        <f t="shared" si="64"/>
        <v>0.63545537951397624</v>
      </c>
      <c r="M1086" s="2">
        <f t="shared" si="65"/>
        <v>1091570000</v>
      </c>
      <c r="N1086" s="37">
        <f t="shared" si="66"/>
        <v>0.17842023639869226</v>
      </c>
      <c r="O1086" s="2">
        <f t="shared" si="67"/>
        <v>306486000</v>
      </c>
    </row>
    <row r="1087" spans="1:15" x14ac:dyDescent="0.3">
      <c r="A1087" t="s">
        <v>161</v>
      </c>
      <c r="B1087">
        <v>3</v>
      </c>
      <c r="C1087">
        <v>2015</v>
      </c>
      <c r="D1087" s="1">
        <v>42308</v>
      </c>
      <c r="E1087" s="2">
        <v>1797060000</v>
      </c>
      <c r="F1087" s="2">
        <v>726798000</v>
      </c>
      <c r="G1087" s="2">
        <v>712543000</v>
      </c>
      <c r="H1087" s="2">
        <v>69589000</v>
      </c>
      <c r="I1087" s="2">
        <v>51459000</v>
      </c>
      <c r="J1087" t="s">
        <v>21</v>
      </c>
      <c r="K1087" t="s">
        <v>162</v>
      </c>
      <c r="L1087" s="37">
        <f t="shared" si="64"/>
        <v>0.59556275249574298</v>
      </c>
      <c r="M1087" s="2">
        <f t="shared" si="65"/>
        <v>1070262000</v>
      </c>
      <c r="N1087" s="37">
        <f t="shared" si="66"/>
        <v>0.13169899725106562</v>
      </c>
      <c r="O1087" s="2">
        <f t="shared" si="67"/>
        <v>236671000</v>
      </c>
    </row>
    <row r="1088" spans="1:15" x14ac:dyDescent="0.3">
      <c r="A1088" t="s">
        <v>161</v>
      </c>
      <c r="B1088">
        <v>4</v>
      </c>
      <c r="C1088">
        <v>2016</v>
      </c>
      <c r="D1088" s="1">
        <v>42674</v>
      </c>
      <c r="E1088" s="2">
        <v>1966814000</v>
      </c>
      <c r="F1088" s="2">
        <v>793735000</v>
      </c>
      <c r="G1088" s="2">
        <v>722798000</v>
      </c>
      <c r="H1088" s="2">
        <v>65411000</v>
      </c>
      <c r="I1088" s="2">
        <v>60790000</v>
      </c>
      <c r="J1088" t="s">
        <v>21</v>
      </c>
      <c r="K1088" t="s">
        <v>162</v>
      </c>
      <c r="L1088" s="37">
        <f t="shared" si="64"/>
        <v>0.59643616529066801</v>
      </c>
      <c r="M1088" s="2">
        <f t="shared" si="65"/>
        <v>1173079000</v>
      </c>
      <c r="N1088" s="37">
        <f t="shared" si="66"/>
        <v>0.16477409658462874</v>
      </c>
      <c r="O1088" s="2">
        <f t="shared" si="67"/>
        <v>324080000</v>
      </c>
    </row>
    <row r="1089" spans="1:15" x14ac:dyDescent="0.3">
      <c r="A1089" t="s">
        <v>194</v>
      </c>
      <c r="B1089">
        <v>1</v>
      </c>
      <c r="C1089">
        <v>2012</v>
      </c>
      <c r="D1089" s="1">
        <v>41274</v>
      </c>
      <c r="E1089" s="2">
        <v>7383000000</v>
      </c>
      <c r="F1089" s="2">
        <v>4365000000</v>
      </c>
      <c r="G1089" s="2">
        <v>1742000000</v>
      </c>
      <c r="H1089">
        <v>0</v>
      </c>
      <c r="I1089" s="2">
        <v>75000000</v>
      </c>
      <c r="J1089" t="s">
        <v>21</v>
      </c>
      <c r="K1089" t="s">
        <v>195</v>
      </c>
      <c r="L1089" s="37">
        <f t="shared" si="64"/>
        <v>0.40877691995123933</v>
      </c>
      <c r="M1089" s="2">
        <f t="shared" si="65"/>
        <v>3018000000</v>
      </c>
      <c r="N1089" s="37">
        <f t="shared" si="66"/>
        <v>0.16267100094812406</v>
      </c>
      <c r="O1089" s="2">
        <f t="shared" si="67"/>
        <v>1201000000</v>
      </c>
    </row>
    <row r="1090" spans="1:15" x14ac:dyDescent="0.3">
      <c r="A1090" t="s">
        <v>194</v>
      </c>
      <c r="B1090">
        <v>2</v>
      </c>
      <c r="C1090">
        <v>2013</v>
      </c>
      <c r="D1090" s="1">
        <v>41639</v>
      </c>
      <c r="E1090" s="2">
        <v>7146000000</v>
      </c>
      <c r="F1090" s="2">
        <v>4326000000</v>
      </c>
      <c r="G1090" s="2">
        <v>1740000000</v>
      </c>
      <c r="H1090">
        <v>0</v>
      </c>
      <c r="I1090" s="2">
        <v>79000000</v>
      </c>
      <c r="J1090" t="s">
        <v>21</v>
      </c>
      <c r="K1090" t="s">
        <v>195</v>
      </c>
      <c r="L1090" s="37">
        <f t="shared" ref="L1090:L1153" si="68">1-(F1090/E1090)</f>
        <v>0.39462636439966414</v>
      </c>
      <c r="M1090" s="2">
        <f t="shared" ref="M1090:M1153" si="69">E1090-F1090</f>
        <v>2820000000</v>
      </c>
      <c r="N1090" s="37">
        <f t="shared" ref="N1090:N1153" si="70">O1090/E1090</f>
        <v>0.14007836551917158</v>
      </c>
      <c r="O1090" s="2">
        <f t="shared" ref="O1090:O1153" si="71">M1090-SUM(G1090:I1090)</f>
        <v>1001000000</v>
      </c>
    </row>
    <row r="1091" spans="1:15" x14ac:dyDescent="0.3">
      <c r="A1091" t="s">
        <v>194</v>
      </c>
      <c r="B1091">
        <v>3</v>
      </c>
      <c r="C1091">
        <v>2014</v>
      </c>
      <c r="D1091" s="1">
        <v>42004</v>
      </c>
      <c r="E1091" s="2">
        <v>7435000000</v>
      </c>
      <c r="F1091" s="2">
        <v>4637000000</v>
      </c>
      <c r="G1091" s="2">
        <v>1721000000</v>
      </c>
      <c r="H1091">
        <v>0</v>
      </c>
      <c r="I1091" s="2">
        <v>94000000</v>
      </c>
      <c r="J1091" t="s">
        <v>21</v>
      </c>
      <c r="K1091" t="s">
        <v>195</v>
      </c>
      <c r="L1091" s="37">
        <f t="shared" si="68"/>
        <v>0.37632817753866843</v>
      </c>
      <c r="M1091" s="2">
        <f t="shared" si="69"/>
        <v>2798000000</v>
      </c>
      <c r="N1091" s="37">
        <f t="shared" si="70"/>
        <v>0.13221250840618695</v>
      </c>
      <c r="O1091" s="2">
        <f t="shared" si="71"/>
        <v>983000000</v>
      </c>
    </row>
    <row r="1092" spans="1:15" x14ac:dyDescent="0.3">
      <c r="A1092" t="s">
        <v>194</v>
      </c>
      <c r="B1092">
        <v>4</v>
      </c>
      <c r="C1092">
        <v>2015</v>
      </c>
      <c r="D1092" s="1">
        <v>42369</v>
      </c>
      <c r="E1092" s="2">
        <v>7493000000</v>
      </c>
      <c r="F1092" s="2">
        <v>4657000000</v>
      </c>
      <c r="G1092" s="2">
        <v>1356000000</v>
      </c>
      <c r="H1092">
        <v>0</v>
      </c>
      <c r="I1092" s="2">
        <v>81000000</v>
      </c>
      <c r="J1092" t="s">
        <v>21</v>
      </c>
      <c r="K1092" t="s">
        <v>195</v>
      </c>
      <c r="L1092" s="37">
        <f t="shared" si="68"/>
        <v>0.37848658748164954</v>
      </c>
      <c r="M1092" s="2">
        <f t="shared" si="69"/>
        <v>2836000000</v>
      </c>
      <c r="N1092" s="37">
        <f t="shared" si="70"/>
        <v>0.18670759375417056</v>
      </c>
      <c r="O1092" s="2">
        <f t="shared" si="71"/>
        <v>1399000000</v>
      </c>
    </row>
    <row r="1093" spans="1:15" x14ac:dyDescent="0.3">
      <c r="A1093" t="s">
        <v>399</v>
      </c>
      <c r="B1093">
        <v>1</v>
      </c>
      <c r="C1093">
        <v>2013</v>
      </c>
      <c r="D1093" s="1">
        <v>41515</v>
      </c>
      <c r="E1093" s="2">
        <v>9073000000</v>
      </c>
      <c r="F1093" s="2">
        <v>7226000000</v>
      </c>
      <c r="G1093" s="2">
        <v>554000000</v>
      </c>
      <c r="H1093" s="2">
        <v>931000000</v>
      </c>
      <c r="I1093">
        <v>0</v>
      </c>
      <c r="J1093" t="s">
        <v>18</v>
      </c>
      <c r="K1093" t="s">
        <v>30</v>
      </c>
      <c r="L1093" s="37">
        <f t="shared" si="68"/>
        <v>0.20357103493882944</v>
      </c>
      <c r="M1093" s="2">
        <f t="shared" si="69"/>
        <v>1847000000</v>
      </c>
      <c r="N1093" s="37">
        <f t="shared" si="70"/>
        <v>3.9898600242477683E-2</v>
      </c>
      <c r="O1093" s="2">
        <f t="shared" si="71"/>
        <v>362000000</v>
      </c>
    </row>
    <row r="1094" spans="1:15" x14ac:dyDescent="0.3">
      <c r="A1094" t="s">
        <v>399</v>
      </c>
      <c r="B1094">
        <v>2</v>
      </c>
      <c r="C1094">
        <v>2014</v>
      </c>
      <c r="D1094" s="1">
        <v>41879</v>
      </c>
      <c r="E1094" s="2">
        <v>16358000000</v>
      </c>
      <c r="F1094" s="2">
        <v>10921000000</v>
      </c>
      <c r="G1094" s="2">
        <v>939000000</v>
      </c>
      <c r="H1094" s="2">
        <v>1371000000</v>
      </c>
      <c r="I1094">
        <v>0</v>
      </c>
      <c r="J1094" t="s">
        <v>18</v>
      </c>
      <c r="K1094" t="s">
        <v>30</v>
      </c>
      <c r="L1094" s="37">
        <f t="shared" si="68"/>
        <v>0.33237559603863553</v>
      </c>
      <c r="M1094" s="2">
        <f t="shared" si="69"/>
        <v>5437000000</v>
      </c>
      <c r="N1094" s="37">
        <f t="shared" si="70"/>
        <v>0.19116028854383177</v>
      </c>
      <c r="O1094" s="2">
        <f t="shared" si="71"/>
        <v>3127000000</v>
      </c>
    </row>
    <row r="1095" spans="1:15" x14ac:dyDescent="0.3">
      <c r="A1095" t="s">
        <v>399</v>
      </c>
      <c r="B1095">
        <v>3</v>
      </c>
      <c r="C1095">
        <v>2015</v>
      </c>
      <c r="D1095" s="1">
        <v>42250</v>
      </c>
      <c r="E1095" s="2">
        <v>16192000000</v>
      </c>
      <c r="F1095" s="2">
        <v>10977000000</v>
      </c>
      <c r="G1095" s="2">
        <v>674000000</v>
      </c>
      <c r="H1095" s="2">
        <v>1540000000</v>
      </c>
      <c r="I1095">
        <v>0</v>
      </c>
      <c r="J1095" t="s">
        <v>18</v>
      </c>
      <c r="K1095" t="s">
        <v>30</v>
      </c>
      <c r="L1095" s="37">
        <f t="shared" si="68"/>
        <v>0.32207262845849804</v>
      </c>
      <c r="M1095" s="2">
        <f t="shared" si="69"/>
        <v>5215000000</v>
      </c>
      <c r="N1095" s="37">
        <f t="shared" si="70"/>
        <v>0.18533843873517786</v>
      </c>
      <c r="O1095" s="2">
        <f t="shared" si="71"/>
        <v>3001000000</v>
      </c>
    </row>
    <row r="1096" spans="1:15" x14ac:dyDescent="0.3">
      <c r="A1096" t="s">
        <v>399</v>
      </c>
      <c r="B1096">
        <v>4</v>
      </c>
      <c r="C1096">
        <v>2016</v>
      </c>
      <c r="D1096" s="1">
        <v>42614</v>
      </c>
      <c r="E1096" s="2">
        <v>12399000000</v>
      </c>
      <c r="F1096" s="2">
        <v>9894000000</v>
      </c>
      <c r="G1096" s="2">
        <v>653000000</v>
      </c>
      <c r="H1096" s="2">
        <v>1617000000</v>
      </c>
      <c r="I1096">
        <v>0</v>
      </c>
      <c r="J1096" t="s">
        <v>18</v>
      </c>
      <c r="K1096" t="s">
        <v>30</v>
      </c>
      <c r="L1096" s="37">
        <f t="shared" si="68"/>
        <v>0.20203242196951365</v>
      </c>
      <c r="M1096" s="2">
        <f t="shared" si="69"/>
        <v>2505000000</v>
      </c>
      <c r="N1096" s="37">
        <f t="shared" si="70"/>
        <v>1.8953141382369545E-2</v>
      </c>
      <c r="O1096" s="2">
        <f t="shared" si="71"/>
        <v>235000000</v>
      </c>
    </row>
    <row r="1097" spans="1:15" x14ac:dyDescent="0.3">
      <c r="A1097" t="s">
        <v>400</v>
      </c>
      <c r="B1097">
        <v>1</v>
      </c>
      <c r="C1097">
        <v>2012</v>
      </c>
      <c r="D1097" s="1">
        <v>41274</v>
      </c>
      <c r="E1097" s="2">
        <v>4608563000</v>
      </c>
      <c r="F1097" s="2">
        <v>1079136000</v>
      </c>
      <c r="G1097" s="2">
        <v>285144000</v>
      </c>
      <c r="H1097">
        <v>0</v>
      </c>
      <c r="I1097" s="2">
        <v>1291456000</v>
      </c>
      <c r="J1097" t="s">
        <v>79</v>
      </c>
      <c r="K1097" t="s">
        <v>140</v>
      </c>
      <c r="L1097" s="37">
        <f t="shared" si="68"/>
        <v>0.76584110925683335</v>
      </c>
      <c r="M1097" s="2">
        <f t="shared" si="69"/>
        <v>3529427000</v>
      </c>
      <c r="N1097" s="37">
        <f t="shared" si="70"/>
        <v>0.42373880968970157</v>
      </c>
      <c r="O1097" s="2">
        <f t="shared" si="71"/>
        <v>1952827000</v>
      </c>
    </row>
    <row r="1098" spans="1:15" x14ac:dyDescent="0.3">
      <c r="A1098" t="s">
        <v>400</v>
      </c>
      <c r="B1098">
        <v>2</v>
      </c>
      <c r="C1098">
        <v>2013</v>
      </c>
      <c r="D1098" s="1">
        <v>41639</v>
      </c>
      <c r="E1098" s="2">
        <v>5312686000</v>
      </c>
      <c r="F1098" s="2">
        <v>1252812000</v>
      </c>
      <c r="G1098" s="2">
        <v>466498000</v>
      </c>
      <c r="H1098">
        <v>0</v>
      </c>
      <c r="I1098" s="2">
        <v>1602390000</v>
      </c>
      <c r="J1098" t="s">
        <v>79</v>
      </c>
      <c r="K1098" t="s">
        <v>140</v>
      </c>
      <c r="L1098" s="37">
        <f t="shared" si="68"/>
        <v>0.76418482101144314</v>
      </c>
      <c r="M1098" s="2">
        <f t="shared" si="69"/>
        <v>4059874000</v>
      </c>
      <c r="N1098" s="37">
        <f t="shared" si="70"/>
        <v>0.37476071426016894</v>
      </c>
      <c r="O1098" s="2">
        <f t="shared" si="71"/>
        <v>1990986000</v>
      </c>
    </row>
    <row r="1099" spans="1:15" x14ac:dyDescent="0.3">
      <c r="A1099" t="s">
        <v>400</v>
      </c>
      <c r="B1099">
        <v>3</v>
      </c>
      <c r="C1099">
        <v>2014</v>
      </c>
      <c r="D1099" s="1">
        <v>42004</v>
      </c>
      <c r="E1099" s="2">
        <v>5288933000</v>
      </c>
      <c r="F1099" s="2">
        <v>1089888000</v>
      </c>
      <c r="G1099" s="2">
        <v>471219000</v>
      </c>
      <c r="H1099">
        <v>0</v>
      </c>
      <c r="I1099" s="2">
        <v>1957025000</v>
      </c>
      <c r="J1099" t="s">
        <v>79</v>
      </c>
      <c r="K1099" t="s">
        <v>140</v>
      </c>
      <c r="L1099" s="37">
        <f t="shared" si="68"/>
        <v>0.79393045818504415</v>
      </c>
      <c r="M1099" s="2">
        <f t="shared" si="69"/>
        <v>4199045000</v>
      </c>
      <c r="N1099" s="37">
        <f t="shared" si="70"/>
        <v>0.33481252267706929</v>
      </c>
      <c r="O1099" s="2">
        <f t="shared" si="71"/>
        <v>1770801000</v>
      </c>
    </row>
    <row r="1100" spans="1:15" x14ac:dyDescent="0.3">
      <c r="A1100" t="s">
        <v>400</v>
      </c>
      <c r="B1100">
        <v>4</v>
      </c>
      <c r="C1100">
        <v>2015</v>
      </c>
      <c r="D1100" s="1">
        <v>42369</v>
      </c>
      <c r="E1100" s="2">
        <v>2787116000</v>
      </c>
      <c r="F1100" s="2">
        <v>832306000</v>
      </c>
      <c r="G1100" s="2">
        <v>372457000</v>
      </c>
      <c r="H1100">
        <v>0</v>
      </c>
      <c r="I1100" s="2">
        <v>1668489000</v>
      </c>
      <c r="J1100" t="s">
        <v>79</v>
      </c>
      <c r="K1100" t="s">
        <v>140</v>
      </c>
      <c r="L1100" s="37">
        <f t="shared" si="68"/>
        <v>0.70137374978292977</v>
      </c>
      <c r="M1100" s="2">
        <f t="shared" si="69"/>
        <v>1954810000</v>
      </c>
      <c r="N1100" s="37">
        <f t="shared" si="70"/>
        <v>-3.0905064590063709E-2</v>
      </c>
      <c r="O1100" s="2">
        <f t="shared" si="71"/>
        <v>-86136000</v>
      </c>
    </row>
    <row r="1101" spans="1:15" x14ac:dyDescent="0.3">
      <c r="A1101" t="s">
        <v>213</v>
      </c>
      <c r="B1101">
        <v>1</v>
      </c>
      <c r="C1101">
        <v>2012</v>
      </c>
      <c r="D1101" s="1">
        <v>41274</v>
      </c>
      <c r="E1101" s="2">
        <v>8186280000</v>
      </c>
      <c r="F1101" s="2">
        <v>5583549000</v>
      </c>
      <c r="G1101" s="2">
        <v>889879000</v>
      </c>
      <c r="H1101">
        <v>0</v>
      </c>
      <c r="I1101" s="2">
        <v>341969000</v>
      </c>
      <c r="J1101" t="s">
        <v>21</v>
      </c>
      <c r="K1101" t="s">
        <v>195</v>
      </c>
      <c r="L1101" s="37">
        <f t="shared" si="68"/>
        <v>0.31793818437678656</v>
      </c>
      <c r="M1101" s="2">
        <f t="shared" si="69"/>
        <v>2602731000</v>
      </c>
      <c r="N1101" s="37">
        <f t="shared" si="70"/>
        <v>0.16746104457702399</v>
      </c>
      <c r="O1101" s="2">
        <f t="shared" si="71"/>
        <v>1370883000</v>
      </c>
    </row>
    <row r="1102" spans="1:15" x14ac:dyDescent="0.3">
      <c r="A1102" t="s">
        <v>213</v>
      </c>
      <c r="B1102">
        <v>2</v>
      </c>
      <c r="C1102">
        <v>2013</v>
      </c>
      <c r="D1102" s="1">
        <v>41639</v>
      </c>
      <c r="E1102" s="2">
        <v>11764050000</v>
      </c>
      <c r="F1102" s="2">
        <v>8198377000</v>
      </c>
      <c r="G1102" s="2">
        <v>1516508000</v>
      </c>
      <c r="H1102">
        <v>0</v>
      </c>
      <c r="I1102" s="2">
        <v>528737000</v>
      </c>
      <c r="J1102" t="s">
        <v>21</v>
      </c>
      <c r="K1102" t="s">
        <v>195</v>
      </c>
      <c r="L1102" s="37">
        <f t="shared" si="68"/>
        <v>0.30309910277497976</v>
      </c>
      <c r="M1102" s="2">
        <f t="shared" si="69"/>
        <v>3565673000</v>
      </c>
      <c r="N1102" s="37">
        <f t="shared" si="70"/>
        <v>0.12924358532988214</v>
      </c>
      <c r="O1102" s="2">
        <f t="shared" si="71"/>
        <v>1520428000</v>
      </c>
    </row>
    <row r="1103" spans="1:15" x14ac:dyDescent="0.3">
      <c r="A1103" t="s">
        <v>402</v>
      </c>
      <c r="B1103">
        <v>1</v>
      </c>
      <c r="C1103">
        <v>2013</v>
      </c>
      <c r="D1103" s="1">
        <v>41639</v>
      </c>
      <c r="E1103" s="2">
        <v>5015000000</v>
      </c>
      <c r="F1103" s="2">
        <v>844000000</v>
      </c>
      <c r="G1103" s="2">
        <v>446000000</v>
      </c>
      <c r="H1103">
        <v>0</v>
      </c>
      <c r="I1103" s="2">
        <v>1568000000</v>
      </c>
      <c r="J1103" t="s">
        <v>79</v>
      </c>
      <c r="K1103" t="s">
        <v>80</v>
      </c>
      <c r="L1103" s="37">
        <f t="shared" si="68"/>
        <v>0.83170488534396814</v>
      </c>
      <c r="M1103" s="2">
        <f t="shared" si="69"/>
        <v>4171000000</v>
      </c>
      <c r="N1103" s="37">
        <f t="shared" si="70"/>
        <v>0.43010967098703889</v>
      </c>
      <c r="O1103" s="2">
        <f t="shared" si="71"/>
        <v>2157000000</v>
      </c>
    </row>
    <row r="1104" spans="1:15" x14ac:dyDescent="0.3">
      <c r="A1104" t="s">
        <v>402</v>
      </c>
      <c r="B1104">
        <v>2</v>
      </c>
      <c r="C1104">
        <v>2014</v>
      </c>
      <c r="D1104" s="1">
        <v>42004</v>
      </c>
      <c r="E1104" s="2">
        <v>5115000000</v>
      </c>
      <c r="F1104" s="2">
        <v>945000000</v>
      </c>
      <c r="G1104" s="2">
        <v>495000000</v>
      </c>
      <c r="H1104">
        <v>0</v>
      </c>
      <c r="I1104" s="2">
        <v>1759000000</v>
      </c>
      <c r="J1104" t="s">
        <v>79</v>
      </c>
      <c r="K1104" t="s">
        <v>80</v>
      </c>
      <c r="L1104" s="37">
        <f t="shared" si="68"/>
        <v>0.81524926686217003</v>
      </c>
      <c r="M1104" s="2">
        <f t="shared" si="69"/>
        <v>4170000000</v>
      </c>
      <c r="N1104" s="37">
        <f t="shared" si="70"/>
        <v>0.37458455522971651</v>
      </c>
      <c r="O1104" s="2">
        <f t="shared" si="71"/>
        <v>1916000000</v>
      </c>
    </row>
    <row r="1105" spans="1:15" x14ac:dyDescent="0.3">
      <c r="A1105" t="s">
        <v>402</v>
      </c>
      <c r="B1105">
        <v>3</v>
      </c>
      <c r="C1105">
        <v>2015</v>
      </c>
      <c r="D1105" s="1">
        <v>42369</v>
      </c>
      <c r="E1105" s="2">
        <v>3183000000</v>
      </c>
      <c r="F1105" s="2">
        <v>979000000</v>
      </c>
      <c r="G1105" s="2">
        <v>745000000</v>
      </c>
      <c r="H1105">
        <v>0</v>
      </c>
      <c r="I1105" s="2">
        <v>2131000000</v>
      </c>
      <c r="J1105" t="s">
        <v>79</v>
      </c>
      <c r="K1105" t="s">
        <v>80</v>
      </c>
      <c r="L1105" s="37">
        <f t="shared" si="68"/>
        <v>0.69242852654728249</v>
      </c>
      <c r="M1105" s="2">
        <f t="shared" si="69"/>
        <v>2204000000</v>
      </c>
      <c r="N1105" s="37">
        <f t="shared" si="70"/>
        <v>-0.21112158341187559</v>
      </c>
      <c r="O1105" s="2">
        <f t="shared" si="71"/>
        <v>-672000000</v>
      </c>
    </row>
    <row r="1106" spans="1:15" x14ac:dyDescent="0.3">
      <c r="A1106" t="s">
        <v>402</v>
      </c>
      <c r="B1106">
        <v>4</v>
      </c>
      <c r="C1106">
        <v>2016</v>
      </c>
      <c r="D1106" s="1">
        <v>42735</v>
      </c>
      <c r="E1106" s="2">
        <v>3491000000</v>
      </c>
      <c r="F1106" s="2">
        <v>1083000000</v>
      </c>
      <c r="G1106" s="2">
        <v>233000000</v>
      </c>
      <c r="H1106">
        <v>0</v>
      </c>
      <c r="I1106" s="2">
        <v>2454000000</v>
      </c>
      <c r="J1106" t="s">
        <v>79</v>
      </c>
      <c r="K1106" t="s">
        <v>80</v>
      </c>
      <c r="L1106" s="37">
        <f t="shared" si="68"/>
        <v>0.68977370380979663</v>
      </c>
      <c r="M1106" s="2">
        <f t="shared" si="69"/>
        <v>2408000000</v>
      </c>
      <c r="N1106" s="37">
        <f t="shared" si="70"/>
        <v>-7.9919793755370949E-2</v>
      </c>
      <c r="O1106" s="2">
        <f t="shared" si="71"/>
        <v>-279000000</v>
      </c>
    </row>
    <row r="1107" spans="1:15" x14ac:dyDescent="0.3">
      <c r="A1107" t="s">
        <v>213</v>
      </c>
      <c r="B1107">
        <v>3</v>
      </c>
      <c r="C1107">
        <v>2014</v>
      </c>
      <c r="D1107" s="1">
        <v>42004</v>
      </c>
      <c r="E1107" s="2">
        <v>12795106000</v>
      </c>
      <c r="F1107" s="2">
        <v>9119305000</v>
      </c>
      <c r="G1107" s="2">
        <v>1278506000</v>
      </c>
      <c r="H1107">
        <v>0</v>
      </c>
      <c r="I1107" s="2">
        <v>590935000</v>
      </c>
      <c r="J1107" t="s">
        <v>21</v>
      </c>
      <c r="K1107" t="s">
        <v>195</v>
      </c>
      <c r="L1107" s="37">
        <f t="shared" si="68"/>
        <v>0.28728179352324246</v>
      </c>
      <c r="M1107" s="2">
        <f t="shared" si="69"/>
        <v>3675801000</v>
      </c>
      <c r="N1107" s="37">
        <f t="shared" si="70"/>
        <v>0.14117585270493266</v>
      </c>
      <c r="O1107" s="2">
        <f t="shared" si="71"/>
        <v>1806360000</v>
      </c>
    </row>
    <row r="1108" spans="1:15" x14ac:dyDescent="0.3">
      <c r="A1108" t="s">
        <v>213</v>
      </c>
      <c r="B1108">
        <v>4</v>
      </c>
      <c r="C1108">
        <v>2015</v>
      </c>
      <c r="D1108" s="1">
        <v>42369</v>
      </c>
      <c r="E1108" s="2">
        <v>13781837000</v>
      </c>
      <c r="F1108" s="2">
        <v>9824834000</v>
      </c>
      <c r="G1108" s="2">
        <v>1947135000</v>
      </c>
      <c r="H1108">
        <v>0</v>
      </c>
      <c r="I1108" s="2">
        <v>638024000</v>
      </c>
      <c r="J1108" t="s">
        <v>21</v>
      </c>
      <c r="K1108" t="s">
        <v>195</v>
      </c>
      <c r="L1108" s="37">
        <f t="shared" si="68"/>
        <v>0.28711723988609061</v>
      </c>
      <c r="M1108" s="2">
        <f t="shared" si="69"/>
        <v>3957003000</v>
      </c>
      <c r="N1108" s="37">
        <f t="shared" si="70"/>
        <v>9.9539996010691467E-2</v>
      </c>
      <c r="O1108" s="2">
        <f t="shared" si="71"/>
        <v>1371844000</v>
      </c>
    </row>
    <row r="1109" spans="1:15" x14ac:dyDescent="0.3">
      <c r="A1109" t="s">
        <v>235</v>
      </c>
      <c r="B1109">
        <v>1</v>
      </c>
      <c r="C1109">
        <v>2012</v>
      </c>
      <c r="D1109" s="1">
        <v>41274</v>
      </c>
      <c r="E1109" s="2">
        <v>1899600000</v>
      </c>
      <c r="F1109" s="2">
        <v>491000000</v>
      </c>
      <c r="G1109" s="2">
        <v>697400000</v>
      </c>
      <c r="H1109" s="2">
        <v>291300000</v>
      </c>
      <c r="I1109">
        <v>0</v>
      </c>
      <c r="J1109" t="s">
        <v>21</v>
      </c>
      <c r="K1109" t="s">
        <v>26</v>
      </c>
      <c r="L1109" s="37">
        <f t="shared" si="68"/>
        <v>0.74152453148031161</v>
      </c>
      <c r="M1109" s="2">
        <f t="shared" si="69"/>
        <v>1408600000</v>
      </c>
      <c r="N1109" s="37">
        <f t="shared" si="70"/>
        <v>0.22104653611286587</v>
      </c>
      <c r="O1109" s="2">
        <f t="shared" si="71"/>
        <v>419900000</v>
      </c>
    </row>
    <row r="1110" spans="1:15" x14ac:dyDescent="0.3">
      <c r="A1110" t="s">
        <v>235</v>
      </c>
      <c r="B1110">
        <v>2</v>
      </c>
      <c r="C1110">
        <v>2013</v>
      </c>
      <c r="D1110" s="1">
        <v>41639</v>
      </c>
      <c r="E1110" s="2">
        <v>2045500000</v>
      </c>
      <c r="F1110" s="2">
        <v>516600000</v>
      </c>
      <c r="G1110" s="2">
        <v>749700000</v>
      </c>
      <c r="H1110" s="2">
        <v>323000000</v>
      </c>
      <c r="I1110">
        <v>0</v>
      </c>
      <c r="J1110" t="s">
        <v>21</v>
      </c>
      <c r="K1110" t="s">
        <v>26</v>
      </c>
      <c r="L1110" s="37">
        <f t="shared" si="68"/>
        <v>0.74744561231972617</v>
      </c>
      <c r="M1110" s="2">
        <f t="shared" si="69"/>
        <v>1528900000</v>
      </c>
      <c r="N1110" s="37">
        <f t="shared" si="70"/>
        <v>0.2230261549743339</v>
      </c>
      <c r="O1110" s="2">
        <f t="shared" si="71"/>
        <v>456200000</v>
      </c>
    </row>
    <row r="1111" spans="1:15" x14ac:dyDescent="0.3">
      <c r="A1111" t="s">
        <v>404</v>
      </c>
      <c r="B1111">
        <v>1</v>
      </c>
      <c r="C1111">
        <v>2012</v>
      </c>
      <c r="D1111" s="1">
        <v>41274</v>
      </c>
      <c r="E1111" s="2">
        <v>14256000000</v>
      </c>
      <c r="F1111" s="2">
        <v>8276000000</v>
      </c>
      <c r="G1111" s="2">
        <v>1186000000</v>
      </c>
      <c r="H1111">
        <v>0</v>
      </c>
      <c r="I1111" s="2">
        <v>1518000000</v>
      </c>
      <c r="J1111" t="s">
        <v>38</v>
      </c>
      <c r="K1111" t="s">
        <v>39</v>
      </c>
      <c r="L1111" s="37">
        <f t="shared" si="68"/>
        <v>0.41947250280583614</v>
      </c>
      <c r="M1111" s="2">
        <f t="shared" si="69"/>
        <v>5980000000</v>
      </c>
      <c r="N1111" s="37">
        <f t="shared" si="70"/>
        <v>0.22979797979797981</v>
      </c>
      <c r="O1111" s="2">
        <f t="shared" si="71"/>
        <v>3276000000</v>
      </c>
    </row>
    <row r="1112" spans="1:15" x14ac:dyDescent="0.3">
      <c r="A1112" t="s">
        <v>404</v>
      </c>
      <c r="B1112">
        <v>2</v>
      </c>
      <c r="C1112">
        <v>2013</v>
      </c>
      <c r="D1112" s="1">
        <v>41639</v>
      </c>
      <c r="E1112" s="2">
        <v>15136000000</v>
      </c>
      <c r="F1112" s="2">
        <v>8152000000</v>
      </c>
      <c r="G1112" s="2">
        <v>1280000000</v>
      </c>
      <c r="H1112">
        <v>0</v>
      </c>
      <c r="I1112" s="2">
        <v>2163000000</v>
      </c>
      <c r="J1112" t="s">
        <v>38</v>
      </c>
      <c r="K1112" t="s">
        <v>39</v>
      </c>
      <c r="L1112" s="37">
        <f t="shared" si="68"/>
        <v>0.46141649048625788</v>
      </c>
      <c r="M1112" s="2">
        <f t="shared" si="69"/>
        <v>6984000000</v>
      </c>
      <c r="N1112" s="37">
        <f t="shared" si="70"/>
        <v>0.23394556025369978</v>
      </c>
      <c r="O1112" s="2">
        <f t="shared" si="71"/>
        <v>3541000000</v>
      </c>
    </row>
    <row r="1113" spans="1:15" x14ac:dyDescent="0.3">
      <c r="A1113" t="s">
        <v>404</v>
      </c>
      <c r="B1113">
        <v>3</v>
      </c>
      <c r="C1113">
        <v>2014</v>
      </c>
      <c r="D1113" s="1">
        <v>42004</v>
      </c>
      <c r="E1113" s="2">
        <v>17021000000</v>
      </c>
      <c r="F1113" s="2">
        <v>8751000000</v>
      </c>
      <c r="G1113" s="2">
        <v>1324000000</v>
      </c>
      <c r="H1113">
        <v>0</v>
      </c>
      <c r="I1113" s="2">
        <v>2551000000</v>
      </c>
      <c r="J1113" t="s">
        <v>38</v>
      </c>
      <c r="K1113" t="s">
        <v>39</v>
      </c>
      <c r="L1113" s="37">
        <f t="shared" si="68"/>
        <v>0.48587039539392518</v>
      </c>
      <c r="M1113" s="2">
        <f t="shared" si="69"/>
        <v>8270000000</v>
      </c>
      <c r="N1113" s="37">
        <f t="shared" si="70"/>
        <v>0.25821044591974618</v>
      </c>
      <c r="O1113" s="2">
        <f t="shared" si="71"/>
        <v>4395000000</v>
      </c>
    </row>
    <row r="1114" spans="1:15" x14ac:dyDescent="0.3">
      <c r="A1114" t="s">
        <v>404</v>
      </c>
      <c r="B1114">
        <v>4</v>
      </c>
      <c r="C1114">
        <v>2015</v>
      </c>
      <c r="D1114" s="1">
        <v>42369</v>
      </c>
      <c r="E1114" s="2">
        <v>17486000000</v>
      </c>
      <c r="F1114" s="2">
        <v>8596000000</v>
      </c>
      <c r="G1114" s="2">
        <v>1399000000</v>
      </c>
      <c r="H1114">
        <v>0</v>
      </c>
      <c r="I1114" s="2">
        <v>2831000000</v>
      </c>
      <c r="J1114" t="s">
        <v>38</v>
      </c>
      <c r="K1114" t="s">
        <v>39</v>
      </c>
      <c r="L1114" s="37">
        <f t="shared" si="68"/>
        <v>0.50840672538030418</v>
      </c>
      <c r="M1114" s="2">
        <f t="shared" si="69"/>
        <v>8890000000</v>
      </c>
      <c r="N1114" s="37">
        <f t="shared" si="70"/>
        <v>0.26649891341644744</v>
      </c>
      <c r="O1114" s="2">
        <f t="shared" si="71"/>
        <v>4660000000</v>
      </c>
    </row>
    <row r="1115" spans="1:15" x14ac:dyDescent="0.3">
      <c r="A1115" t="s">
        <v>405</v>
      </c>
      <c r="B1115">
        <v>1</v>
      </c>
      <c r="C1115">
        <v>2012</v>
      </c>
      <c r="D1115" s="1">
        <v>41274</v>
      </c>
      <c r="E1115" s="2">
        <v>9964000000</v>
      </c>
      <c r="F1115" s="2">
        <v>4334000000</v>
      </c>
      <c r="G1115" s="2">
        <v>757000000</v>
      </c>
      <c r="H1115" s="2">
        <v>704000000</v>
      </c>
      <c r="I1115" s="2">
        <v>1032000000</v>
      </c>
      <c r="J1115" t="s">
        <v>55</v>
      </c>
      <c r="K1115" t="s">
        <v>406</v>
      </c>
      <c r="L1115" s="37">
        <f t="shared" si="68"/>
        <v>0.56503412284223198</v>
      </c>
      <c r="M1115" s="2">
        <f t="shared" si="69"/>
        <v>5630000000</v>
      </c>
      <c r="N1115" s="37">
        <f t="shared" si="70"/>
        <v>0.31483340024086715</v>
      </c>
      <c r="O1115" s="2">
        <f t="shared" si="71"/>
        <v>3137000000</v>
      </c>
    </row>
    <row r="1116" spans="1:15" x14ac:dyDescent="0.3">
      <c r="A1116" t="s">
        <v>405</v>
      </c>
      <c r="B1116">
        <v>2</v>
      </c>
      <c r="C1116">
        <v>2013</v>
      </c>
      <c r="D1116" s="1">
        <v>41639</v>
      </c>
      <c r="E1116" s="2">
        <v>8414000000</v>
      </c>
      <c r="F1116" s="2">
        <v>5299000000</v>
      </c>
      <c r="G1116" s="2">
        <v>584000000</v>
      </c>
      <c r="H1116" s="2">
        <v>469000000</v>
      </c>
      <c r="I1116" s="2">
        <v>1362000000</v>
      </c>
      <c r="J1116" t="s">
        <v>55</v>
      </c>
      <c r="K1116" t="s">
        <v>406</v>
      </c>
      <c r="L1116" s="37">
        <f t="shared" si="68"/>
        <v>0.37021630615640599</v>
      </c>
      <c r="M1116" s="2">
        <f t="shared" si="69"/>
        <v>3115000000</v>
      </c>
      <c r="N1116" s="37">
        <f t="shared" si="70"/>
        <v>8.3194675540765387E-2</v>
      </c>
      <c r="O1116" s="2">
        <f t="shared" si="71"/>
        <v>700000000</v>
      </c>
    </row>
    <row r="1117" spans="1:15" x14ac:dyDescent="0.3">
      <c r="A1117" t="s">
        <v>405</v>
      </c>
      <c r="B1117">
        <v>3</v>
      </c>
      <c r="C1117">
        <v>2014</v>
      </c>
      <c r="D1117" s="1">
        <v>42004</v>
      </c>
      <c r="E1117" s="2">
        <v>7292000000</v>
      </c>
      <c r="F1117" s="2">
        <v>4457000000</v>
      </c>
      <c r="G1117" s="2">
        <v>545000000</v>
      </c>
      <c r="H1117" s="2">
        <v>325000000</v>
      </c>
      <c r="I1117" s="2">
        <v>1229000000</v>
      </c>
      <c r="J1117" t="s">
        <v>55</v>
      </c>
      <c r="K1117" t="s">
        <v>406</v>
      </c>
      <c r="L1117" s="37">
        <f t="shared" si="68"/>
        <v>0.38878222709818977</v>
      </c>
      <c r="M1117" s="2">
        <f t="shared" si="69"/>
        <v>2835000000</v>
      </c>
      <c r="N1117" s="37">
        <f t="shared" si="70"/>
        <v>0.10093252879868349</v>
      </c>
      <c r="O1117" s="2">
        <f t="shared" si="71"/>
        <v>736000000</v>
      </c>
    </row>
    <row r="1118" spans="1:15" x14ac:dyDescent="0.3">
      <c r="A1118" t="s">
        <v>405</v>
      </c>
      <c r="B1118">
        <v>4</v>
      </c>
      <c r="C1118">
        <v>2015</v>
      </c>
      <c r="D1118" s="1">
        <v>42369</v>
      </c>
      <c r="E1118" s="2">
        <v>7729000000</v>
      </c>
      <c r="F1118" s="2">
        <v>4312000000</v>
      </c>
      <c r="G1118" s="2">
        <v>670000000</v>
      </c>
      <c r="H1118" s="2">
        <v>289000000</v>
      </c>
      <c r="I1118" s="2">
        <v>1239000000</v>
      </c>
      <c r="J1118" t="s">
        <v>55</v>
      </c>
      <c r="K1118" t="s">
        <v>406</v>
      </c>
      <c r="L1118" s="37">
        <f t="shared" si="68"/>
        <v>0.44210117738387888</v>
      </c>
      <c r="M1118" s="2">
        <f t="shared" si="69"/>
        <v>3417000000</v>
      </c>
      <c r="N1118" s="37">
        <f t="shared" si="70"/>
        <v>0.15771768663475222</v>
      </c>
      <c r="O1118" s="2">
        <f t="shared" si="71"/>
        <v>1219000000</v>
      </c>
    </row>
    <row r="1119" spans="1:15" x14ac:dyDescent="0.3">
      <c r="A1119" t="s">
        <v>407</v>
      </c>
      <c r="B1119">
        <v>1</v>
      </c>
      <c r="C1119">
        <v>2013</v>
      </c>
      <c r="D1119" s="1">
        <v>41639</v>
      </c>
      <c r="E1119" s="2">
        <v>4374562000</v>
      </c>
      <c r="F1119" s="2">
        <v>3117203000</v>
      </c>
      <c r="G1119" s="2">
        <v>650243000</v>
      </c>
      <c r="H1119" s="2">
        <v>378769000</v>
      </c>
      <c r="I1119">
        <v>0</v>
      </c>
      <c r="J1119" t="s">
        <v>18</v>
      </c>
      <c r="K1119" t="s">
        <v>53</v>
      </c>
      <c r="L1119" s="37">
        <f t="shared" si="68"/>
        <v>0.28742511821754957</v>
      </c>
      <c r="M1119" s="2">
        <f t="shared" si="69"/>
        <v>1257359000</v>
      </c>
      <c r="N1119" s="37">
        <f t="shared" si="70"/>
        <v>5.2198825848164911E-2</v>
      </c>
      <c r="O1119" s="2">
        <f t="shared" si="71"/>
        <v>228347000</v>
      </c>
    </row>
    <row r="1120" spans="1:15" x14ac:dyDescent="0.3">
      <c r="A1120" t="s">
        <v>407</v>
      </c>
      <c r="B1120">
        <v>2</v>
      </c>
      <c r="C1120">
        <v>2014</v>
      </c>
      <c r="D1120" s="1">
        <v>42004</v>
      </c>
      <c r="E1120" s="2">
        <v>5504656000</v>
      </c>
      <c r="F1120" s="2">
        <v>3752760000</v>
      </c>
      <c r="G1120" s="2">
        <v>876927000</v>
      </c>
      <c r="H1120" s="2">
        <v>472321000</v>
      </c>
      <c r="I1120">
        <v>0</v>
      </c>
      <c r="J1120" t="s">
        <v>18</v>
      </c>
      <c r="K1120" t="s">
        <v>53</v>
      </c>
      <c r="L1120" s="37">
        <f t="shared" si="68"/>
        <v>0.31825712633087333</v>
      </c>
      <c r="M1120" s="2">
        <f t="shared" si="69"/>
        <v>1751896000</v>
      </c>
      <c r="N1120" s="37">
        <f t="shared" si="70"/>
        <v>7.3146805177289914E-2</v>
      </c>
      <c r="O1120" s="2">
        <f t="shared" si="71"/>
        <v>402648000</v>
      </c>
    </row>
    <row r="1121" spans="1:15" x14ac:dyDescent="0.3">
      <c r="A1121" t="s">
        <v>407</v>
      </c>
      <c r="B1121">
        <v>3</v>
      </c>
      <c r="C1121">
        <v>2015</v>
      </c>
      <c r="D1121" s="1">
        <v>42369</v>
      </c>
      <c r="E1121" s="2">
        <v>6779511000</v>
      </c>
      <c r="F1121" s="2">
        <v>4591476000</v>
      </c>
      <c r="G1121" s="2">
        <v>1231421000</v>
      </c>
      <c r="H1121" s="2">
        <v>650788000</v>
      </c>
      <c r="I1121">
        <v>0</v>
      </c>
      <c r="J1121" t="s">
        <v>18</v>
      </c>
      <c r="K1121" t="s">
        <v>53</v>
      </c>
      <c r="L1121" s="37">
        <f t="shared" si="68"/>
        <v>0.32274230398033132</v>
      </c>
      <c r="M1121" s="2">
        <f t="shared" si="69"/>
        <v>2188035000</v>
      </c>
      <c r="N1121" s="37">
        <f t="shared" si="70"/>
        <v>4.5110333178897413E-2</v>
      </c>
      <c r="O1121" s="2">
        <f t="shared" si="71"/>
        <v>305826000</v>
      </c>
    </row>
    <row r="1122" spans="1:15" x14ac:dyDescent="0.3">
      <c r="A1122" t="s">
        <v>407</v>
      </c>
      <c r="B1122">
        <v>4</v>
      </c>
      <c r="C1122">
        <v>2016</v>
      </c>
      <c r="D1122" s="1">
        <v>42735</v>
      </c>
      <c r="E1122" s="2">
        <v>8830669000</v>
      </c>
      <c r="F1122" s="2">
        <v>6029901000</v>
      </c>
      <c r="G1122" s="2">
        <v>1568877000</v>
      </c>
      <c r="H1122" s="2">
        <v>852098000</v>
      </c>
      <c r="I1122">
        <v>0</v>
      </c>
      <c r="J1122" t="s">
        <v>18</v>
      </c>
      <c r="K1122" t="s">
        <v>53</v>
      </c>
      <c r="L1122" s="37">
        <f t="shared" si="68"/>
        <v>0.31716373923651764</v>
      </c>
      <c r="M1122" s="2">
        <f t="shared" si="69"/>
        <v>2800768000</v>
      </c>
      <c r="N1122" s="37">
        <f t="shared" si="70"/>
        <v>4.3008406271370835E-2</v>
      </c>
      <c r="O1122" s="2">
        <f t="shared" si="71"/>
        <v>379793000</v>
      </c>
    </row>
    <row r="1123" spans="1:15" x14ac:dyDescent="0.3">
      <c r="A1123" t="s">
        <v>408</v>
      </c>
      <c r="B1123">
        <v>1</v>
      </c>
      <c r="C1123">
        <v>2012</v>
      </c>
      <c r="D1123" s="1">
        <v>41274</v>
      </c>
      <c r="E1123" s="2">
        <v>1562000000</v>
      </c>
      <c r="F1123" s="2">
        <v>413000000</v>
      </c>
      <c r="G1123" s="2">
        <v>311000000</v>
      </c>
      <c r="H1123">
        <v>0</v>
      </c>
      <c r="I1123" s="2">
        <v>704000000</v>
      </c>
      <c r="J1123" t="s">
        <v>79</v>
      </c>
      <c r="K1123" t="s">
        <v>80</v>
      </c>
      <c r="L1123" s="37">
        <f t="shared" si="68"/>
        <v>0.73559539052496792</v>
      </c>
      <c r="M1123" s="2">
        <f t="shared" si="69"/>
        <v>1149000000</v>
      </c>
      <c r="N1123" s="37">
        <f t="shared" si="70"/>
        <v>8.5787451984635082E-2</v>
      </c>
      <c r="O1123" s="2">
        <f t="shared" si="71"/>
        <v>134000000</v>
      </c>
    </row>
    <row r="1124" spans="1:15" x14ac:dyDescent="0.3">
      <c r="A1124" t="s">
        <v>408</v>
      </c>
      <c r="B1124">
        <v>2</v>
      </c>
      <c r="C1124">
        <v>2013</v>
      </c>
      <c r="D1124" s="1">
        <v>41639</v>
      </c>
      <c r="E1124" s="2">
        <v>1857000000</v>
      </c>
      <c r="F1124" s="2">
        <v>411000000</v>
      </c>
      <c r="G1124" s="2">
        <v>311000000</v>
      </c>
      <c r="H1124">
        <v>0</v>
      </c>
      <c r="I1124" s="2">
        <v>685000000</v>
      </c>
      <c r="J1124" t="s">
        <v>79</v>
      </c>
      <c r="K1124" t="s">
        <v>80</v>
      </c>
      <c r="L1124" s="37">
        <f t="shared" si="68"/>
        <v>0.77867528271405495</v>
      </c>
      <c r="M1124" s="2">
        <f t="shared" si="69"/>
        <v>1446000000</v>
      </c>
      <c r="N1124" s="37">
        <f t="shared" si="70"/>
        <v>0.24232633279483037</v>
      </c>
      <c r="O1124" s="2">
        <f t="shared" si="71"/>
        <v>450000000</v>
      </c>
    </row>
    <row r="1125" spans="1:15" x14ac:dyDescent="0.3">
      <c r="A1125" t="s">
        <v>408</v>
      </c>
      <c r="B1125">
        <v>3</v>
      </c>
      <c r="C1125">
        <v>2014</v>
      </c>
      <c r="D1125" s="1">
        <v>42004</v>
      </c>
      <c r="E1125" s="2">
        <v>2288000000</v>
      </c>
      <c r="F1125" s="2">
        <v>485000000</v>
      </c>
      <c r="G1125" s="2">
        <v>358000000</v>
      </c>
      <c r="H1125">
        <v>0</v>
      </c>
      <c r="I1125" s="2">
        <v>870000000</v>
      </c>
      <c r="J1125" t="s">
        <v>79</v>
      </c>
      <c r="K1125" t="s">
        <v>80</v>
      </c>
      <c r="L1125" s="37">
        <f t="shared" si="68"/>
        <v>0.78802447552447552</v>
      </c>
      <c r="M1125" s="2">
        <f t="shared" si="69"/>
        <v>1803000000</v>
      </c>
      <c r="N1125" s="37">
        <f t="shared" si="70"/>
        <v>0.2513111888111888</v>
      </c>
      <c r="O1125" s="2">
        <f t="shared" si="71"/>
        <v>575000000</v>
      </c>
    </row>
    <row r="1126" spans="1:15" x14ac:dyDescent="0.3">
      <c r="A1126" t="s">
        <v>408</v>
      </c>
      <c r="B1126">
        <v>4</v>
      </c>
      <c r="C1126">
        <v>2015</v>
      </c>
      <c r="D1126" s="1">
        <v>42369</v>
      </c>
      <c r="E1126" s="2">
        <v>1557000000</v>
      </c>
      <c r="F1126" s="2">
        <v>497000000</v>
      </c>
      <c r="G1126" s="2">
        <v>5204000000</v>
      </c>
      <c r="H1126">
        <v>0</v>
      </c>
      <c r="I1126" s="2">
        <v>917000000</v>
      </c>
      <c r="J1126" t="s">
        <v>79</v>
      </c>
      <c r="K1126" t="s">
        <v>80</v>
      </c>
      <c r="L1126" s="37">
        <f t="shared" si="68"/>
        <v>0.680796403339756</v>
      </c>
      <c r="M1126" s="2">
        <f t="shared" si="69"/>
        <v>1060000000</v>
      </c>
      <c r="N1126" s="37">
        <f t="shared" si="70"/>
        <v>-3.2504816955684008</v>
      </c>
      <c r="O1126" s="2">
        <f t="shared" si="71"/>
        <v>-5061000000</v>
      </c>
    </row>
    <row r="1127" spans="1:15" x14ac:dyDescent="0.3">
      <c r="A1127" t="s">
        <v>409</v>
      </c>
      <c r="B1127">
        <v>1</v>
      </c>
      <c r="C1127">
        <v>2013</v>
      </c>
      <c r="D1127" s="1">
        <v>41425</v>
      </c>
      <c r="E1127" s="2">
        <v>25313000000</v>
      </c>
      <c r="F1127" s="2">
        <v>14279000000</v>
      </c>
      <c r="G1127" s="2">
        <v>7796000000</v>
      </c>
      <c r="H1127">
        <v>0</v>
      </c>
      <c r="I1127">
        <v>0</v>
      </c>
      <c r="J1127" t="s">
        <v>15</v>
      </c>
      <c r="K1127" t="s">
        <v>285</v>
      </c>
      <c r="L1127" s="37">
        <f t="shared" si="68"/>
        <v>0.4359025006913444</v>
      </c>
      <c r="M1127" s="2">
        <f t="shared" si="69"/>
        <v>11034000000</v>
      </c>
      <c r="N1127" s="37">
        <f t="shared" si="70"/>
        <v>0.12791846086990874</v>
      </c>
      <c r="O1127" s="2">
        <f t="shared" si="71"/>
        <v>3238000000</v>
      </c>
    </row>
    <row r="1128" spans="1:15" x14ac:dyDescent="0.3">
      <c r="A1128" t="s">
        <v>409</v>
      </c>
      <c r="B1128">
        <v>2</v>
      </c>
      <c r="C1128">
        <v>2014</v>
      </c>
      <c r="D1128" s="1">
        <v>41790</v>
      </c>
      <c r="E1128" s="2">
        <v>27799000000</v>
      </c>
      <c r="F1128" s="2">
        <v>15353000000</v>
      </c>
      <c r="G1128" s="2">
        <v>8766000000</v>
      </c>
      <c r="H1128">
        <v>0</v>
      </c>
      <c r="I1128">
        <v>0</v>
      </c>
      <c r="J1128" t="s">
        <v>15</v>
      </c>
      <c r="K1128" t="s">
        <v>285</v>
      </c>
      <c r="L1128" s="37">
        <f t="shared" si="68"/>
        <v>0.44771394654483976</v>
      </c>
      <c r="M1128" s="2">
        <f t="shared" si="69"/>
        <v>12446000000</v>
      </c>
      <c r="N1128" s="37">
        <f t="shared" si="70"/>
        <v>0.13237886254901254</v>
      </c>
      <c r="O1128" s="2">
        <f t="shared" si="71"/>
        <v>3680000000</v>
      </c>
    </row>
    <row r="1129" spans="1:15" x14ac:dyDescent="0.3">
      <c r="A1129" t="s">
        <v>409</v>
      </c>
      <c r="B1129">
        <v>3</v>
      </c>
      <c r="C1129">
        <v>2015</v>
      </c>
      <c r="D1129" s="1">
        <v>42155</v>
      </c>
      <c r="E1129" s="2">
        <v>30601000000</v>
      </c>
      <c r="F1129" s="2">
        <v>16534000000</v>
      </c>
      <c r="G1129" s="2">
        <v>9892000000</v>
      </c>
      <c r="H1129">
        <v>0</v>
      </c>
      <c r="I1129">
        <v>0</v>
      </c>
      <c r="J1129" t="s">
        <v>15</v>
      </c>
      <c r="K1129" t="s">
        <v>285</v>
      </c>
      <c r="L1129" s="37">
        <f t="shared" si="68"/>
        <v>0.45969085977582436</v>
      </c>
      <c r="M1129" s="2">
        <f t="shared" si="69"/>
        <v>14067000000</v>
      </c>
      <c r="N1129" s="37">
        <f t="shared" si="70"/>
        <v>0.13643344988725858</v>
      </c>
      <c r="O1129" s="2">
        <f t="shared" si="71"/>
        <v>4175000000</v>
      </c>
    </row>
    <row r="1130" spans="1:15" x14ac:dyDescent="0.3">
      <c r="A1130" t="s">
        <v>409</v>
      </c>
      <c r="B1130">
        <v>4</v>
      </c>
      <c r="C1130">
        <v>2016</v>
      </c>
      <c r="D1130" s="1">
        <v>42521</v>
      </c>
      <c r="E1130" s="2">
        <v>32376000000</v>
      </c>
      <c r="F1130" s="2">
        <v>17405000000</v>
      </c>
      <c r="G1130" s="2">
        <v>10469000000</v>
      </c>
      <c r="H1130">
        <v>0</v>
      </c>
      <c r="I1130">
        <v>0</v>
      </c>
      <c r="J1130" t="s">
        <v>15</v>
      </c>
      <c r="K1130" t="s">
        <v>285</v>
      </c>
      <c r="L1130" s="37">
        <f t="shared" si="68"/>
        <v>0.46241042747714356</v>
      </c>
      <c r="M1130" s="2">
        <f t="shared" si="69"/>
        <v>14971000000</v>
      </c>
      <c r="N1130" s="37">
        <f t="shared" si="70"/>
        <v>0.13905361996540647</v>
      </c>
      <c r="O1130" s="2">
        <f t="shared" si="71"/>
        <v>4502000000</v>
      </c>
    </row>
    <row r="1131" spans="1:15" x14ac:dyDescent="0.3">
      <c r="A1131" t="s">
        <v>410</v>
      </c>
      <c r="B1131">
        <v>1</v>
      </c>
      <c r="C1131">
        <v>2013</v>
      </c>
      <c r="D1131" s="1">
        <v>41639</v>
      </c>
      <c r="E1131" s="2">
        <v>5703000000</v>
      </c>
      <c r="F1131" s="2">
        <v>2398000000</v>
      </c>
      <c r="G1131" s="2">
        <v>1815000000</v>
      </c>
      <c r="H1131">
        <v>0</v>
      </c>
      <c r="I1131" s="2">
        <v>510000000</v>
      </c>
      <c r="J1131" t="s">
        <v>12</v>
      </c>
      <c r="K1131" t="s">
        <v>207</v>
      </c>
      <c r="L1131" s="37">
        <f t="shared" si="68"/>
        <v>0.57951955111344899</v>
      </c>
      <c r="M1131" s="2">
        <f t="shared" si="69"/>
        <v>3305000000</v>
      </c>
      <c r="N1131" s="37">
        <f t="shared" si="70"/>
        <v>0.17183938278099245</v>
      </c>
      <c r="O1131" s="2">
        <f t="shared" si="71"/>
        <v>980000000</v>
      </c>
    </row>
    <row r="1132" spans="1:15" x14ac:dyDescent="0.3">
      <c r="A1132" t="s">
        <v>410</v>
      </c>
      <c r="B1132">
        <v>2</v>
      </c>
      <c r="C1132">
        <v>2014</v>
      </c>
      <c r="D1132" s="1">
        <v>42004</v>
      </c>
      <c r="E1132" s="2">
        <v>6288000000</v>
      </c>
      <c r="F1132" s="2">
        <v>2620000000</v>
      </c>
      <c r="G1132" s="2">
        <v>1917000000</v>
      </c>
      <c r="H1132">
        <v>0</v>
      </c>
      <c r="I1132" s="2">
        <v>573000000</v>
      </c>
      <c r="J1132" t="s">
        <v>12</v>
      </c>
      <c r="K1132" t="s">
        <v>207</v>
      </c>
      <c r="L1132" s="37">
        <f t="shared" si="68"/>
        <v>0.58333333333333326</v>
      </c>
      <c r="M1132" s="2">
        <f t="shared" si="69"/>
        <v>3668000000</v>
      </c>
      <c r="N1132" s="37">
        <f t="shared" si="70"/>
        <v>0.18734096692111959</v>
      </c>
      <c r="O1132" s="2">
        <f t="shared" si="71"/>
        <v>1178000000</v>
      </c>
    </row>
    <row r="1133" spans="1:15" x14ac:dyDescent="0.3">
      <c r="A1133" t="s">
        <v>410</v>
      </c>
      <c r="B1133">
        <v>3</v>
      </c>
      <c r="C1133">
        <v>2015</v>
      </c>
      <c r="D1133" s="1">
        <v>42369</v>
      </c>
      <c r="E1133" s="2">
        <v>6172000000</v>
      </c>
      <c r="F1133" s="2">
        <v>2539000000</v>
      </c>
      <c r="G1133" s="2">
        <v>1915000000</v>
      </c>
      <c r="H1133">
        <v>0</v>
      </c>
      <c r="I1133" s="2">
        <v>574000000</v>
      </c>
      <c r="J1133" t="s">
        <v>12</v>
      </c>
      <c r="K1133" t="s">
        <v>207</v>
      </c>
      <c r="L1133" s="37">
        <f t="shared" si="68"/>
        <v>0.58862605314322747</v>
      </c>
      <c r="M1133" s="2">
        <f t="shared" si="69"/>
        <v>3633000000</v>
      </c>
      <c r="N1133" s="37">
        <f t="shared" si="70"/>
        <v>0.18535320803629293</v>
      </c>
      <c r="O1133" s="2">
        <f t="shared" si="71"/>
        <v>1144000000</v>
      </c>
    </row>
    <row r="1134" spans="1:15" x14ac:dyDescent="0.3">
      <c r="A1134" t="s">
        <v>410</v>
      </c>
      <c r="B1134">
        <v>4</v>
      </c>
      <c r="C1134">
        <v>2016</v>
      </c>
      <c r="D1134" s="1">
        <v>42735</v>
      </c>
      <c r="E1134" s="2">
        <v>6309000000</v>
      </c>
      <c r="F1134" s="2">
        <v>2607000000</v>
      </c>
      <c r="G1134" s="2">
        <v>1851000000</v>
      </c>
      <c r="H1134">
        <v>0</v>
      </c>
      <c r="I1134" s="2">
        <v>603000000</v>
      </c>
      <c r="J1134" t="s">
        <v>12</v>
      </c>
      <c r="K1134" t="s">
        <v>207</v>
      </c>
      <c r="L1134" s="37">
        <f t="shared" si="68"/>
        <v>0.58678078934854971</v>
      </c>
      <c r="M1134" s="2">
        <f t="shared" si="69"/>
        <v>3702000000</v>
      </c>
      <c r="N1134" s="37">
        <f t="shared" si="70"/>
        <v>0.19781264859724204</v>
      </c>
      <c r="O1134" s="2">
        <f t="shared" si="71"/>
        <v>1248000000</v>
      </c>
    </row>
    <row r="1135" spans="1:15" x14ac:dyDescent="0.3">
      <c r="A1135" t="s">
        <v>411</v>
      </c>
      <c r="B1135">
        <v>1</v>
      </c>
      <c r="C1135">
        <v>2012</v>
      </c>
      <c r="D1135" s="1">
        <v>41274</v>
      </c>
      <c r="E1135" s="2">
        <v>17194000000</v>
      </c>
      <c r="F1135" s="2">
        <v>12151000000</v>
      </c>
      <c r="G1135" s="2">
        <v>1654000000</v>
      </c>
      <c r="H1135">
        <v>0</v>
      </c>
      <c r="I1135">
        <v>0</v>
      </c>
      <c r="J1135" t="s">
        <v>79</v>
      </c>
      <c r="K1135" t="s">
        <v>110</v>
      </c>
      <c r="L1135" s="37">
        <f t="shared" si="68"/>
        <v>0.29329998836803539</v>
      </c>
      <c r="M1135" s="2">
        <f t="shared" si="69"/>
        <v>5043000000</v>
      </c>
      <c r="N1135" s="37">
        <f t="shared" si="70"/>
        <v>0.19710364080493195</v>
      </c>
      <c r="O1135" s="2">
        <f t="shared" si="71"/>
        <v>3389000000</v>
      </c>
    </row>
    <row r="1136" spans="1:15" x14ac:dyDescent="0.3">
      <c r="A1136" t="s">
        <v>411</v>
      </c>
      <c r="B1136">
        <v>2</v>
      </c>
      <c r="C1136">
        <v>2013</v>
      </c>
      <c r="D1136" s="1">
        <v>41639</v>
      </c>
      <c r="E1136" s="2">
        <v>19221000000</v>
      </c>
      <c r="F1136" s="2">
        <v>14117000000</v>
      </c>
      <c r="G1136" s="2">
        <v>1905000000</v>
      </c>
      <c r="H1136">
        <v>0</v>
      </c>
      <c r="I1136">
        <v>0</v>
      </c>
      <c r="J1136" t="s">
        <v>79</v>
      </c>
      <c r="K1136" t="s">
        <v>110</v>
      </c>
      <c r="L1136" s="37">
        <f t="shared" si="68"/>
        <v>0.26554289579106183</v>
      </c>
      <c r="M1136" s="2">
        <f t="shared" si="69"/>
        <v>5104000000</v>
      </c>
      <c r="N1136" s="37">
        <f t="shared" si="70"/>
        <v>0.16643254773424901</v>
      </c>
      <c r="O1136" s="2">
        <f t="shared" si="71"/>
        <v>3199000000</v>
      </c>
    </row>
    <row r="1137" spans="1:15" x14ac:dyDescent="0.3">
      <c r="A1137" t="s">
        <v>411</v>
      </c>
      <c r="B1137">
        <v>3</v>
      </c>
      <c r="C1137">
        <v>2014</v>
      </c>
      <c r="D1137" s="1">
        <v>42004</v>
      </c>
      <c r="E1137" s="2">
        <v>21440000000</v>
      </c>
      <c r="F1137" s="2">
        <v>15631000000</v>
      </c>
      <c r="G1137" s="2">
        <v>2092000000</v>
      </c>
      <c r="H1137">
        <v>0</v>
      </c>
      <c r="I1137">
        <v>0</v>
      </c>
      <c r="J1137" t="s">
        <v>79</v>
      </c>
      <c r="K1137" t="s">
        <v>110</v>
      </c>
      <c r="L1137" s="37">
        <f t="shared" si="68"/>
        <v>0.27094216417910444</v>
      </c>
      <c r="M1137" s="2">
        <f t="shared" si="69"/>
        <v>5809000000</v>
      </c>
      <c r="N1137" s="37">
        <f t="shared" si="70"/>
        <v>0.17336753731343282</v>
      </c>
      <c r="O1137" s="2">
        <f t="shared" si="71"/>
        <v>3717000000</v>
      </c>
    </row>
    <row r="1138" spans="1:15" x14ac:dyDescent="0.3">
      <c r="A1138" t="s">
        <v>411</v>
      </c>
      <c r="B1138">
        <v>4</v>
      </c>
      <c r="C1138">
        <v>2015</v>
      </c>
      <c r="D1138" s="1">
        <v>42369</v>
      </c>
      <c r="E1138" s="2">
        <v>14757000000</v>
      </c>
      <c r="F1138" s="2">
        <v>11694000000</v>
      </c>
      <c r="G1138" s="2">
        <v>1764000000</v>
      </c>
      <c r="H1138">
        <v>0</v>
      </c>
      <c r="I1138">
        <v>0</v>
      </c>
      <c r="J1138" t="s">
        <v>79</v>
      </c>
      <c r="K1138" t="s">
        <v>110</v>
      </c>
      <c r="L1138" s="37">
        <f t="shared" si="68"/>
        <v>0.20756251270583448</v>
      </c>
      <c r="M1138" s="2">
        <f t="shared" si="69"/>
        <v>3063000000</v>
      </c>
      <c r="N1138" s="37">
        <f t="shared" si="70"/>
        <v>8.8026021549095348E-2</v>
      </c>
      <c r="O1138" s="2">
        <f t="shared" si="71"/>
        <v>1299000000</v>
      </c>
    </row>
    <row r="1139" spans="1:15" x14ac:dyDescent="0.3">
      <c r="A1139" t="s">
        <v>412</v>
      </c>
      <c r="B1139">
        <v>1</v>
      </c>
      <c r="C1139">
        <v>2013</v>
      </c>
      <c r="D1139" s="1">
        <v>41639</v>
      </c>
      <c r="E1139" s="2">
        <v>11245000000</v>
      </c>
      <c r="F1139" s="2">
        <v>4070000000</v>
      </c>
      <c r="G1139" s="2">
        <v>3002000000</v>
      </c>
      <c r="H1139">
        <v>0</v>
      </c>
      <c r="I1139" s="2">
        <v>916000000</v>
      </c>
      <c r="J1139" t="s">
        <v>12</v>
      </c>
      <c r="K1139" t="s">
        <v>174</v>
      </c>
      <c r="L1139" s="37">
        <f t="shared" si="68"/>
        <v>0.63806136060471319</v>
      </c>
      <c r="M1139" s="2">
        <f t="shared" si="69"/>
        <v>7175000000</v>
      </c>
      <c r="N1139" s="37">
        <f t="shared" si="70"/>
        <v>0.28963983992885728</v>
      </c>
      <c r="O1139" s="2">
        <f t="shared" si="71"/>
        <v>3257000000</v>
      </c>
    </row>
    <row r="1140" spans="1:15" x14ac:dyDescent="0.3">
      <c r="A1140" t="s">
        <v>412</v>
      </c>
      <c r="B1140">
        <v>2</v>
      </c>
      <c r="C1140">
        <v>2014</v>
      </c>
      <c r="D1140" s="1">
        <v>42004</v>
      </c>
      <c r="E1140" s="2">
        <v>11624000000</v>
      </c>
      <c r="F1140" s="2">
        <v>4201000000</v>
      </c>
      <c r="G1140" s="2">
        <v>2897000000</v>
      </c>
      <c r="H1140">
        <v>0</v>
      </c>
      <c r="I1140" s="2">
        <v>951000000</v>
      </c>
      <c r="J1140" t="s">
        <v>12</v>
      </c>
      <c r="K1140" t="s">
        <v>174</v>
      </c>
      <c r="L1140" s="37">
        <f t="shared" si="68"/>
        <v>0.63859256710254653</v>
      </c>
      <c r="M1140" s="2">
        <f t="shared" si="69"/>
        <v>7423000000</v>
      </c>
      <c r="N1140" s="37">
        <f t="shared" si="70"/>
        <v>0.30755333792154166</v>
      </c>
      <c r="O1140" s="2">
        <f t="shared" si="71"/>
        <v>3575000000</v>
      </c>
    </row>
    <row r="1141" spans="1:15" x14ac:dyDescent="0.3">
      <c r="A1141" t="s">
        <v>412</v>
      </c>
      <c r="B1141">
        <v>3</v>
      </c>
      <c r="C1141">
        <v>2015</v>
      </c>
      <c r="D1141" s="1">
        <v>42369</v>
      </c>
      <c r="E1141" s="2">
        <v>10511000000</v>
      </c>
      <c r="F1141" s="2">
        <v>3662000000</v>
      </c>
      <c r="G1141" s="2">
        <v>2911000000</v>
      </c>
      <c r="H1141">
        <v>0</v>
      </c>
      <c r="I1141" s="2">
        <v>1054000000</v>
      </c>
      <c r="J1141" t="s">
        <v>12</v>
      </c>
      <c r="K1141" t="s">
        <v>174</v>
      </c>
      <c r="L1141" s="37">
        <f t="shared" si="68"/>
        <v>0.65160308248501564</v>
      </c>
      <c r="M1141" s="2">
        <f t="shared" si="69"/>
        <v>6849000000</v>
      </c>
      <c r="N1141" s="37">
        <f t="shared" si="70"/>
        <v>0.27437922176767199</v>
      </c>
      <c r="O1141" s="2">
        <f t="shared" si="71"/>
        <v>2884000000</v>
      </c>
    </row>
    <row r="1142" spans="1:15" x14ac:dyDescent="0.3">
      <c r="A1142" t="s">
        <v>412</v>
      </c>
      <c r="B1142">
        <v>4</v>
      </c>
      <c r="C1142">
        <v>2016</v>
      </c>
      <c r="D1142" s="1">
        <v>42735</v>
      </c>
      <c r="E1142" s="2">
        <v>9888000000</v>
      </c>
      <c r="F1142" s="2">
        <v>3045000000</v>
      </c>
      <c r="G1142" s="2">
        <v>2743000000</v>
      </c>
      <c r="H1142">
        <v>0</v>
      </c>
      <c r="I1142" s="2">
        <v>1026000000</v>
      </c>
      <c r="J1142" t="s">
        <v>12</v>
      </c>
      <c r="K1142" t="s">
        <v>174</v>
      </c>
      <c r="L1142" s="37">
        <f t="shared" si="68"/>
        <v>0.69205097087378642</v>
      </c>
      <c r="M1142" s="2">
        <f t="shared" si="69"/>
        <v>6843000000</v>
      </c>
      <c r="N1142" s="37">
        <f t="shared" si="70"/>
        <v>0.31088187702265374</v>
      </c>
      <c r="O1142" s="2">
        <f t="shared" si="71"/>
        <v>3074000000</v>
      </c>
    </row>
    <row r="1143" spans="1:15" x14ac:dyDescent="0.3">
      <c r="A1143" t="s">
        <v>413</v>
      </c>
      <c r="B1143">
        <v>1</v>
      </c>
      <c r="C1143">
        <v>2013</v>
      </c>
      <c r="D1143" s="1">
        <v>41390</v>
      </c>
      <c r="E1143" s="2">
        <v>6332400000</v>
      </c>
      <c r="F1143" s="2">
        <v>2571300000</v>
      </c>
      <c r="G1143" s="2">
        <v>2247400000</v>
      </c>
      <c r="H1143" s="2">
        <v>904200000</v>
      </c>
      <c r="I1143">
        <v>0</v>
      </c>
      <c r="J1143" t="s">
        <v>18</v>
      </c>
      <c r="K1143" t="s">
        <v>53</v>
      </c>
      <c r="L1143" s="37">
        <f t="shared" si="68"/>
        <v>0.59394542353610014</v>
      </c>
      <c r="M1143" s="2">
        <f t="shared" si="69"/>
        <v>3761100000</v>
      </c>
      <c r="N1143" s="37">
        <f t="shared" si="70"/>
        <v>9.6251026467058298E-2</v>
      </c>
      <c r="O1143" s="2">
        <f t="shared" si="71"/>
        <v>609500000</v>
      </c>
    </row>
    <row r="1144" spans="1:15" x14ac:dyDescent="0.3">
      <c r="A1144" t="s">
        <v>413</v>
      </c>
      <c r="B1144">
        <v>2</v>
      </c>
      <c r="C1144">
        <v>2014</v>
      </c>
      <c r="D1144" s="1">
        <v>41754</v>
      </c>
      <c r="E1144" s="2">
        <v>6325000000</v>
      </c>
      <c r="F1144" s="2">
        <v>2406000000</v>
      </c>
      <c r="G1144" s="2">
        <v>2179000000</v>
      </c>
      <c r="H1144" s="2">
        <v>918000000</v>
      </c>
      <c r="I1144">
        <v>0</v>
      </c>
      <c r="J1144" t="s">
        <v>18</v>
      </c>
      <c r="K1144" t="s">
        <v>53</v>
      </c>
      <c r="L1144" s="37">
        <f t="shared" si="68"/>
        <v>0.61960474308300395</v>
      </c>
      <c r="M1144" s="2">
        <f t="shared" si="69"/>
        <v>3919000000</v>
      </c>
      <c r="N1144" s="37">
        <f t="shared" si="70"/>
        <v>0.12996047430830041</v>
      </c>
      <c r="O1144" s="2">
        <f t="shared" si="71"/>
        <v>822000000</v>
      </c>
    </row>
    <row r="1145" spans="1:15" x14ac:dyDescent="0.3">
      <c r="A1145" t="s">
        <v>413</v>
      </c>
      <c r="B1145">
        <v>3</v>
      </c>
      <c r="C1145">
        <v>2015</v>
      </c>
      <c r="D1145" s="1">
        <v>42118</v>
      </c>
      <c r="E1145" s="2">
        <v>6123000000</v>
      </c>
      <c r="F1145" s="2">
        <v>2290000000</v>
      </c>
      <c r="G1145" s="2">
        <v>2197000000</v>
      </c>
      <c r="H1145" s="2">
        <v>920000000</v>
      </c>
      <c r="I1145">
        <v>0</v>
      </c>
      <c r="J1145" t="s">
        <v>18</v>
      </c>
      <c r="K1145" t="s">
        <v>53</v>
      </c>
      <c r="L1145" s="37">
        <f t="shared" si="68"/>
        <v>0.62600032663726934</v>
      </c>
      <c r="M1145" s="2">
        <f t="shared" si="69"/>
        <v>3833000000</v>
      </c>
      <c r="N1145" s="37">
        <f t="shared" si="70"/>
        <v>0.11693614241384942</v>
      </c>
      <c r="O1145" s="2">
        <f t="shared" si="71"/>
        <v>716000000</v>
      </c>
    </row>
    <row r="1146" spans="1:15" x14ac:dyDescent="0.3">
      <c r="A1146" t="s">
        <v>413</v>
      </c>
      <c r="B1146">
        <v>4</v>
      </c>
      <c r="C1146">
        <v>2016</v>
      </c>
      <c r="D1146" s="1">
        <v>42489</v>
      </c>
      <c r="E1146" s="2">
        <v>5546000000</v>
      </c>
      <c r="F1146" s="2">
        <v>2173000000</v>
      </c>
      <c r="G1146" s="2">
        <v>2099000000</v>
      </c>
      <c r="H1146" s="2">
        <v>861000000</v>
      </c>
      <c r="I1146">
        <v>0</v>
      </c>
      <c r="J1146" t="s">
        <v>18</v>
      </c>
      <c r="K1146" t="s">
        <v>53</v>
      </c>
      <c r="L1146" s="37">
        <f t="shared" si="68"/>
        <v>0.60818608005769925</v>
      </c>
      <c r="M1146" s="2">
        <f t="shared" si="69"/>
        <v>3373000000</v>
      </c>
      <c r="N1146" s="37">
        <f t="shared" si="70"/>
        <v>7.4468085106382975E-2</v>
      </c>
      <c r="O1146" s="2">
        <f t="shared" si="71"/>
        <v>413000000</v>
      </c>
    </row>
    <row r="1147" spans="1:15" x14ac:dyDescent="0.3">
      <c r="A1147" t="s">
        <v>414</v>
      </c>
      <c r="B1147">
        <v>1</v>
      </c>
      <c r="C1147">
        <v>2012</v>
      </c>
      <c r="D1147" s="1">
        <v>41274</v>
      </c>
      <c r="E1147" s="2">
        <v>19429273000</v>
      </c>
      <c r="F1147" s="2">
        <v>17915735000</v>
      </c>
      <c r="G1147" s="2">
        <v>454900000</v>
      </c>
      <c r="H1147">
        <v>0</v>
      </c>
      <c r="I1147">
        <v>0</v>
      </c>
      <c r="J1147" t="s">
        <v>55</v>
      </c>
      <c r="K1147" t="s">
        <v>415</v>
      </c>
      <c r="L1147" s="37">
        <f t="shared" si="68"/>
        <v>7.7899878188957494E-2</v>
      </c>
      <c r="M1147" s="2">
        <f t="shared" si="69"/>
        <v>1513538000</v>
      </c>
      <c r="N1147" s="37">
        <f t="shared" si="70"/>
        <v>5.448675305555694E-2</v>
      </c>
      <c r="O1147" s="2">
        <f t="shared" si="71"/>
        <v>1058638000</v>
      </c>
    </row>
    <row r="1148" spans="1:15" x14ac:dyDescent="0.3">
      <c r="A1148" t="s">
        <v>414</v>
      </c>
      <c r="B1148">
        <v>2</v>
      </c>
      <c r="C1148">
        <v>2013</v>
      </c>
      <c r="D1148" s="1">
        <v>41639</v>
      </c>
      <c r="E1148" s="2">
        <v>19052046000</v>
      </c>
      <c r="F1148" s="2">
        <v>17641421000</v>
      </c>
      <c r="G1148" s="2">
        <v>467904000</v>
      </c>
      <c r="H1148">
        <v>0</v>
      </c>
      <c r="I1148">
        <v>0</v>
      </c>
      <c r="J1148" t="s">
        <v>55</v>
      </c>
      <c r="K1148" t="s">
        <v>415</v>
      </c>
      <c r="L1148" s="37">
        <f t="shared" si="68"/>
        <v>7.4040604352939354E-2</v>
      </c>
      <c r="M1148" s="2">
        <f t="shared" si="69"/>
        <v>1410625000</v>
      </c>
      <c r="N1148" s="37">
        <f t="shared" si="70"/>
        <v>4.9481352291507172E-2</v>
      </c>
      <c r="O1148" s="2">
        <f t="shared" si="71"/>
        <v>942721000</v>
      </c>
    </row>
    <row r="1149" spans="1:15" x14ac:dyDescent="0.3">
      <c r="A1149" t="s">
        <v>414</v>
      </c>
      <c r="B1149">
        <v>3</v>
      </c>
      <c r="C1149">
        <v>2014</v>
      </c>
      <c r="D1149" s="1">
        <v>42004</v>
      </c>
      <c r="E1149" s="2">
        <v>21105141000</v>
      </c>
      <c r="F1149" s="2">
        <v>19198615000</v>
      </c>
      <c r="G1149" s="2">
        <v>520805000</v>
      </c>
      <c r="H1149">
        <v>0</v>
      </c>
      <c r="I1149">
        <v>0</v>
      </c>
      <c r="J1149" t="s">
        <v>55</v>
      </c>
      <c r="K1149" t="s">
        <v>415</v>
      </c>
      <c r="L1149" s="37">
        <f t="shared" si="68"/>
        <v>9.03346724857228E-2</v>
      </c>
      <c r="M1149" s="2">
        <f t="shared" si="69"/>
        <v>1906526000</v>
      </c>
      <c r="N1149" s="37">
        <f t="shared" si="70"/>
        <v>6.5657983521645272E-2</v>
      </c>
      <c r="O1149" s="2">
        <f t="shared" si="71"/>
        <v>1385721000</v>
      </c>
    </row>
    <row r="1150" spans="1:15" x14ac:dyDescent="0.3">
      <c r="A1150" t="s">
        <v>414</v>
      </c>
      <c r="B1150">
        <v>4</v>
      </c>
      <c r="C1150">
        <v>2015</v>
      </c>
      <c r="D1150" s="1">
        <v>42369</v>
      </c>
      <c r="E1150" s="2">
        <v>16439276000</v>
      </c>
      <c r="F1150" s="2">
        <v>14858014000</v>
      </c>
      <c r="G1150" s="2">
        <v>458989000</v>
      </c>
      <c r="H1150">
        <v>0</v>
      </c>
      <c r="I1150">
        <v>0</v>
      </c>
      <c r="J1150" t="s">
        <v>55</v>
      </c>
      <c r="K1150" t="s">
        <v>415</v>
      </c>
      <c r="L1150" s="37">
        <f t="shared" si="68"/>
        <v>9.6188055970348074E-2</v>
      </c>
      <c r="M1150" s="2">
        <f t="shared" si="69"/>
        <v>1581262000</v>
      </c>
      <c r="N1150" s="37">
        <f t="shared" si="70"/>
        <v>6.8267787462172907E-2</v>
      </c>
      <c r="O1150" s="2">
        <f t="shared" si="71"/>
        <v>1122273000</v>
      </c>
    </row>
    <row r="1151" spans="1:15" x14ac:dyDescent="0.3">
      <c r="A1151" t="s">
        <v>416</v>
      </c>
      <c r="B1151">
        <v>1</v>
      </c>
      <c r="C1151">
        <v>2013</v>
      </c>
      <c r="D1151" s="1">
        <v>41301</v>
      </c>
      <c r="E1151" s="2">
        <v>4280159000</v>
      </c>
      <c r="F1151" s="2">
        <v>2053816000</v>
      </c>
      <c r="G1151" s="2">
        <v>430822000</v>
      </c>
      <c r="H1151" s="2">
        <v>1147282000</v>
      </c>
      <c r="I1151">
        <v>0</v>
      </c>
      <c r="J1151" t="s">
        <v>18</v>
      </c>
      <c r="K1151" t="s">
        <v>30</v>
      </c>
      <c r="L1151" s="37">
        <f t="shared" si="68"/>
        <v>0.52015427464260089</v>
      </c>
      <c r="M1151" s="2">
        <f t="shared" si="69"/>
        <v>2226343000</v>
      </c>
      <c r="N1151" s="37">
        <f t="shared" si="70"/>
        <v>0.15145208390622872</v>
      </c>
      <c r="O1151" s="2">
        <f t="shared" si="71"/>
        <v>648239000</v>
      </c>
    </row>
    <row r="1152" spans="1:15" x14ac:dyDescent="0.3">
      <c r="A1152" t="s">
        <v>416</v>
      </c>
      <c r="B1152">
        <v>2</v>
      </c>
      <c r="C1152">
        <v>2014</v>
      </c>
      <c r="D1152" s="1">
        <v>41665</v>
      </c>
      <c r="E1152" s="2">
        <v>4130000000</v>
      </c>
      <c r="F1152" s="2">
        <v>1862000000</v>
      </c>
      <c r="G1152" s="2">
        <v>436000000</v>
      </c>
      <c r="H1152" s="2">
        <v>1336000000</v>
      </c>
      <c r="I1152">
        <v>0</v>
      </c>
      <c r="J1152" t="s">
        <v>18</v>
      </c>
      <c r="K1152" t="s">
        <v>30</v>
      </c>
      <c r="L1152" s="37">
        <f t="shared" si="68"/>
        <v>0.54915254237288136</v>
      </c>
      <c r="M1152" s="2">
        <f t="shared" si="69"/>
        <v>2268000000</v>
      </c>
      <c r="N1152" s="37">
        <f t="shared" si="70"/>
        <v>0.12009685230024213</v>
      </c>
      <c r="O1152" s="2">
        <f t="shared" si="71"/>
        <v>496000000</v>
      </c>
    </row>
    <row r="1153" spans="1:15" x14ac:dyDescent="0.3">
      <c r="A1153" t="s">
        <v>416</v>
      </c>
      <c r="B1153">
        <v>3</v>
      </c>
      <c r="C1153">
        <v>2015</v>
      </c>
      <c r="D1153" s="1">
        <v>42029</v>
      </c>
      <c r="E1153" s="2">
        <v>4682000000</v>
      </c>
      <c r="F1153" s="2">
        <v>2083000000</v>
      </c>
      <c r="G1153" s="2">
        <v>480000000</v>
      </c>
      <c r="H1153" s="2">
        <v>1360000000</v>
      </c>
      <c r="I1153">
        <v>0</v>
      </c>
      <c r="J1153" t="s">
        <v>18</v>
      </c>
      <c r="K1153" t="s">
        <v>30</v>
      </c>
      <c r="L1153" s="37">
        <f t="shared" si="68"/>
        <v>0.55510465612985904</v>
      </c>
      <c r="M1153" s="2">
        <f t="shared" si="69"/>
        <v>2599000000</v>
      </c>
      <c r="N1153" s="37">
        <f t="shared" si="70"/>
        <v>0.16211020931225972</v>
      </c>
      <c r="O1153" s="2">
        <f t="shared" si="71"/>
        <v>759000000</v>
      </c>
    </row>
    <row r="1154" spans="1:15" x14ac:dyDescent="0.3">
      <c r="A1154" t="s">
        <v>416</v>
      </c>
      <c r="B1154">
        <v>4</v>
      </c>
      <c r="C1154">
        <v>2016</v>
      </c>
      <c r="D1154" s="1">
        <v>42400</v>
      </c>
      <c r="E1154" s="2">
        <v>5010000000</v>
      </c>
      <c r="F1154" s="2">
        <v>2199000000</v>
      </c>
      <c r="G1154" s="2">
        <v>602000000</v>
      </c>
      <c r="H1154" s="2">
        <v>1331000000</v>
      </c>
      <c r="I1154">
        <v>0</v>
      </c>
      <c r="J1154" t="s">
        <v>18</v>
      </c>
      <c r="K1154" t="s">
        <v>30</v>
      </c>
      <c r="L1154" s="37">
        <f t="shared" ref="L1154:L1217" si="72">1-(F1154/E1154)</f>
        <v>0.56107784431137731</v>
      </c>
      <c r="M1154" s="2">
        <f t="shared" ref="M1154:M1217" si="73">E1154-F1154</f>
        <v>2811000000</v>
      </c>
      <c r="N1154" s="37">
        <f t="shared" ref="N1154:N1217" si="74">O1154/E1154</f>
        <v>0.17524950099800399</v>
      </c>
      <c r="O1154" s="2">
        <f t="shared" ref="O1154:O1217" si="75">M1154-SUM(G1154:I1154)</f>
        <v>878000000</v>
      </c>
    </row>
    <row r="1155" spans="1:15" x14ac:dyDescent="0.3">
      <c r="A1155" t="s">
        <v>417</v>
      </c>
      <c r="B1155">
        <v>1</v>
      </c>
      <c r="C1155">
        <v>2012</v>
      </c>
      <c r="D1155" s="1">
        <v>41274</v>
      </c>
      <c r="E1155" s="2">
        <v>5508500000</v>
      </c>
      <c r="F1155" s="2">
        <v>3414400000</v>
      </c>
      <c r="G1155" s="2">
        <v>1403500000</v>
      </c>
      <c r="H1155">
        <v>0</v>
      </c>
      <c r="I1155">
        <v>0</v>
      </c>
      <c r="J1155" t="s">
        <v>15</v>
      </c>
      <c r="K1155" t="s">
        <v>418</v>
      </c>
      <c r="L1155" s="37">
        <f t="shared" si="72"/>
        <v>0.3801579377325951</v>
      </c>
      <c r="M1155" s="2">
        <f t="shared" si="73"/>
        <v>2094100000</v>
      </c>
      <c r="N1155" s="37">
        <f t="shared" si="74"/>
        <v>0.12536988290823273</v>
      </c>
      <c r="O1155" s="2">
        <f t="shared" si="75"/>
        <v>690600000</v>
      </c>
    </row>
    <row r="1156" spans="1:15" x14ac:dyDescent="0.3">
      <c r="A1156" t="s">
        <v>417</v>
      </c>
      <c r="B1156">
        <v>2</v>
      </c>
      <c r="C1156">
        <v>2013</v>
      </c>
      <c r="D1156" s="1">
        <v>41639</v>
      </c>
      <c r="E1156" s="2">
        <v>5607000000</v>
      </c>
      <c r="F1156" s="2">
        <v>3482100000</v>
      </c>
      <c r="G1156" s="2">
        <v>1399500000</v>
      </c>
      <c r="H1156">
        <v>0</v>
      </c>
      <c r="I1156">
        <v>0</v>
      </c>
      <c r="J1156" t="s">
        <v>15</v>
      </c>
      <c r="K1156" t="s">
        <v>418</v>
      </c>
      <c r="L1156" s="37">
        <f t="shared" si="72"/>
        <v>0.37897271268057786</v>
      </c>
      <c r="M1156" s="2">
        <f t="shared" si="73"/>
        <v>2124900000</v>
      </c>
      <c r="N1156" s="37">
        <f t="shared" si="74"/>
        <v>0.12937399678972714</v>
      </c>
      <c r="O1156" s="2">
        <f t="shared" si="75"/>
        <v>725400000</v>
      </c>
    </row>
    <row r="1157" spans="1:15" x14ac:dyDescent="0.3">
      <c r="A1157" t="s">
        <v>417</v>
      </c>
      <c r="B1157">
        <v>3</v>
      </c>
      <c r="C1157">
        <v>2014</v>
      </c>
      <c r="D1157" s="1">
        <v>42004</v>
      </c>
      <c r="E1157" s="2">
        <v>5727000000</v>
      </c>
      <c r="F1157" s="2">
        <v>3523600000</v>
      </c>
      <c r="G1157" s="2">
        <v>1545900000</v>
      </c>
      <c r="H1157">
        <v>0</v>
      </c>
      <c r="I1157">
        <v>0</v>
      </c>
      <c r="J1157" t="s">
        <v>15</v>
      </c>
      <c r="K1157" t="s">
        <v>418</v>
      </c>
      <c r="L1157" s="37">
        <f t="shared" si="72"/>
        <v>0.3847389558232932</v>
      </c>
      <c r="M1157" s="2">
        <f t="shared" si="73"/>
        <v>2203400000</v>
      </c>
      <c r="N1157" s="37">
        <f t="shared" si="74"/>
        <v>0.11480705430417322</v>
      </c>
      <c r="O1157" s="2">
        <f t="shared" si="75"/>
        <v>657500000</v>
      </c>
    </row>
    <row r="1158" spans="1:15" x14ac:dyDescent="0.3">
      <c r="A1158" t="s">
        <v>417</v>
      </c>
      <c r="B1158">
        <v>4</v>
      </c>
      <c r="C1158">
        <v>2015</v>
      </c>
      <c r="D1158" s="1">
        <v>42369</v>
      </c>
      <c r="E1158" s="2">
        <v>5915700000</v>
      </c>
      <c r="F1158" s="2">
        <v>3611100000</v>
      </c>
      <c r="G1158" s="2">
        <v>1626000000</v>
      </c>
      <c r="H1158">
        <v>0</v>
      </c>
      <c r="I1158">
        <v>0</v>
      </c>
      <c r="J1158" t="s">
        <v>15</v>
      </c>
      <c r="K1158" t="s">
        <v>418</v>
      </c>
      <c r="L1158" s="37">
        <f t="shared" si="72"/>
        <v>0.38957350778437039</v>
      </c>
      <c r="M1158" s="2">
        <f t="shared" si="73"/>
        <v>2304600000</v>
      </c>
      <c r="N1158" s="37">
        <f t="shared" si="74"/>
        <v>0.11471169937623611</v>
      </c>
      <c r="O1158" s="2">
        <f t="shared" si="75"/>
        <v>678600000</v>
      </c>
    </row>
    <row r="1159" spans="1:15" x14ac:dyDescent="0.3">
      <c r="A1159" t="s">
        <v>419</v>
      </c>
      <c r="B1159">
        <v>1</v>
      </c>
      <c r="C1159">
        <v>2012</v>
      </c>
      <c r="D1159" s="1">
        <v>41274</v>
      </c>
      <c r="E1159" s="2">
        <v>484581000</v>
      </c>
      <c r="F1159" s="2">
        <v>21306000</v>
      </c>
      <c r="G1159" s="2">
        <v>38123000</v>
      </c>
      <c r="H1159">
        <v>0</v>
      </c>
      <c r="I1159" s="2">
        <v>147515000</v>
      </c>
      <c r="J1159" t="s">
        <v>48</v>
      </c>
      <c r="K1159" t="s">
        <v>261</v>
      </c>
      <c r="L1159" s="37">
        <f t="shared" si="72"/>
        <v>0.95603211846935809</v>
      </c>
      <c r="M1159" s="2">
        <f t="shared" si="73"/>
        <v>463275000</v>
      </c>
      <c r="N1159" s="37">
        <f t="shared" si="74"/>
        <v>0.57294239765900845</v>
      </c>
      <c r="O1159" s="2">
        <f t="shared" si="75"/>
        <v>277637000</v>
      </c>
    </row>
    <row r="1160" spans="1:15" x14ac:dyDescent="0.3">
      <c r="A1160" t="s">
        <v>419</v>
      </c>
      <c r="B1160">
        <v>2</v>
      </c>
      <c r="C1160">
        <v>2013</v>
      </c>
      <c r="D1160" s="1">
        <v>41639</v>
      </c>
      <c r="E1160" s="2">
        <v>780209000</v>
      </c>
      <c r="F1160" s="2">
        <v>38851000</v>
      </c>
      <c r="G1160" s="2">
        <v>56881000</v>
      </c>
      <c r="H1160">
        <v>0</v>
      </c>
      <c r="I1160" s="2">
        <v>306769000</v>
      </c>
      <c r="J1160" t="s">
        <v>48</v>
      </c>
      <c r="K1160" t="s">
        <v>261</v>
      </c>
      <c r="L1160" s="37">
        <f t="shared" si="72"/>
        <v>0.95020436831669464</v>
      </c>
      <c r="M1160" s="2">
        <f t="shared" si="73"/>
        <v>741358000</v>
      </c>
      <c r="N1160" s="37">
        <f t="shared" si="74"/>
        <v>0.48411130863653201</v>
      </c>
      <c r="O1160" s="2">
        <f t="shared" si="75"/>
        <v>377708000</v>
      </c>
    </row>
    <row r="1161" spans="1:15" x14ac:dyDescent="0.3">
      <c r="A1161" t="s">
        <v>419</v>
      </c>
      <c r="B1161">
        <v>3</v>
      </c>
      <c r="C1161">
        <v>2014</v>
      </c>
      <c r="D1161" s="1">
        <v>42004</v>
      </c>
      <c r="E1161" s="2">
        <v>933505000</v>
      </c>
      <c r="F1161" s="2">
        <v>53871000</v>
      </c>
      <c r="G1161" s="2">
        <v>51085000</v>
      </c>
      <c r="H1161">
        <v>0</v>
      </c>
      <c r="I1161" s="2">
        <v>374661000</v>
      </c>
      <c r="J1161" t="s">
        <v>48</v>
      </c>
      <c r="K1161" t="s">
        <v>261</v>
      </c>
      <c r="L1161" s="37">
        <f t="shared" si="72"/>
        <v>0.94229168563639187</v>
      </c>
      <c r="M1161" s="2">
        <f t="shared" si="73"/>
        <v>879634000</v>
      </c>
      <c r="N1161" s="37">
        <f t="shared" si="74"/>
        <v>0.48621914183641224</v>
      </c>
      <c r="O1161" s="2">
        <f t="shared" si="75"/>
        <v>453888000</v>
      </c>
    </row>
    <row r="1162" spans="1:15" x14ac:dyDescent="0.3">
      <c r="A1162" t="s">
        <v>419</v>
      </c>
      <c r="B1162">
        <v>4</v>
      </c>
      <c r="C1162">
        <v>2015</v>
      </c>
      <c r="D1162" s="1">
        <v>42369</v>
      </c>
      <c r="E1162" s="2">
        <v>1023285000</v>
      </c>
      <c r="F1162" s="2">
        <v>55352000</v>
      </c>
      <c r="G1162" s="2">
        <v>49298000</v>
      </c>
      <c r="H1162">
        <v>0</v>
      </c>
      <c r="I1162" s="2">
        <v>409215000</v>
      </c>
      <c r="J1162" t="s">
        <v>48</v>
      </c>
      <c r="K1162" t="s">
        <v>261</v>
      </c>
      <c r="L1162" s="37">
        <f t="shared" si="72"/>
        <v>0.94590754286440237</v>
      </c>
      <c r="M1162" s="2">
        <f t="shared" si="73"/>
        <v>967933000</v>
      </c>
      <c r="N1162" s="37">
        <f t="shared" si="74"/>
        <v>0.4978280733129089</v>
      </c>
      <c r="O1162" s="2">
        <f t="shared" si="75"/>
        <v>509420000</v>
      </c>
    </row>
    <row r="1163" spans="1:15" x14ac:dyDescent="0.3">
      <c r="A1163" t="s">
        <v>420</v>
      </c>
      <c r="B1163">
        <v>1</v>
      </c>
      <c r="C1163">
        <v>2012</v>
      </c>
      <c r="D1163" s="1">
        <v>41274</v>
      </c>
      <c r="E1163" s="2">
        <v>10184121000</v>
      </c>
      <c r="F1163" s="2">
        <v>8540319000</v>
      </c>
      <c r="G1163" s="2">
        <v>491725000</v>
      </c>
      <c r="H1163">
        <v>0</v>
      </c>
      <c r="I1163" s="2">
        <v>205334000</v>
      </c>
      <c r="J1163" t="s">
        <v>79</v>
      </c>
      <c r="K1163" t="s">
        <v>80</v>
      </c>
      <c r="L1163" s="37">
        <f t="shared" si="72"/>
        <v>0.16140833362054519</v>
      </c>
      <c r="M1163" s="2">
        <f t="shared" si="73"/>
        <v>1643802000</v>
      </c>
      <c r="N1163" s="37">
        <f t="shared" si="74"/>
        <v>9.2962662167898433E-2</v>
      </c>
      <c r="O1163" s="2">
        <f t="shared" si="75"/>
        <v>946743000</v>
      </c>
    </row>
    <row r="1164" spans="1:15" x14ac:dyDescent="0.3">
      <c r="A1164" t="s">
        <v>420</v>
      </c>
      <c r="B1164">
        <v>2</v>
      </c>
      <c r="C1164">
        <v>2013</v>
      </c>
      <c r="D1164" s="1">
        <v>41639</v>
      </c>
      <c r="E1164" s="2">
        <v>11871879000</v>
      </c>
      <c r="F1164" s="2">
        <v>10222213000</v>
      </c>
      <c r="G1164" s="2">
        <v>541586000</v>
      </c>
      <c r="H1164">
        <v>0</v>
      </c>
      <c r="I1164" s="2">
        <v>239343000</v>
      </c>
      <c r="J1164" t="s">
        <v>79</v>
      </c>
      <c r="K1164" t="s">
        <v>80</v>
      </c>
      <c r="L1164" s="37">
        <f t="shared" si="72"/>
        <v>0.13895576260506026</v>
      </c>
      <c r="M1164" s="2">
        <f t="shared" si="73"/>
        <v>1649666000</v>
      </c>
      <c r="N1164" s="37">
        <f t="shared" si="74"/>
        <v>7.3176032201810681E-2</v>
      </c>
      <c r="O1164" s="2">
        <f t="shared" si="75"/>
        <v>868737000</v>
      </c>
    </row>
    <row r="1165" spans="1:15" x14ac:dyDescent="0.3">
      <c r="A1165" t="s">
        <v>420</v>
      </c>
      <c r="B1165">
        <v>3</v>
      </c>
      <c r="C1165">
        <v>2014</v>
      </c>
      <c r="D1165" s="1">
        <v>42004</v>
      </c>
      <c r="E1165" s="2">
        <v>12195091000</v>
      </c>
      <c r="F1165" s="2">
        <v>10088548000</v>
      </c>
      <c r="G1165" s="2">
        <v>674887000</v>
      </c>
      <c r="H1165">
        <v>0</v>
      </c>
      <c r="I1165" s="2">
        <v>294684000</v>
      </c>
      <c r="J1165" t="s">
        <v>79</v>
      </c>
      <c r="K1165" t="s">
        <v>80</v>
      </c>
      <c r="L1165" s="37">
        <f t="shared" si="72"/>
        <v>0.17273696440641562</v>
      </c>
      <c r="M1165" s="2">
        <f t="shared" si="73"/>
        <v>2106543000</v>
      </c>
      <c r="N1165" s="37">
        <f t="shared" si="74"/>
        <v>9.3231940622665294E-2</v>
      </c>
      <c r="O1165" s="2">
        <f t="shared" si="75"/>
        <v>1136972000</v>
      </c>
    </row>
    <row r="1166" spans="1:15" x14ac:dyDescent="0.3">
      <c r="A1166" t="s">
        <v>420</v>
      </c>
      <c r="B1166">
        <v>4</v>
      </c>
      <c r="C1166">
        <v>2015</v>
      </c>
      <c r="D1166" s="1">
        <v>42369</v>
      </c>
      <c r="E1166" s="2">
        <v>7763206000</v>
      </c>
      <c r="F1166" s="2">
        <v>5641052000</v>
      </c>
      <c r="G1166" s="2">
        <v>693331000</v>
      </c>
      <c r="H1166">
        <v>0</v>
      </c>
      <c r="I1166" s="2">
        <v>354620000</v>
      </c>
      <c r="J1166" t="s">
        <v>79</v>
      </c>
      <c r="K1166" t="s">
        <v>80</v>
      </c>
      <c r="L1166" s="37">
        <f t="shared" si="72"/>
        <v>0.27336051626093649</v>
      </c>
      <c r="M1166" s="2">
        <f t="shared" si="73"/>
        <v>2122154000</v>
      </c>
      <c r="N1166" s="37">
        <f t="shared" si="74"/>
        <v>0.13837105443292372</v>
      </c>
      <c r="O1166" s="2">
        <f t="shared" si="75"/>
        <v>1074203000</v>
      </c>
    </row>
    <row r="1167" spans="1:15" x14ac:dyDescent="0.3">
      <c r="A1167" t="s">
        <v>421</v>
      </c>
      <c r="B1167">
        <v>1</v>
      </c>
      <c r="C1167">
        <v>2014</v>
      </c>
      <c r="D1167" s="1">
        <v>42004</v>
      </c>
      <c r="E1167" s="2">
        <v>15317800000</v>
      </c>
      <c r="F1167" s="2">
        <v>12602100000</v>
      </c>
      <c r="G1167" s="2">
        <v>477200000</v>
      </c>
      <c r="H1167">
        <v>0</v>
      </c>
      <c r="I1167" s="2">
        <v>294400000</v>
      </c>
      <c r="J1167" t="s">
        <v>15</v>
      </c>
      <c r="K1167" t="s">
        <v>319</v>
      </c>
      <c r="L1167" s="37">
        <f t="shared" si="72"/>
        <v>0.17729047252216379</v>
      </c>
      <c r="M1167" s="2">
        <f t="shared" si="73"/>
        <v>2715700000</v>
      </c>
      <c r="N1167" s="37">
        <f t="shared" si="74"/>
        <v>0.12691770358667695</v>
      </c>
      <c r="O1167" s="2">
        <f t="shared" si="75"/>
        <v>1944100000</v>
      </c>
    </row>
    <row r="1168" spans="1:15" x14ac:dyDescent="0.3">
      <c r="A1168" t="s">
        <v>421</v>
      </c>
      <c r="B1168">
        <v>2</v>
      </c>
      <c r="C1168">
        <v>2015</v>
      </c>
      <c r="D1168" s="1">
        <v>42369</v>
      </c>
      <c r="E1168" s="2">
        <v>15134400000</v>
      </c>
      <c r="F1168" s="2">
        <v>12491400000</v>
      </c>
      <c r="G1168" s="2">
        <v>431800000</v>
      </c>
      <c r="H1168">
        <v>0</v>
      </c>
      <c r="I1168" s="2">
        <v>291100000</v>
      </c>
      <c r="J1168" t="s">
        <v>15</v>
      </c>
      <c r="K1168" t="s">
        <v>319</v>
      </c>
      <c r="L1168" s="37">
        <f t="shared" si="72"/>
        <v>0.17463526799873141</v>
      </c>
      <c r="M1168" s="2">
        <f t="shared" si="73"/>
        <v>2643000000</v>
      </c>
      <c r="N1168" s="37">
        <f t="shared" si="74"/>
        <v>0.12686991225288086</v>
      </c>
      <c r="O1168" s="2">
        <f t="shared" si="75"/>
        <v>1920100000</v>
      </c>
    </row>
    <row r="1169" spans="1:15" x14ac:dyDescent="0.3">
      <c r="A1169" t="s">
        <v>421</v>
      </c>
      <c r="B1169">
        <v>3</v>
      </c>
      <c r="C1169">
        <v>2016</v>
      </c>
      <c r="D1169" s="1">
        <v>42735</v>
      </c>
      <c r="E1169" s="2">
        <v>15416900000</v>
      </c>
      <c r="F1169" s="2">
        <v>12671200000</v>
      </c>
      <c r="G1169" s="2">
        <v>443900000</v>
      </c>
      <c r="H1169">
        <v>0</v>
      </c>
      <c r="I1169" s="2">
        <v>292900000</v>
      </c>
      <c r="J1169" t="s">
        <v>15</v>
      </c>
      <c r="K1169" t="s">
        <v>319</v>
      </c>
      <c r="L1169" s="37">
        <f t="shared" si="72"/>
        <v>0.17809676394087004</v>
      </c>
      <c r="M1169" s="2">
        <f t="shared" si="73"/>
        <v>2745700000</v>
      </c>
      <c r="N1169" s="37">
        <f t="shared" si="74"/>
        <v>0.1303050548424132</v>
      </c>
      <c r="O1169" s="2">
        <f t="shared" si="75"/>
        <v>2008900000</v>
      </c>
    </row>
    <row r="1170" spans="1:15" x14ac:dyDescent="0.3">
      <c r="A1170" t="s">
        <v>422</v>
      </c>
      <c r="B1170">
        <v>1</v>
      </c>
      <c r="C1170">
        <v>2012</v>
      </c>
      <c r="D1170" s="1">
        <v>41274</v>
      </c>
      <c r="E1170" s="2">
        <v>6182184000</v>
      </c>
      <c r="F1170" s="2">
        <v>3084766000</v>
      </c>
      <c r="G1170" s="2">
        <v>2120025000</v>
      </c>
      <c r="H1170">
        <v>0</v>
      </c>
      <c r="I1170">
        <v>0</v>
      </c>
      <c r="J1170" t="s">
        <v>15</v>
      </c>
      <c r="K1170" t="s">
        <v>75</v>
      </c>
      <c r="L1170" s="37">
        <f t="shared" si="72"/>
        <v>0.50102326297632027</v>
      </c>
      <c r="M1170" s="2">
        <f t="shared" si="73"/>
        <v>3097418000</v>
      </c>
      <c r="N1170" s="37">
        <f t="shared" si="74"/>
        <v>0.15809833547497129</v>
      </c>
      <c r="O1170" s="2">
        <f t="shared" si="75"/>
        <v>977393000</v>
      </c>
    </row>
    <row r="1171" spans="1:15" x14ac:dyDescent="0.3">
      <c r="A1171" t="s">
        <v>422</v>
      </c>
      <c r="B1171">
        <v>2</v>
      </c>
      <c r="C1171">
        <v>2013</v>
      </c>
      <c r="D1171" s="1">
        <v>41639</v>
      </c>
      <c r="E1171" s="2">
        <v>6649237000</v>
      </c>
      <c r="F1171" s="2">
        <v>3280236000</v>
      </c>
      <c r="G1171" s="2">
        <v>2265516000</v>
      </c>
      <c r="H1171">
        <v>0</v>
      </c>
      <c r="I1171">
        <v>0</v>
      </c>
      <c r="J1171" t="s">
        <v>15</v>
      </c>
      <c r="K1171" t="s">
        <v>75</v>
      </c>
      <c r="L1171" s="37">
        <f t="shared" si="72"/>
        <v>0.50667482599883262</v>
      </c>
      <c r="M1171" s="2">
        <f t="shared" si="73"/>
        <v>3369001000</v>
      </c>
      <c r="N1171" s="37">
        <f t="shared" si="74"/>
        <v>0.16595663532522603</v>
      </c>
      <c r="O1171" s="2">
        <f t="shared" si="75"/>
        <v>1103485000</v>
      </c>
    </row>
    <row r="1172" spans="1:15" x14ac:dyDescent="0.3">
      <c r="A1172" t="s">
        <v>422</v>
      </c>
      <c r="B1172">
        <v>3</v>
      </c>
      <c r="C1172">
        <v>2014</v>
      </c>
      <c r="D1172" s="1">
        <v>42004</v>
      </c>
      <c r="E1172" s="2">
        <v>7216081000</v>
      </c>
      <c r="F1172" s="2">
        <v>3507180000</v>
      </c>
      <c r="G1172" s="2">
        <v>2438527000</v>
      </c>
      <c r="H1172">
        <v>0</v>
      </c>
      <c r="I1172">
        <v>0</v>
      </c>
      <c r="J1172" t="s">
        <v>15</v>
      </c>
      <c r="K1172" t="s">
        <v>75</v>
      </c>
      <c r="L1172" s="37">
        <f t="shared" si="72"/>
        <v>0.51397718512306056</v>
      </c>
      <c r="M1172" s="2">
        <f t="shared" si="73"/>
        <v>3708901000</v>
      </c>
      <c r="N1172" s="37">
        <f t="shared" si="74"/>
        <v>0.17604763582892155</v>
      </c>
      <c r="O1172" s="2">
        <f t="shared" si="75"/>
        <v>1270374000</v>
      </c>
    </row>
    <row r="1173" spans="1:15" x14ac:dyDescent="0.3">
      <c r="A1173" t="s">
        <v>422</v>
      </c>
      <c r="B1173">
        <v>4</v>
      </c>
      <c r="C1173">
        <v>2015</v>
      </c>
      <c r="D1173" s="1">
        <v>42369</v>
      </c>
      <c r="E1173" s="2">
        <v>7966674000</v>
      </c>
      <c r="F1173" s="2">
        <v>3804031000</v>
      </c>
      <c r="G1173" s="2">
        <v>2648622000</v>
      </c>
      <c r="H1173">
        <v>0</v>
      </c>
      <c r="I1173">
        <v>0</v>
      </c>
      <c r="J1173" t="s">
        <v>15</v>
      </c>
      <c r="K1173" t="s">
        <v>75</v>
      </c>
      <c r="L1173" s="37">
        <f t="shared" si="72"/>
        <v>0.52250700857095445</v>
      </c>
      <c r="M1173" s="2">
        <f t="shared" si="73"/>
        <v>4162643000</v>
      </c>
      <c r="N1173" s="37">
        <f t="shared" si="74"/>
        <v>0.19004430205127007</v>
      </c>
      <c r="O1173" s="2">
        <f t="shared" si="75"/>
        <v>1514021000</v>
      </c>
    </row>
    <row r="1174" spans="1:15" x14ac:dyDescent="0.3">
      <c r="A1174" t="s">
        <v>423</v>
      </c>
      <c r="B1174">
        <v>1</v>
      </c>
      <c r="C1174">
        <v>2012</v>
      </c>
      <c r="D1174" s="1">
        <v>41274</v>
      </c>
      <c r="E1174" s="2">
        <v>20100000000</v>
      </c>
      <c r="F1174" s="2">
        <v>6530000000</v>
      </c>
      <c r="G1174" s="2">
        <v>1879000000</v>
      </c>
      <c r="H1174">
        <v>0</v>
      </c>
      <c r="I1174" s="2">
        <v>3585000000</v>
      </c>
      <c r="J1174" t="s">
        <v>79</v>
      </c>
      <c r="K1174" t="s">
        <v>80</v>
      </c>
      <c r="L1174" s="37">
        <f t="shared" si="72"/>
        <v>0.67512437810945269</v>
      </c>
      <c r="M1174" s="2">
        <f t="shared" si="73"/>
        <v>13570000000</v>
      </c>
      <c r="N1174" s="37">
        <f t="shared" si="74"/>
        <v>0.40328358208955223</v>
      </c>
      <c r="O1174" s="2">
        <f t="shared" si="75"/>
        <v>8106000000</v>
      </c>
    </row>
    <row r="1175" spans="1:15" x14ac:dyDescent="0.3">
      <c r="A1175" t="s">
        <v>423</v>
      </c>
      <c r="B1175">
        <v>2</v>
      </c>
      <c r="C1175">
        <v>2013</v>
      </c>
      <c r="D1175" s="1">
        <v>41639</v>
      </c>
      <c r="E1175" s="2">
        <v>20170000000</v>
      </c>
      <c r="F1175" s="2">
        <v>6497000000</v>
      </c>
      <c r="G1175" s="2">
        <v>2108000000</v>
      </c>
      <c r="H1175">
        <v>0</v>
      </c>
      <c r="I1175" s="2">
        <v>4203000000</v>
      </c>
      <c r="J1175" t="s">
        <v>79</v>
      </c>
      <c r="K1175" t="s">
        <v>80</v>
      </c>
      <c r="L1175" s="37">
        <f t="shared" si="72"/>
        <v>0.67788795240456123</v>
      </c>
      <c r="M1175" s="2">
        <f t="shared" si="73"/>
        <v>13673000000</v>
      </c>
      <c r="N1175" s="37">
        <f t="shared" si="74"/>
        <v>0.36499752107089739</v>
      </c>
      <c r="O1175" s="2">
        <f t="shared" si="75"/>
        <v>7362000000</v>
      </c>
    </row>
    <row r="1176" spans="1:15" x14ac:dyDescent="0.3">
      <c r="A1176" t="s">
        <v>423</v>
      </c>
      <c r="B1176">
        <v>3</v>
      </c>
      <c r="C1176">
        <v>2014</v>
      </c>
      <c r="D1176" s="1">
        <v>42004</v>
      </c>
      <c r="E1176" s="2">
        <v>19312000000</v>
      </c>
      <c r="F1176" s="2">
        <v>6803000000</v>
      </c>
      <c r="G1176" s="2">
        <v>2053000000</v>
      </c>
      <c r="H1176">
        <v>0</v>
      </c>
      <c r="I1176" s="2">
        <v>4261000000</v>
      </c>
      <c r="J1176" t="s">
        <v>79</v>
      </c>
      <c r="K1176" t="s">
        <v>80</v>
      </c>
      <c r="L1176" s="37">
        <f t="shared" si="72"/>
        <v>0.64773198011598998</v>
      </c>
      <c r="M1176" s="2">
        <f t="shared" si="73"/>
        <v>12509000000</v>
      </c>
      <c r="N1176" s="37">
        <f t="shared" si="74"/>
        <v>0.32078500414250205</v>
      </c>
      <c r="O1176" s="2">
        <f t="shared" si="75"/>
        <v>6195000000</v>
      </c>
    </row>
    <row r="1177" spans="1:15" x14ac:dyDescent="0.3">
      <c r="A1177" t="s">
        <v>423</v>
      </c>
      <c r="B1177">
        <v>4</v>
      </c>
      <c r="C1177">
        <v>2015</v>
      </c>
      <c r="D1177" s="1">
        <v>42369</v>
      </c>
      <c r="E1177" s="2">
        <v>12480000000</v>
      </c>
      <c r="F1177" s="2">
        <v>5804000000</v>
      </c>
      <c r="G1177" s="2">
        <v>1613000000</v>
      </c>
      <c r="H1177">
        <v>0</v>
      </c>
      <c r="I1177" s="2">
        <v>4544000000</v>
      </c>
      <c r="J1177" t="s">
        <v>79</v>
      </c>
      <c r="K1177" t="s">
        <v>80</v>
      </c>
      <c r="L1177" s="37">
        <f t="shared" si="72"/>
        <v>0.53493589743589742</v>
      </c>
      <c r="M1177" s="2">
        <f t="shared" si="73"/>
        <v>6676000000</v>
      </c>
      <c r="N1177" s="37">
        <f t="shared" si="74"/>
        <v>4.158653846153846E-2</v>
      </c>
      <c r="O1177" s="2">
        <f t="shared" si="75"/>
        <v>519000000</v>
      </c>
    </row>
    <row r="1178" spans="1:15" x14ac:dyDescent="0.3">
      <c r="A1178" t="s">
        <v>235</v>
      </c>
      <c r="B1178">
        <v>3</v>
      </c>
      <c r="C1178">
        <v>2014</v>
      </c>
      <c r="D1178" s="1">
        <v>42004</v>
      </c>
      <c r="E1178" s="2">
        <v>2322900000</v>
      </c>
      <c r="F1178" s="2">
        <v>625600000</v>
      </c>
      <c r="G1178" s="2">
        <v>928700000</v>
      </c>
      <c r="H1178" s="2">
        <v>346500000</v>
      </c>
      <c r="I1178">
        <v>0</v>
      </c>
      <c r="J1178" t="s">
        <v>21</v>
      </c>
      <c r="K1178" t="s">
        <v>26</v>
      </c>
      <c r="L1178" s="37">
        <f t="shared" si="72"/>
        <v>0.73068147574152997</v>
      </c>
      <c r="M1178" s="2">
        <f t="shared" si="73"/>
        <v>1697300000</v>
      </c>
      <c r="N1178" s="37">
        <f t="shared" si="74"/>
        <v>0.18171251452925222</v>
      </c>
      <c r="O1178" s="2">
        <f t="shared" si="75"/>
        <v>422100000</v>
      </c>
    </row>
    <row r="1179" spans="1:15" x14ac:dyDescent="0.3">
      <c r="A1179" t="s">
        <v>235</v>
      </c>
      <c r="B1179">
        <v>4</v>
      </c>
      <c r="C1179">
        <v>2015</v>
      </c>
      <c r="D1179" s="1">
        <v>42369</v>
      </c>
      <c r="E1179" s="2">
        <v>2493700000</v>
      </c>
      <c r="F1179" s="2">
        <v>617200000</v>
      </c>
      <c r="G1179" s="2">
        <v>850700000</v>
      </c>
      <c r="H1179" s="2">
        <v>383100000</v>
      </c>
      <c r="I1179">
        <v>0</v>
      </c>
      <c r="J1179" t="s">
        <v>21</v>
      </c>
      <c r="K1179" t="s">
        <v>26</v>
      </c>
      <c r="L1179" s="37">
        <f t="shared" si="72"/>
        <v>0.75249629065244417</v>
      </c>
      <c r="M1179" s="2">
        <f t="shared" si="73"/>
        <v>1876500000</v>
      </c>
      <c r="N1179" s="37">
        <f t="shared" si="74"/>
        <v>0.25772947828527892</v>
      </c>
      <c r="O1179" s="2">
        <f t="shared" si="75"/>
        <v>642700000</v>
      </c>
    </row>
    <row r="1180" spans="1:15" x14ac:dyDescent="0.3">
      <c r="A1180" t="s">
        <v>266</v>
      </c>
      <c r="B1180">
        <v>1</v>
      </c>
      <c r="C1180">
        <v>2012</v>
      </c>
      <c r="D1180" s="1">
        <v>41274</v>
      </c>
      <c r="E1180" s="2">
        <v>9702000000</v>
      </c>
      <c r="F1180" s="2">
        <v>2471000000</v>
      </c>
      <c r="G1180" s="2">
        <v>1461000000</v>
      </c>
      <c r="H1180" s="2">
        <v>1760000000</v>
      </c>
      <c r="I1180">
        <v>0</v>
      </c>
      <c r="J1180" t="s">
        <v>21</v>
      </c>
      <c r="K1180" t="s">
        <v>62</v>
      </c>
      <c r="L1180" s="37">
        <f t="shared" si="72"/>
        <v>0.74531024531024537</v>
      </c>
      <c r="M1180" s="2">
        <f t="shared" si="73"/>
        <v>7231000000</v>
      </c>
      <c r="N1180" s="37">
        <f t="shared" si="74"/>
        <v>0.41331684188827045</v>
      </c>
      <c r="O1180" s="2">
        <f t="shared" si="75"/>
        <v>4010000000</v>
      </c>
    </row>
    <row r="1181" spans="1:15" x14ac:dyDescent="0.3">
      <c r="A1181" t="s">
        <v>266</v>
      </c>
      <c r="B1181">
        <v>2</v>
      </c>
      <c r="C1181">
        <v>2013</v>
      </c>
      <c r="D1181" s="1">
        <v>41639</v>
      </c>
      <c r="E1181" s="2">
        <v>11202000000</v>
      </c>
      <c r="F1181" s="2">
        <v>2859000000</v>
      </c>
      <c r="G1181" s="2">
        <v>1699000000</v>
      </c>
      <c r="H1181" s="2">
        <v>2120000000</v>
      </c>
      <c r="I1181">
        <v>0</v>
      </c>
      <c r="J1181" t="s">
        <v>21</v>
      </c>
      <c r="K1181" t="s">
        <v>62</v>
      </c>
      <c r="L1181" s="37">
        <f t="shared" si="72"/>
        <v>0.7447777182645956</v>
      </c>
      <c r="M1181" s="2">
        <f t="shared" si="73"/>
        <v>8343000000</v>
      </c>
      <c r="N1181" s="37">
        <f t="shared" si="74"/>
        <v>0.40385645420460631</v>
      </c>
      <c r="O1181" s="2">
        <f t="shared" si="75"/>
        <v>4524000000</v>
      </c>
    </row>
    <row r="1182" spans="1:15" x14ac:dyDescent="0.3">
      <c r="A1182" t="s">
        <v>426</v>
      </c>
      <c r="B1182">
        <v>1</v>
      </c>
      <c r="C1182">
        <v>2012</v>
      </c>
      <c r="D1182" s="1">
        <v>41274</v>
      </c>
      <c r="E1182" s="2">
        <v>3823713000</v>
      </c>
      <c r="F1182" s="2">
        <v>1582398000</v>
      </c>
      <c r="G1182" s="2">
        <v>1489735000</v>
      </c>
      <c r="H1182" s="2">
        <v>114250000</v>
      </c>
      <c r="I1182">
        <v>0</v>
      </c>
      <c r="J1182" t="s">
        <v>12</v>
      </c>
      <c r="K1182" t="s">
        <v>427</v>
      </c>
      <c r="L1182" s="37">
        <f t="shared" si="72"/>
        <v>0.58616193213245871</v>
      </c>
      <c r="M1182" s="2">
        <f t="shared" si="73"/>
        <v>2241315000</v>
      </c>
      <c r="N1182" s="37">
        <f t="shared" si="74"/>
        <v>0.16667830456940674</v>
      </c>
      <c r="O1182" s="2">
        <f t="shared" si="75"/>
        <v>637330000</v>
      </c>
    </row>
    <row r="1183" spans="1:15" x14ac:dyDescent="0.3">
      <c r="A1183" t="s">
        <v>426</v>
      </c>
      <c r="B1183">
        <v>2</v>
      </c>
      <c r="C1183">
        <v>2013</v>
      </c>
      <c r="D1183" s="1">
        <v>41639</v>
      </c>
      <c r="E1183" s="2">
        <v>3791335000</v>
      </c>
      <c r="F1183" s="2">
        <v>1650622000</v>
      </c>
      <c r="G1183" s="2">
        <v>1420096000</v>
      </c>
      <c r="H1183" s="2">
        <v>110412000</v>
      </c>
      <c r="I1183">
        <v>0</v>
      </c>
      <c r="J1183" t="s">
        <v>12</v>
      </c>
      <c r="K1183" t="s">
        <v>427</v>
      </c>
      <c r="L1183" s="37">
        <f t="shared" si="72"/>
        <v>0.56463303823059685</v>
      </c>
      <c r="M1183" s="2">
        <f t="shared" si="73"/>
        <v>2140713000</v>
      </c>
      <c r="N1183" s="37">
        <f t="shared" si="74"/>
        <v>0.16094726527727041</v>
      </c>
      <c r="O1183" s="2">
        <f t="shared" si="75"/>
        <v>610205000</v>
      </c>
    </row>
    <row r="1184" spans="1:15" x14ac:dyDescent="0.3">
      <c r="A1184" t="s">
        <v>426</v>
      </c>
      <c r="B1184">
        <v>3</v>
      </c>
      <c r="C1184">
        <v>2014</v>
      </c>
      <c r="D1184" s="1">
        <v>42004</v>
      </c>
      <c r="E1184" s="2">
        <v>3821504000</v>
      </c>
      <c r="F1184" s="2">
        <v>1680791000</v>
      </c>
      <c r="G1184" s="2">
        <v>1378400000</v>
      </c>
      <c r="H1184" s="2">
        <v>109931000</v>
      </c>
      <c r="I1184">
        <v>0</v>
      </c>
      <c r="J1184" t="s">
        <v>12</v>
      </c>
      <c r="K1184" t="s">
        <v>427</v>
      </c>
      <c r="L1184" s="37">
        <f t="shared" si="72"/>
        <v>0.56017552251678926</v>
      </c>
      <c r="M1184" s="2">
        <f t="shared" si="73"/>
        <v>2140713000</v>
      </c>
      <c r="N1184" s="37">
        <f t="shared" si="74"/>
        <v>0.17071341545108942</v>
      </c>
      <c r="O1184" s="2">
        <f t="shared" si="75"/>
        <v>652382000</v>
      </c>
    </row>
    <row r="1185" spans="1:15" x14ac:dyDescent="0.3">
      <c r="A1185" t="s">
        <v>426</v>
      </c>
      <c r="B1185">
        <v>4</v>
      </c>
      <c r="C1185">
        <v>2015</v>
      </c>
      <c r="D1185" s="1">
        <v>42369</v>
      </c>
      <c r="E1185" s="2">
        <v>3578060000</v>
      </c>
      <c r="F1185" s="2">
        <v>1558591000</v>
      </c>
      <c r="G1185" s="2">
        <v>1279961000</v>
      </c>
      <c r="H1185" s="2">
        <v>110156000</v>
      </c>
      <c r="I1185">
        <v>0</v>
      </c>
      <c r="J1185" t="s">
        <v>12</v>
      </c>
      <c r="K1185" t="s">
        <v>427</v>
      </c>
      <c r="L1185" s="37">
        <f t="shared" si="72"/>
        <v>0.56440333588592706</v>
      </c>
      <c r="M1185" s="2">
        <f t="shared" si="73"/>
        <v>2019469000</v>
      </c>
      <c r="N1185" s="37">
        <f t="shared" si="74"/>
        <v>0.17589196380161318</v>
      </c>
      <c r="O1185" s="2">
        <f t="shared" si="75"/>
        <v>629352000</v>
      </c>
    </row>
    <row r="1186" spans="1:15" x14ac:dyDescent="0.3">
      <c r="A1186" t="s">
        <v>428</v>
      </c>
      <c r="B1186">
        <v>1</v>
      </c>
      <c r="C1186">
        <v>2012</v>
      </c>
      <c r="D1186" s="1">
        <v>41274</v>
      </c>
      <c r="E1186" s="2">
        <v>16596800000</v>
      </c>
      <c r="F1186" s="2">
        <v>13908300000</v>
      </c>
      <c r="G1186" s="2">
        <v>571600000</v>
      </c>
      <c r="H1186" s="2">
        <v>279300000</v>
      </c>
      <c r="I1186" s="2">
        <v>517400000</v>
      </c>
      <c r="J1186" t="s">
        <v>12</v>
      </c>
      <c r="K1186" t="s">
        <v>123</v>
      </c>
      <c r="L1186" s="37">
        <f t="shared" si="72"/>
        <v>0.16198905813168807</v>
      </c>
      <c r="M1186" s="2">
        <f t="shared" si="73"/>
        <v>2688500000</v>
      </c>
      <c r="N1186" s="37">
        <f t="shared" si="74"/>
        <v>7.9545454545454544E-2</v>
      </c>
      <c r="O1186" s="2">
        <f t="shared" si="75"/>
        <v>1320200000</v>
      </c>
    </row>
    <row r="1187" spans="1:15" x14ac:dyDescent="0.3">
      <c r="A1187" t="s">
        <v>428</v>
      </c>
      <c r="B1187">
        <v>2</v>
      </c>
      <c r="C1187">
        <v>2013</v>
      </c>
      <c r="D1187" s="1">
        <v>41639</v>
      </c>
      <c r="E1187" s="2">
        <v>16661000000</v>
      </c>
      <c r="F1187" s="2">
        <v>13900700000</v>
      </c>
      <c r="G1187" s="2">
        <v>559500000</v>
      </c>
      <c r="H1187" s="2">
        <v>251400000</v>
      </c>
      <c r="I1187" s="2">
        <v>571700000</v>
      </c>
      <c r="J1187" t="s">
        <v>12</v>
      </c>
      <c r="K1187" t="s">
        <v>123</v>
      </c>
      <c r="L1187" s="37">
        <f t="shared" si="72"/>
        <v>0.16567432927195247</v>
      </c>
      <c r="M1187" s="2">
        <f t="shared" si="73"/>
        <v>2760300000</v>
      </c>
      <c r="N1187" s="37">
        <f t="shared" si="74"/>
        <v>8.2690114638977255E-2</v>
      </c>
      <c r="O1187" s="2">
        <f t="shared" si="75"/>
        <v>1377700000</v>
      </c>
    </row>
    <row r="1188" spans="1:15" x14ac:dyDescent="0.3">
      <c r="A1188" t="s">
        <v>428</v>
      </c>
      <c r="B1188">
        <v>3</v>
      </c>
      <c r="C1188">
        <v>2014</v>
      </c>
      <c r="D1188" s="1">
        <v>42004</v>
      </c>
      <c r="E1188" s="2">
        <v>18534400000</v>
      </c>
      <c r="F1188" s="2">
        <v>15481600000</v>
      </c>
      <c r="G1188" s="2">
        <v>561400000</v>
      </c>
      <c r="H1188" s="2">
        <v>215600000</v>
      </c>
      <c r="I1188" s="2">
        <v>588500000</v>
      </c>
      <c r="J1188" t="s">
        <v>12</v>
      </c>
      <c r="K1188" t="s">
        <v>123</v>
      </c>
      <c r="L1188" s="37">
        <f t="shared" si="72"/>
        <v>0.16470994475138123</v>
      </c>
      <c r="M1188" s="2">
        <f t="shared" si="73"/>
        <v>3052800000</v>
      </c>
      <c r="N1188" s="37">
        <f t="shared" si="74"/>
        <v>9.1036127417127077E-2</v>
      </c>
      <c r="O1188" s="2">
        <f t="shared" si="75"/>
        <v>1687300000</v>
      </c>
    </row>
    <row r="1189" spans="1:15" x14ac:dyDescent="0.3">
      <c r="A1189" t="s">
        <v>428</v>
      </c>
      <c r="B1189">
        <v>4</v>
      </c>
      <c r="C1189">
        <v>2015</v>
      </c>
      <c r="D1189" s="1">
        <v>42369</v>
      </c>
      <c r="E1189" s="2">
        <v>18671300000</v>
      </c>
      <c r="F1189" s="2">
        <v>15292100000</v>
      </c>
      <c r="G1189" s="2">
        <v>541500000</v>
      </c>
      <c r="H1189" s="2">
        <v>239800000</v>
      </c>
      <c r="I1189" s="2">
        <v>583700000</v>
      </c>
      <c r="J1189" t="s">
        <v>12</v>
      </c>
      <c r="K1189" t="s">
        <v>123</v>
      </c>
      <c r="L1189" s="37">
        <f t="shared" si="72"/>
        <v>0.18098364870148298</v>
      </c>
      <c r="M1189" s="2">
        <f t="shared" si="73"/>
        <v>3379200000</v>
      </c>
      <c r="N1189" s="37">
        <f t="shared" si="74"/>
        <v>0.10787679486698837</v>
      </c>
      <c r="O1189" s="2">
        <f t="shared" si="75"/>
        <v>2014200000</v>
      </c>
    </row>
    <row r="1190" spans="1:15" x14ac:dyDescent="0.3">
      <c r="A1190" t="s">
        <v>429</v>
      </c>
      <c r="B1190">
        <v>1</v>
      </c>
      <c r="C1190">
        <v>2013</v>
      </c>
      <c r="D1190" s="1">
        <v>41639</v>
      </c>
      <c r="E1190" s="2">
        <v>15598000000</v>
      </c>
      <c r="F1190" s="2">
        <v>11759000000</v>
      </c>
      <c r="G1190">
        <v>0</v>
      </c>
      <c r="H1190">
        <v>0</v>
      </c>
      <c r="I1190" s="2">
        <v>2077000000</v>
      </c>
      <c r="J1190" t="s">
        <v>38</v>
      </c>
      <c r="K1190" t="s">
        <v>39</v>
      </c>
      <c r="L1190" s="37">
        <f t="shared" si="72"/>
        <v>0.24612129760225665</v>
      </c>
      <c r="M1190" s="2">
        <f t="shared" si="73"/>
        <v>3839000000</v>
      </c>
      <c r="N1190" s="37">
        <f t="shared" si="74"/>
        <v>0.11296320041030901</v>
      </c>
      <c r="O1190" s="2">
        <f t="shared" si="75"/>
        <v>1762000000</v>
      </c>
    </row>
    <row r="1191" spans="1:15" x14ac:dyDescent="0.3">
      <c r="A1191" t="s">
        <v>429</v>
      </c>
      <c r="B1191">
        <v>2</v>
      </c>
      <c r="C1191">
        <v>2014</v>
      </c>
      <c r="D1191" s="1">
        <v>42004</v>
      </c>
      <c r="E1191" s="2">
        <v>17090000000</v>
      </c>
      <c r="F1191" s="2">
        <v>12207000000</v>
      </c>
      <c r="G1191">
        <v>0</v>
      </c>
      <c r="H1191">
        <v>0</v>
      </c>
      <c r="I1191" s="2">
        <v>2433000000</v>
      </c>
      <c r="J1191" t="s">
        <v>38</v>
      </c>
      <c r="K1191" t="s">
        <v>39</v>
      </c>
      <c r="L1191" s="37">
        <f t="shared" si="72"/>
        <v>0.28572264482153309</v>
      </c>
      <c r="M1191" s="2">
        <f t="shared" si="73"/>
        <v>4883000000</v>
      </c>
      <c r="N1191" s="37">
        <f t="shared" si="74"/>
        <v>0.14335868929198362</v>
      </c>
      <c r="O1191" s="2">
        <f t="shared" si="75"/>
        <v>2450000000</v>
      </c>
    </row>
    <row r="1192" spans="1:15" x14ac:dyDescent="0.3">
      <c r="A1192" t="s">
        <v>429</v>
      </c>
      <c r="B1192">
        <v>3</v>
      </c>
      <c r="C1192">
        <v>2015</v>
      </c>
      <c r="D1192" s="1">
        <v>42369</v>
      </c>
      <c r="E1192" s="2">
        <v>16833000000</v>
      </c>
      <c r="F1192" s="2">
        <v>12713000000</v>
      </c>
      <c r="G1192">
        <v>0</v>
      </c>
      <c r="H1192">
        <v>0</v>
      </c>
      <c r="I1192" s="2">
        <v>2612000000</v>
      </c>
      <c r="J1192" t="s">
        <v>38</v>
      </c>
      <c r="K1192" t="s">
        <v>39</v>
      </c>
      <c r="L1192" s="37">
        <f t="shared" si="72"/>
        <v>0.24475732192716693</v>
      </c>
      <c r="M1192" s="2">
        <f t="shared" si="73"/>
        <v>4120000000</v>
      </c>
      <c r="N1192" s="37">
        <f t="shared" si="74"/>
        <v>8.958593239470089E-2</v>
      </c>
      <c r="O1192" s="2">
        <f t="shared" si="75"/>
        <v>1508000000</v>
      </c>
    </row>
    <row r="1193" spans="1:15" x14ac:dyDescent="0.3">
      <c r="A1193" t="s">
        <v>429</v>
      </c>
      <c r="B1193">
        <v>4</v>
      </c>
      <c r="C1193">
        <v>2016</v>
      </c>
      <c r="D1193" s="1">
        <v>42735</v>
      </c>
      <c r="E1193" s="2">
        <v>17666000000</v>
      </c>
      <c r="F1193" s="2">
        <v>12734000000</v>
      </c>
      <c r="G1193">
        <v>0</v>
      </c>
      <c r="H1193">
        <v>0</v>
      </c>
      <c r="I1193" s="2">
        <v>2755000000</v>
      </c>
      <c r="J1193" t="s">
        <v>38</v>
      </c>
      <c r="K1193" t="s">
        <v>39</v>
      </c>
      <c r="L1193" s="37">
        <f t="shared" si="72"/>
        <v>0.27918034642816714</v>
      </c>
      <c r="M1193" s="2">
        <f t="shared" si="73"/>
        <v>4932000000</v>
      </c>
      <c r="N1193" s="37">
        <f t="shared" si="74"/>
        <v>0.12323106532321974</v>
      </c>
      <c r="O1193" s="2">
        <f t="shared" si="75"/>
        <v>2177000000</v>
      </c>
    </row>
    <row r="1194" spans="1:15" x14ac:dyDescent="0.3">
      <c r="A1194" t="s">
        <v>430</v>
      </c>
      <c r="B1194">
        <v>1</v>
      </c>
      <c r="C1194">
        <v>2012</v>
      </c>
      <c r="D1194" s="1">
        <v>41274</v>
      </c>
      <c r="E1194" s="2">
        <v>5260956000</v>
      </c>
      <c r="F1194" s="2">
        <v>1177275000</v>
      </c>
      <c r="G1194" s="2">
        <v>2188747000</v>
      </c>
      <c r="H1194">
        <v>0</v>
      </c>
      <c r="I1194" s="2">
        <v>65141000</v>
      </c>
      <c r="J1194" t="s">
        <v>15</v>
      </c>
      <c r="K1194" t="s">
        <v>73</v>
      </c>
      <c r="L1194" s="37">
        <f t="shared" si="72"/>
        <v>0.77622413112749844</v>
      </c>
      <c r="M1194" s="2">
        <f t="shared" si="73"/>
        <v>4083681000</v>
      </c>
      <c r="N1194" s="37">
        <f t="shared" si="74"/>
        <v>0.3478061781927087</v>
      </c>
      <c r="O1194" s="2">
        <f t="shared" si="75"/>
        <v>1829793000</v>
      </c>
    </row>
    <row r="1195" spans="1:15" x14ac:dyDescent="0.3">
      <c r="A1195" t="s">
        <v>430</v>
      </c>
      <c r="B1195">
        <v>2</v>
      </c>
      <c r="C1195">
        <v>2013</v>
      </c>
      <c r="D1195" s="1">
        <v>41639</v>
      </c>
      <c r="E1195" s="2">
        <v>6793306000</v>
      </c>
      <c r="F1195" s="2">
        <v>1077420000</v>
      </c>
      <c r="G1195" s="2">
        <v>3185497000</v>
      </c>
      <c r="H1195">
        <v>0</v>
      </c>
      <c r="I1195" s="2">
        <v>117975000</v>
      </c>
      <c r="J1195" t="s">
        <v>15</v>
      </c>
      <c r="K1195" t="s">
        <v>73</v>
      </c>
      <c r="L1195" s="37">
        <f t="shared" si="72"/>
        <v>0.84139975440529247</v>
      </c>
      <c r="M1195" s="2">
        <f t="shared" si="73"/>
        <v>5715886000</v>
      </c>
      <c r="N1195" s="37">
        <f t="shared" si="74"/>
        <v>0.35511634541414738</v>
      </c>
      <c r="O1195" s="2">
        <f t="shared" si="75"/>
        <v>2412414000</v>
      </c>
    </row>
    <row r="1196" spans="1:15" x14ac:dyDescent="0.3">
      <c r="A1196" t="s">
        <v>430</v>
      </c>
      <c r="B1196">
        <v>3</v>
      </c>
      <c r="C1196">
        <v>2014</v>
      </c>
      <c r="D1196" s="1">
        <v>42004</v>
      </c>
      <c r="E1196" s="2">
        <v>8441971000</v>
      </c>
      <c r="F1196" s="2">
        <v>857841000</v>
      </c>
      <c r="G1196" s="2">
        <v>4302998000</v>
      </c>
      <c r="H1196">
        <v>0</v>
      </c>
      <c r="I1196" s="2">
        <v>207820000</v>
      </c>
      <c r="J1196" t="s">
        <v>15</v>
      </c>
      <c r="K1196" t="s">
        <v>73</v>
      </c>
      <c r="L1196" s="37">
        <f t="shared" si="72"/>
        <v>0.89838380160273001</v>
      </c>
      <c r="M1196" s="2">
        <f t="shared" si="73"/>
        <v>7584130000</v>
      </c>
      <c r="N1196" s="37">
        <f t="shared" si="74"/>
        <v>0.36405147565657359</v>
      </c>
      <c r="O1196" s="2">
        <f t="shared" si="75"/>
        <v>3073312000</v>
      </c>
    </row>
    <row r="1197" spans="1:15" x14ac:dyDescent="0.3">
      <c r="A1197" t="s">
        <v>430</v>
      </c>
      <c r="B1197">
        <v>4</v>
      </c>
      <c r="C1197">
        <v>2015</v>
      </c>
      <c r="D1197" s="1">
        <v>42369</v>
      </c>
      <c r="E1197" s="2">
        <v>9223987000</v>
      </c>
      <c r="F1197" s="2">
        <v>632180000</v>
      </c>
      <c r="G1197" s="2">
        <v>5060406000</v>
      </c>
      <c r="H1197">
        <v>0</v>
      </c>
      <c r="I1197" s="2">
        <v>272494000</v>
      </c>
      <c r="J1197" t="s">
        <v>15</v>
      </c>
      <c r="K1197" t="s">
        <v>73</v>
      </c>
      <c r="L1197" s="37">
        <f t="shared" si="72"/>
        <v>0.93146347669397189</v>
      </c>
      <c r="M1197" s="2">
        <f t="shared" si="73"/>
        <v>8591807000</v>
      </c>
      <c r="N1197" s="37">
        <f t="shared" si="74"/>
        <v>0.3533078483306622</v>
      </c>
      <c r="O1197" s="2">
        <f t="shared" si="75"/>
        <v>3258907000</v>
      </c>
    </row>
    <row r="1198" spans="1:15" x14ac:dyDescent="0.3">
      <c r="A1198" t="s">
        <v>266</v>
      </c>
      <c r="B1198">
        <v>3</v>
      </c>
      <c r="C1198">
        <v>2014</v>
      </c>
      <c r="D1198" s="1">
        <v>42004</v>
      </c>
      <c r="E1198" s="2">
        <v>24890000000</v>
      </c>
      <c r="F1198" s="2">
        <v>3788000000</v>
      </c>
      <c r="G1198" s="2">
        <v>2983000000</v>
      </c>
      <c r="H1198" s="2">
        <v>2854000000</v>
      </c>
      <c r="I1198">
        <v>0</v>
      </c>
      <c r="J1198" t="s">
        <v>21</v>
      </c>
      <c r="K1198" t="s">
        <v>62</v>
      </c>
      <c r="L1198" s="37">
        <f t="shared" si="72"/>
        <v>0.84781036560867817</v>
      </c>
      <c r="M1198" s="2">
        <f t="shared" si="73"/>
        <v>21102000000</v>
      </c>
      <c r="N1198" s="37">
        <f t="shared" si="74"/>
        <v>0.6132985134592206</v>
      </c>
      <c r="O1198" s="2">
        <f t="shared" si="75"/>
        <v>15265000000</v>
      </c>
    </row>
    <row r="1199" spans="1:15" x14ac:dyDescent="0.3">
      <c r="A1199" t="s">
        <v>266</v>
      </c>
      <c r="B1199">
        <v>4</v>
      </c>
      <c r="C1199">
        <v>2015</v>
      </c>
      <c r="D1199" s="1">
        <v>42369</v>
      </c>
      <c r="E1199" s="2">
        <v>32639000000</v>
      </c>
      <c r="F1199" s="2">
        <v>4006000000</v>
      </c>
      <c r="G1199" s="2">
        <v>3426000000</v>
      </c>
      <c r="H1199" s="2">
        <v>3014000000</v>
      </c>
      <c r="I1199">
        <v>0</v>
      </c>
      <c r="J1199" t="s">
        <v>21</v>
      </c>
      <c r="K1199" t="s">
        <v>62</v>
      </c>
      <c r="L1199" s="37">
        <f t="shared" si="72"/>
        <v>0.87726339655013941</v>
      </c>
      <c r="M1199" s="2">
        <f t="shared" si="73"/>
        <v>28633000000</v>
      </c>
      <c r="N1199" s="37">
        <f t="shared" si="74"/>
        <v>0.67995342994577035</v>
      </c>
      <c r="O1199" s="2">
        <f t="shared" si="75"/>
        <v>22193000000</v>
      </c>
    </row>
    <row r="1200" spans="1:15" x14ac:dyDescent="0.3">
      <c r="A1200" t="s">
        <v>286</v>
      </c>
      <c r="B1200">
        <v>1</v>
      </c>
      <c r="C1200">
        <v>2012</v>
      </c>
      <c r="D1200" s="1">
        <v>41274</v>
      </c>
      <c r="E1200" s="2">
        <v>33013000000</v>
      </c>
      <c r="F1200" s="2">
        <v>5717000000</v>
      </c>
      <c r="G1200" s="2">
        <v>20801000000</v>
      </c>
      <c r="H1200">
        <v>0</v>
      </c>
      <c r="I1200" s="2">
        <v>1679000000</v>
      </c>
      <c r="J1200" t="s">
        <v>21</v>
      </c>
      <c r="K1200" t="s">
        <v>195</v>
      </c>
      <c r="L1200" s="37">
        <f t="shared" si="72"/>
        <v>0.8268257958985854</v>
      </c>
      <c r="M1200" s="2">
        <f t="shared" si="73"/>
        <v>27296000000</v>
      </c>
      <c r="N1200" s="37">
        <f t="shared" si="74"/>
        <v>0.14588192530215369</v>
      </c>
      <c r="O1200" s="2">
        <f t="shared" si="75"/>
        <v>4816000000</v>
      </c>
    </row>
    <row r="1201" spans="1:15" x14ac:dyDescent="0.3">
      <c r="A1201" t="s">
        <v>286</v>
      </c>
      <c r="B1201">
        <v>2</v>
      </c>
      <c r="C1201">
        <v>2013</v>
      </c>
      <c r="D1201" s="1">
        <v>41639</v>
      </c>
      <c r="E1201" s="2">
        <v>34182000000</v>
      </c>
      <c r="F1201" s="2">
        <v>5970000000</v>
      </c>
      <c r="G1201" s="2">
        <v>21667000000</v>
      </c>
      <c r="H1201">
        <v>0</v>
      </c>
      <c r="I1201" s="2">
        <v>1753000000</v>
      </c>
      <c r="J1201" t="s">
        <v>21</v>
      </c>
      <c r="K1201" t="s">
        <v>195</v>
      </c>
      <c r="L1201" s="37">
        <f t="shared" si="72"/>
        <v>0.82534667368790593</v>
      </c>
      <c r="M1201" s="2">
        <f t="shared" si="73"/>
        <v>28212000000</v>
      </c>
      <c r="N1201" s="37">
        <f t="shared" si="74"/>
        <v>0.14019074366625708</v>
      </c>
      <c r="O1201" s="2">
        <f t="shared" si="75"/>
        <v>4792000000</v>
      </c>
    </row>
    <row r="1202" spans="1:15" x14ac:dyDescent="0.3">
      <c r="A1202" t="s">
        <v>432</v>
      </c>
      <c r="B1202">
        <v>1</v>
      </c>
      <c r="C1202">
        <v>2012</v>
      </c>
      <c r="D1202" s="1">
        <v>41274</v>
      </c>
      <c r="E1202" s="2">
        <v>9781000000</v>
      </c>
      <c r="F1202" s="2">
        <v>6351000000</v>
      </c>
      <c r="G1202" s="2">
        <v>98000000</v>
      </c>
      <c r="H1202">
        <v>0</v>
      </c>
      <c r="I1202" s="2">
        <v>1054000000</v>
      </c>
      <c r="J1202" t="s">
        <v>38</v>
      </c>
      <c r="K1202" t="s">
        <v>41</v>
      </c>
      <c r="L1202" s="37">
        <f t="shared" si="72"/>
        <v>0.35067988958184237</v>
      </c>
      <c r="M1202" s="2">
        <f t="shared" si="73"/>
        <v>3430000000</v>
      </c>
      <c r="N1202" s="37">
        <f t="shared" si="74"/>
        <v>0.2329005214190778</v>
      </c>
      <c r="O1202" s="2">
        <f t="shared" si="75"/>
        <v>2278000000</v>
      </c>
    </row>
    <row r="1203" spans="1:15" x14ac:dyDescent="0.3">
      <c r="A1203" t="s">
        <v>432</v>
      </c>
      <c r="B1203">
        <v>2</v>
      </c>
      <c r="C1203">
        <v>2013</v>
      </c>
      <c r="D1203" s="1">
        <v>41639</v>
      </c>
      <c r="E1203" s="2">
        <v>9968000000</v>
      </c>
      <c r="F1203" s="2">
        <v>6423000000</v>
      </c>
      <c r="G1203" s="2">
        <v>68000000</v>
      </c>
      <c r="H1203">
        <v>0</v>
      </c>
      <c r="I1203" s="2">
        <v>1178000000</v>
      </c>
      <c r="J1203" t="s">
        <v>38</v>
      </c>
      <c r="K1203" t="s">
        <v>41</v>
      </c>
      <c r="L1203" s="37">
        <f t="shared" si="72"/>
        <v>0.35563804173354741</v>
      </c>
      <c r="M1203" s="2">
        <f t="shared" si="73"/>
        <v>3545000000</v>
      </c>
      <c r="N1203" s="37">
        <f t="shared" si="74"/>
        <v>0.23063804173354735</v>
      </c>
      <c r="O1203" s="2">
        <f t="shared" si="75"/>
        <v>2299000000</v>
      </c>
    </row>
    <row r="1204" spans="1:15" x14ac:dyDescent="0.3">
      <c r="A1204" t="s">
        <v>432</v>
      </c>
      <c r="B1204">
        <v>3</v>
      </c>
      <c r="C1204">
        <v>2014</v>
      </c>
      <c r="D1204" s="1">
        <v>42004</v>
      </c>
      <c r="E1204" s="2">
        <v>10886000000</v>
      </c>
      <c r="F1204" s="2">
        <v>7036000000</v>
      </c>
      <c r="G1204">
        <v>0</v>
      </c>
      <c r="H1204">
        <v>0</v>
      </c>
      <c r="I1204" s="2">
        <v>1227000000</v>
      </c>
      <c r="J1204" t="s">
        <v>38</v>
      </c>
      <c r="K1204" t="s">
        <v>41</v>
      </c>
      <c r="L1204" s="37">
        <f t="shared" si="72"/>
        <v>0.35366525812970784</v>
      </c>
      <c r="M1204" s="2">
        <f t="shared" si="73"/>
        <v>3850000000</v>
      </c>
      <c r="N1204" s="37">
        <f t="shared" si="74"/>
        <v>0.24095168105823994</v>
      </c>
      <c r="O1204" s="2">
        <f t="shared" si="75"/>
        <v>2623000000</v>
      </c>
    </row>
    <row r="1205" spans="1:15" x14ac:dyDescent="0.3">
      <c r="A1205" t="s">
        <v>432</v>
      </c>
      <c r="B1205">
        <v>4</v>
      </c>
      <c r="C1205">
        <v>2015</v>
      </c>
      <c r="D1205" s="1">
        <v>42369</v>
      </c>
      <c r="E1205" s="2">
        <v>10415000000</v>
      </c>
      <c r="F1205" s="2">
        <v>6239000000</v>
      </c>
      <c r="G1205">
        <v>0</v>
      </c>
      <c r="H1205">
        <v>0</v>
      </c>
      <c r="I1205" s="2">
        <v>1214000000</v>
      </c>
      <c r="J1205" t="s">
        <v>38</v>
      </c>
      <c r="K1205" t="s">
        <v>41</v>
      </c>
      <c r="L1205" s="37">
        <f t="shared" si="72"/>
        <v>0.40096015362457993</v>
      </c>
      <c r="M1205" s="2">
        <f t="shared" si="73"/>
        <v>4176000000</v>
      </c>
      <c r="N1205" s="37">
        <f t="shared" si="74"/>
        <v>0.28439750360057608</v>
      </c>
      <c r="O1205" s="2">
        <f t="shared" si="75"/>
        <v>2962000000</v>
      </c>
    </row>
    <row r="1206" spans="1:15" x14ac:dyDescent="0.3">
      <c r="A1206" t="s">
        <v>433</v>
      </c>
      <c r="B1206">
        <v>1</v>
      </c>
      <c r="C1206">
        <v>2013</v>
      </c>
      <c r="D1206" s="1">
        <v>41636</v>
      </c>
      <c r="E1206" s="2">
        <v>66415000000</v>
      </c>
      <c r="F1206" s="2">
        <v>31243000000</v>
      </c>
      <c r="G1206" s="2">
        <v>25357000000</v>
      </c>
      <c r="H1206">
        <v>0</v>
      </c>
      <c r="I1206" s="2">
        <v>110000000</v>
      </c>
      <c r="J1206" t="s">
        <v>32</v>
      </c>
      <c r="K1206" t="s">
        <v>210</v>
      </c>
      <c r="L1206" s="37">
        <f t="shared" si="72"/>
        <v>0.52957916133403593</v>
      </c>
      <c r="M1206" s="2">
        <f t="shared" si="73"/>
        <v>35172000000</v>
      </c>
      <c r="N1206" s="37">
        <f t="shared" si="74"/>
        <v>0.14612662802077844</v>
      </c>
      <c r="O1206" s="2">
        <f t="shared" si="75"/>
        <v>9705000000</v>
      </c>
    </row>
    <row r="1207" spans="1:15" x14ac:dyDescent="0.3">
      <c r="A1207" t="s">
        <v>433</v>
      </c>
      <c r="B1207">
        <v>2</v>
      </c>
      <c r="C1207">
        <v>2014</v>
      </c>
      <c r="D1207" s="1">
        <v>42000</v>
      </c>
      <c r="E1207" s="2">
        <v>66683000000</v>
      </c>
      <c r="F1207" s="2">
        <v>31238000000</v>
      </c>
      <c r="G1207" s="2">
        <v>25772000000</v>
      </c>
      <c r="H1207">
        <v>0</v>
      </c>
      <c r="I1207" s="2">
        <v>92000000</v>
      </c>
      <c r="J1207" t="s">
        <v>32</v>
      </c>
      <c r="K1207" t="s">
        <v>210</v>
      </c>
      <c r="L1207" s="37">
        <f t="shared" si="72"/>
        <v>0.5315447715309749</v>
      </c>
      <c r="M1207" s="2">
        <f t="shared" si="73"/>
        <v>35445000000</v>
      </c>
      <c r="N1207" s="37">
        <f t="shared" si="74"/>
        <v>0.14367979844937989</v>
      </c>
      <c r="O1207" s="2">
        <f t="shared" si="75"/>
        <v>9581000000</v>
      </c>
    </row>
    <row r="1208" spans="1:15" x14ac:dyDescent="0.3">
      <c r="A1208" t="s">
        <v>433</v>
      </c>
      <c r="B1208">
        <v>3</v>
      </c>
      <c r="C1208">
        <v>2015</v>
      </c>
      <c r="D1208" s="1">
        <v>42364</v>
      </c>
      <c r="E1208" s="2">
        <v>63056000000</v>
      </c>
      <c r="F1208" s="2">
        <v>28731000000</v>
      </c>
      <c r="G1208" s="2">
        <v>24538000000</v>
      </c>
      <c r="H1208">
        <v>0</v>
      </c>
      <c r="I1208" s="2">
        <v>75000000</v>
      </c>
      <c r="J1208" t="s">
        <v>32</v>
      </c>
      <c r="K1208" t="s">
        <v>210</v>
      </c>
      <c r="L1208" s="37">
        <f t="shared" si="72"/>
        <v>0.54435739659984783</v>
      </c>
      <c r="M1208" s="2">
        <f t="shared" si="73"/>
        <v>34325000000</v>
      </c>
      <c r="N1208" s="37">
        <f t="shared" si="74"/>
        <v>0.15402182187262117</v>
      </c>
      <c r="O1208" s="2">
        <f t="shared" si="75"/>
        <v>9712000000</v>
      </c>
    </row>
    <row r="1209" spans="1:15" x14ac:dyDescent="0.3">
      <c r="A1209" t="s">
        <v>433</v>
      </c>
      <c r="B1209">
        <v>4</v>
      </c>
      <c r="C1209">
        <v>2016</v>
      </c>
      <c r="D1209" s="1">
        <v>42735</v>
      </c>
      <c r="E1209" s="2">
        <v>62799000000</v>
      </c>
      <c r="F1209" s="2">
        <v>28209000000</v>
      </c>
      <c r="G1209" s="2">
        <v>24735000000</v>
      </c>
      <c r="H1209">
        <v>0</v>
      </c>
      <c r="I1209" s="2">
        <v>70000000</v>
      </c>
      <c r="J1209" t="s">
        <v>32</v>
      </c>
      <c r="K1209" t="s">
        <v>210</v>
      </c>
      <c r="L1209" s="37">
        <f t="shared" si="72"/>
        <v>0.55080494912339373</v>
      </c>
      <c r="M1209" s="2">
        <f t="shared" si="73"/>
        <v>34590000000</v>
      </c>
      <c r="N1209" s="37">
        <f t="shared" si="74"/>
        <v>0.1558145830347617</v>
      </c>
      <c r="O1209" s="2">
        <f t="shared" si="75"/>
        <v>9785000000</v>
      </c>
    </row>
    <row r="1210" spans="1:15" x14ac:dyDescent="0.3">
      <c r="A1210" t="s">
        <v>286</v>
      </c>
      <c r="B1210">
        <v>3</v>
      </c>
      <c r="C1210">
        <v>2014</v>
      </c>
      <c r="D1210" s="1">
        <v>42004</v>
      </c>
      <c r="E1210" s="2">
        <v>36918000000</v>
      </c>
      <c r="F1210" s="2">
        <v>6262000000</v>
      </c>
      <c r="G1210" s="2">
        <v>23271000000</v>
      </c>
      <c r="H1210">
        <v>0</v>
      </c>
      <c r="I1210" s="2">
        <v>1820000000</v>
      </c>
      <c r="J1210" t="s">
        <v>21</v>
      </c>
      <c r="K1210" t="s">
        <v>195</v>
      </c>
      <c r="L1210" s="37">
        <f t="shared" si="72"/>
        <v>0.83038084403272117</v>
      </c>
      <c r="M1210" s="2">
        <f t="shared" si="73"/>
        <v>30656000000</v>
      </c>
      <c r="N1210" s="37">
        <f t="shared" si="74"/>
        <v>0.15073947667804324</v>
      </c>
      <c r="O1210" s="2">
        <f t="shared" si="75"/>
        <v>5565000000</v>
      </c>
    </row>
    <row r="1211" spans="1:15" x14ac:dyDescent="0.3">
      <c r="A1211" t="s">
        <v>286</v>
      </c>
      <c r="B1211">
        <v>4</v>
      </c>
      <c r="C1211">
        <v>2015</v>
      </c>
      <c r="D1211" s="1">
        <v>42369</v>
      </c>
      <c r="E1211" s="2">
        <v>39678000000</v>
      </c>
      <c r="F1211" s="2">
        <v>6638000000</v>
      </c>
      <c r="G1211" s="2">
        <v>25171000000</v>
      </c>
      <c r="H1211">
        <v>0</v>
      </c>
      <c r="I1211" s="2">
        <v>1904000000</v>
      </c>
      <c r="J1211" t="s">
        <v>21</v>
      </c>
      <c r="K1211" t="s">
        <v>195</v>
      </c>
      <c r="L1211" s="37">
        <f t="shared" si="72"/>
        <v>0.83270326125308736</v>
      </c>
      <c r="M1211" s="2">
        <f t="shared" si="73"/>
        <v>33040000000</v>
      </c>
      <c r="N1211" s="37">
        <f t="shared" si="74"/>
        <v>0.15033519834669087</v>
      </c>
      <c r="O1211" s="2">
        <f t="shared" si="75"/>
        <v>5965000000</v>
      </c>
    </row>
    <row r="1212" spans="1:15" x14ac:dyDescent="0.3">
      <c r="A1212" t="s">
        <v>295</v>
      </c>
      <c r="B1212">
        <v>1</v>
      </c>
      <c r="C1212">
        <v>2013</v>
      </c>
      <c r="D1212" s="1">
        <v>41545</v>
      </c>
      <c r="E1212" s="2">
        <v>2492300000</v>
      </c>
      <c r="F1212" s="2">
        <v>1330900000</v>
      </c>
      <c r="G1212" s="2">
        <v>661100000</v>
      </c>
      <c r="H1212" s="2">
        <v>197600000</v>
      </c>
      <c r="I1212" s="2">
        <v>112600000</v>
      </c>
      <c r="J1212" t="s">
        <v>21</v>
      </c>
      <c r="K1212" t="s">
        <v>26</v>
      </c>
      <c r="L1212" s="37">
        <f t="shared" si="72"/>
        <v>0.46599526541748582</v>
      </c>
      <c r="M1212" s="2">
        <f t="shared" si="73"/>
        <v>1161400000</v>
      </c>
      <c r="N1212" s="37">
        <f t="shared" si="74"/>
        <v>7.627492677446536E-2</v>
      </c>
      <c r="O1212" s="2">
        <f t="shared" si="75"/>
        <v>190100000</v>
      </c>
    </row>
    <row r="1213" spans="1:15" x14ac:dyDescent="0.3">
      <c r="A1213" t="s">
        <v>295</v>
      </c>
      <c r="B1213">
        <v>2</v>
      </c>
      <c r="C1213">
        <v>2014</v>
      </c>
      <c r="D1213" s="1">
        <v>41909</v>
      </c>
      <c r="E1213" s="2">
        <v>2530700000</v>
      </c>
      <c r="F1213" s="2">
        <v>1285200000</v>
      </c>
      <c r="G1213" s="2">
        <v>591500000</v>
      </c>
      <c r="H1213" s="2">
        <v>203200000</v>
      </c>
      <c r="I1213" s="2">
        <v>113800000</v>
      </c>
      <c r="J1213" t="s">
        <v>21</v>
      </c>
      <c r="K1213" t="s">
        <v>26</v>
      </c>
      <c r="L1213" s="37">
        <f t="shared" si="72"/>
        <v>0.49215632038566404</v>
      </c>
      <c r="M1213" s="2">
        <f t="shared" si="73"/>
        <v>1245500000</v>
      </c>
      <c r="N1213" s="37">
        <f t="shared" si="74"/>
        <v>0.13316473702928044</v>
      </c>
      <c r="O1213" s="2">
        <f t="shared" si="75"/>
        <v>337000000</v>
      </c>
    </row>
    <row r="1214" spans="1:15" x14ac:dyDescent="0.3">
      <c r="A1214" t="s">
        <v>295</v>
      </c>
      <c r="B1214">
        <v>3</v>
      </c>
      <c r="C1214">
        <v>2015</v>
      </c>
      <c r="D1214" s="1">
        <v>42273</v>
      </c>
      <c r="E1214" s="2">
        <v>2705000000</v>
      </c>
      <c r="F1214" s="2">
        <v>1272300000</v>
      </c>
      <c r="G1214" s="2">
        <v>624000000</v>
      </c>
      <c r="H1214" s="2">
        <v>214900000</v>
      </c>
      <c r="I1214" s="2">
        <v>110200000</v>
      </c>
      <c r="J1214" t="s">
        <v>21</v>
      </c>
      <c r="K1214" t="s">
        <v>26</v>
      </c>
      <c r="L1214" s="37">
        <f t="shared" si="72"/>
        <v>0.52964879852125701</v>
      </c>
      <c r="M1214" s="2">
        <f t="shared" si="73"/>
        <v>1432700000</v>
      </c>
      <c r="N1214" s="37">
        <f t="shared" si="74"/>
        <v>0.17878003696857672</v>
      </c>
      <c r="O1214" s="2">
        <f t="shared" si="75"/>
        <v>483600000</v>
      </c>
    </row>
    <row r="1215" spans="1:15" x14ac:dyDescent="0.3">
      <c r="A1215" t="s">
        <v>295</v>
      </c>
      <c r="B1215">
        <v>4</v>
      </c>
      <c r="C1215">
        <v>2016</v>
      </c>
      <c r="D1215" s="1">
        <v>42637</v>
      </c>
      <c r="E1215" s="2">
        <v>2832700000</v>
      </c>
      <c r="F1215" s="2">
        <v>1269400000</v>
      </c>
      <c r="G1215" s="2">
        <v>682400000</v>
      </c>
      <c r="H1215" s="2">
        <v>232100000</v>
      </c>
      <c r="I1215" s="2">
        <v>89700000</v>
      </c>
      <c r="J1215" t="s">
        <v>21</v>
      </c>
      <c r="K1215" t="s">
        <v>26</v>
      </c>
      <c r="L1215" s="37">
        <f t="shared" si="72"/>
        <v>0.55187630176157021</v>
      </c>
      <c r="M1215" s="2">
        <f t="shared" si="73"/>
        <v>1563300000</v>
      </c>
      <c r="N1215" s="37">
        <f t="shared" si="74"/>
        <v>0.19737353055388851</v>
      </c>
      <c r="O1215" s="2">
        <f t="shared" si="75"/>
        <v>559100000</v>
      </c>
    </row>
    <row r="1216" spans="1:15" x14ac:dyDescent="0.3">
      <c r="A1216" t="s">
        <v>306</v>
      </c>
      <c r="B1216">
        <v>1</v>
      </c>
      <c r="C1216">
        <v>2012</v>
      </c>
      <c r="D1216" s="1">
        <v>41272</v>
      </c>
      <c r="E1216" s="2">
        <v>8939967000</v>
      </c>
      <c r="F1216" s="2">
        <v>6432454000</v>
      </c>
      <c r="G1216" s="2">
        <v>1873360000</v>
      </c>
      <c r="H1216">
        <v>0</v>
      </c>
      <c r="I1216">
        <v>0</v>
      </c>
      <c r="J1216" t="s">
        <v>21</v>
      </c>
      <c r="K1216" t="s">
        <v>24</v>
      </c>
      <c r="L1216" s="37">
        <f t="shared" si="72"/>
        <v>0.28048347382042904</v>
      </c>
      <c r="M1216" s="2">
        <f t="shared" si="73"/>
        <v>2507513000</v>
      </c>
      <c r="N1216" s="37">
        <f t="shared" si="74"/>
        <v>7.0934601883877194E-2</v>
      </c>
      <c r="O1216" s="2">
        <f t="shared" si="75"/>
        <v>634153000</v>
      </c>
    </row>
    <row r="1217" spans="1:15" x14ac:dyDescent="0.3">
      <c r="A1217" t="s">
        <v>306</v>
      </c>
      <c r="B1217">
        <v>2</v>
      </c>
      <c r="C1217">
        <v>2013</v>
      </c>
      <c r="D1217" s="1">
        <v>41636</v>
      </c>
      <c r="E1217" s="2">
        <v>9560647000</v>
      </c>
      <c r="F1217" s="2">
        <v>6904633000</v>
      </c>
      <c r="G1217" s="2">
        <v>1978960000</v>
      </c>
      <c r="H1217">
        <v>0</v>
      </c>
      <c r="I1217">
        <v>0</v>
      </c>
      <c r="J1217" t="s">
        <v>21</v>
      </c>
      <c r="K1217" t="s">
        <v>24</v>
      </c>
      <c r="L1217" s="37">
        <f t="shared" si="72"/>
        <v>0.27780693084892683</v>
      </c>
      <c r="M1217" s="2">
        <f t="shared" si="73"/>
        <v>2656014000</v>
      </c>
      <c r="N1217" s="37">
        <f t="shared" si="74"/>
        <v>7.0816755393228098E-2</v>
      </c>
      <c r="O1217" s="2">
        <f t="shared" si="75"/>
        <v>677054000</v>
      </c>
    </row>
    <row r="1218" spans="1:15" x14ac:dyDescent="0.3">
      <c r="A1218" t="s">
        <v>436</v>
      </c>
      <c r="B1218">
        <v>1</v>
      </c>
      <c r="C1218">
        <v>2013</v>
      </c>
      <c r="D1218" s="1">
        <v>41639</v>
      </c>
      <c r="E1218" s="2">
        <v>2104745000</v>
      </c>
      <c r="F1218" s="2">
        <v>155355000</v>
      </c>
      <c r="G1218" s="2">
        <v>346393000</v>
      </c>
      <c r="H1218" s="2">
        <v>859947000</v>
      </c>
      <c r="I1218">
        <v>0</v>
      </c>
      <c r="J1218" t="s">
        <v>32</v>
      </c>
      <c r="K1218" t="s">
        <v>166</v>
      </c>
      <c r="L1218" s="37">
        <f t="shared" ref="L1218:L1281" si="76">1-(F1218/E1218)</f>
        <v>0.92618820807271185</v>
      </c>
      <c r="M1218" s="2">
        <f t="shared" ref="M1218:M1281" si="77">E1218-F1218</f>
        <v>1949390000</v>
      </c>
      <c r="N1218" s="37">
        <f t="shared" ref="N1218:N1281" si="78">O1218/E1218</f>
        <v>0.35303564089711581</v>
      </c>
      <c r="O1218" s="2">
        <f t="shared" ref="O1218:O1281" si="79">M1218-SUM(G1218:I1218)</f>
        <v>743050000</v>
      </c>
    </row>
    <row r="1219" spans="1:15" x14ac:dyDescent="0.3">
      <c r="A1219" t="s">
        <v>436</v>
      </c>
      <c r="B1219">
        <v>2</v>
      </c>
      <c r="C1219">
        <v>2014</v>
      </c>
      <c r="D1219" s="1">
        <v>42004</v>
      </c>
      <c r="E1219" s="2">
        <v>2819557000</v>
      </c>
      <c r="F1219" s="2">
        <v>205018000</v>
      </c>
      <c r="G1219" s="2">
        <v>519267000</v>
      </c>
      <c r="H1219" s="2">
        <v>1271353000</v>
      </c>
      <c r="I1219">
        <v>0</v>
      </c>
      <c r="J1219" t="s">
        <v>32</v>
      </c>
      <c r="K1219" t="s">
        <v>166</v>
      </c>
      <c r="L1219" s="37">
        <f t="shared" si="76"/>
        <v>0.92728715894021652</v>
      </c>
      <c r="M1219" s="2">
        <f t="shared" si="77"/>
        <v>2614539000</v>
      </c>
      <c r="N1219" s="37">
        <f t="shared" si="78"/>
        <v>0.29221576297269392</v>
      </c>
      <c r="O1219" s="2">
        <f t="shared" si="79"/>
        <v>823919000</v>
      </c>
    </row>
    <row r="1220" spans="1:15" x14ac:dyDescent="0.3">
      <c r="A1220" t="s">
        <v>436</v>
      </c>
      <c r="B1220">
        <v>3</v>
      </c>
      <c r="C1220">
        <v>2015</v>
      </c>
      <c r="D1220" s="1">
        <v>42369</v>
      </c>
      <c r="E1220" s="2">
        <v>4103728000</v>
      </c>
      <c r="F1220" s="2">
        <v>392709000</v>
      </c>
      <c r="G1220" s="2">
        <v>838526000</v>
      </c>
      <c r="H1220" s="2">
        <v>1620577000</v>
      </c>
      <c r="I1220">
        <v>0</v>
      </c>
      <c r="J1220" t="s">
        <v>32</v>
      </c>
      <c r="K1220" t="s">
        <v>166</v>
      </c>
      <c r="L1220" s="37">
        <f t="shared" si="76"/>
        <v>0.90430433011154732</v>
      </c>
      <c r="M1220" s="2">
        <f t="shared" si="77"/>
        <v>3711019000</v>
      </c>
      <c r="N1220" s="37">
        <f t="shared" si="78"/>
        <v>0.30506797721486412</v>
      </c>
      <c r="O1220" s="2">
        <f t="shared" si="79"/>
        <v>1251916000</v>
      </c>
    </row>
    <row r="1221" spans="1:15" x14ac:dyDescent="0.3">
      <c r="A1221" t="s">
        <v>436</v>
      </c>
      <c r="B1221">
        <v>4</v>
      </c>
      <c r="C1221">
        <v>2016</v>
      </c>
      <c r="D1221" s="1">
        <v>42735</v>
      </c>
      <c r="E1221" s="2">
        <v>4860427000</v>
      </c>
      <c r="F1221" s="2">
        <v>299694000</v>
      </c>
      <c r="G1221" s="2">
        <v>1177697000</v>
      </c>
      <c r="H1221" s="2">
        <v>2052295000</v>
      </c>
      <c r="I1221">
        <v>0</v>
      </c>
      <c r="J1221" t="s">
        <v>32</v>
      </c>
      <c r="K1221" t="s">
        <v>166</v>
      </c>
      <c r="L1221" s="37">
        <f t="shared" si="76"/>
        <v>0.93833998535519614</v>
      </c>
      <c r="M1221" s="2">
        <f t="shared" si="77"/>
        <v>4560733000</v>
      </c>
      <c r="N1221" s="37">
        <f t="shared" si="78"/>
        <v>0.27379096527938801</v>
      </c>
      <c r="O1221" s="2">
        <f t="shared" si="79"/>
        <v>1330741000</v>
      </c>
    </row>
    <row r="1222" spans="1:15" x14ac:dyDescent="0.3">
      <c r="A1222" t="s">
        <v>306</v>
      </c>
      <c r="B1222">
        <v>3</v>
      </c>
      <c r="C1222">
        <v>2014</v>
      </c>
      <c r="D1222" s="1">
        <v>42000</v>
      </c>
      <c r="E1222" s="2">
        <v>10371390000</v>
      </c>
      <c r="F1222" s="2">
        <v>7460075000</v>
      </c>
      <c r="G1222" s="2">
        <v>2196173000</v>
      </c>
      <c r="H1222">
        <v>0</v>
      </c>
      <c r="I1222">
        <v>0</v>
      </c>
      <c r="J1222" t="s">
        <v>21</v>
      </c>
      <c r="K1222" t="s">
        <v>24</v>
      </c>
      <c r="L1222" s="37">
        <f t="shared" si="76"/>
        <v>0.28070634697952734</v>
      </c>
      <c r="M1222" s="2">
        <f t="shared" si="77"/>
        <v>2911315000</v>
      </c>
      <c r="N1222" s="37">
        <f t="shared" si="78"/>
        <v>6.8953341837497198E-2</v>
      </c>
      <c r="O1222" s="2">
        <f t="shared" si="79"/>
        <v>715142000</v>
      </c>
    </row>
    <row r="1223" spans="1:15" x14ac:dyDescent="0.3">
      <c r="A1223" t="s">
        <v>306</v>
      </c>
      <c r="B1223">
        <v>4</v>
      </c>
      <c r="C1223">
        <v>2015</v>
      </c>
      <c r="D1223" s="1">
        <v>42364</v>
      </c>
      <c r="E1223" s="2">
        <v>10629719000</v>
      </c>
      <c r="F1223" s="2">
        <v>7617460000</v>
      </c>
      <c r="G1223" s="2">
        <v>2243356000</v>
      </c>
      <c r="H1223">
        <v>0</v>
      </c>
      <c r="I1223">
        <v>0</v>
      </c>
      <c r="J1223" t="s">
        <v>21</v>
      </c>
      <c r="K1223" t="s">
        <v>24</v>
      </c>
      <c r="L1223" s="37">
        <f t="shared" si="76"/>
        <v>0.28338086829952891</v>
      </c>
      <c r="M1223" s="2">
        <f t="shared" si="77"/>
        <v>3012259000</v>
      </c>
      <c r="N1223" s="37">
        <f t="shared" si="78"/>
        <v>7.2335214129366915E-2</v>
      </c>
      <c r="O1223" s="2">
        <f t="shared" si="79"/>
        <v>768903000</v>
      </c>
    </row>
    <row r="1224" spans="1:15" x14ac:dyDescent="0.3">
      <c r="A1224" t="s">
        <v>309</v>
      </c>
      <c r="B1224">
        <v>1</v>
      </c>
      <c r="C1224">
        <v>2013</v>
      </c>
      <c r="D1224" s="1">
        <v>41639</v>
      </c>
      <c r="E1224" s="2">
        <v>41313000000</v>
      </c>
      <c r="F1224" s="2">
        <v>32564000000</v>
      </c>
      <c r="G1224">
        <v>0</v>
      </c>
      <c r="H1224">
        <v>0</v>
      </c>
      <c r="I1224" s="2">
        <v>6688000000</v>
      </c>
      <c r="J1224" t="s">
        <v>21</v>
      </c>
      <c r="K1224" t="s">
        <v>77</v>
      </c>
      <c r="L1224" s="37">
        <f t="shared" si="76"/>
        <v>0.21177353375450825</v>
      </c>
      <c r="M1224" s="2">
        <f t="shared" si="77"/>
        <v>8749000000</v>
      </c>
      <c r="N1224" s="37">
        <f t="shared" si="78"/>
        <v>4.9887444630019609E-2</v>
      </c>
      <c r="O1224" s="2">
        <f t="shared" si="79"/>
        <v>2061000000</v>
      </c>
    </row>
    <row r="1225" spans="1:15" x14ac:dyDescent="0.3">
      <c r="A1225" t="s">
        <v>309</v>
      </c>
      <c r="B1225">
        <v>2</v>
      </c>
      <c r="C1225">
        <v>2014</v>
      </c>
      <c r="D1225" s="1">
        <v>42004</v>
      </c>
      <c r="E1225" s="2">
        <v>48500000000</v>
      </c>
      <c r="F1225" s="2">
        <v>38166000000</v>
      </c>
      <c r="G1225">
        <v>0</v>
      </c>
      <c r="H1225">
        <v>0</v>
      </c>
      <c r="I1225" s="2">
        <v>7972000000</v>
      </c>
      <c r="J1225" t="s">
        <v>21</v>
      </c>
      <c r="K1225" t="s">
        <v>77</v>
      </c>
      <c r="L1225" s="37">
        <f t="shared" si="76"/>
        <v>0.2130721649484536</v>
      </c>
      <c r="M1225" s="2">
        <f t="shared" si="77"/>
        <v>10334000000</v>
      </c>
      <c r="N1225" s="37">
        <f t="shared" si="78"/>
        <v>4.8701030927835051E-2</v>
      </c>
      <c r="O1225" s="2">
        <f t="shared" si="79"/>
        <v>2362000000</v>
      </c>
    </row>
    <row r="1226" spans="1:15" x14ac:dyDescent="0.3">
      <c r="A1226" t="s">
        <v>438</v>
      </c>
      <c r="B1226">
        <v>1</v>
      </c>
      <c r="C1226">
        <v>2013</v>
      </c>
      <c r="D1226" s="1">
        <v>41455</v>
      </c>
      <c r="E1226" s="2">
        <v>13015704000</v>
      </c>
      <c r="F1226" s="2">
        <v>10086675000</v>
      </c>
      <c r="G1226" s="2">
        <v>1554973000</v>
      </c>
      <c r="H1226">
        <v>0</v>
      </c>
      <c r="I1226">
        <v>0</v>
      </c>
      <c r="J1226" t="s">
        <v>12</v>
      </c>
      <c r="K1226" t="s">
        <v>160</v>
      </c>
      <c r="L1226" s="37">
        <f t="shared" si="76"/>
        <v>0.22503807707981072</v>
      </c>
      <c r="M1226" s="2">
        <f t="shared" si="77"/>
        <v>2929029000</v>
      </c>
      <c r="N1226" s="37">
        <f t="shared" si="78"/>
        <v>0.1055690879264003</v>
      </c>
      <c r="O1226" s="2">
        <f t="shared" si="79"/>
        <v>1374056000</v>
      </c>
    </row>
    <row r="1227" spans="1:15" x14ac:dyDescent="0.3">
      <c r="A1227" t="s">
        <v>438</v>
      </c>
      <c r="B1227">
        <v>2</v>
      </c>
      <c r="C1227">
        <v>2014</v>
      </c>
      <c r="D1227" s="1">
        <v>41820</v>
      </c>
      <c r="E1227" s="2">
        <v>13215971000</v>
      </c>
      <c r="F1227" s="2">
        <v>10188227000</v>
      </c>
      <c r="G1227" s="2">
        <v>1633992000</v>
      </c>
      <c r="H1227">
        <v>0</v>
      </c>
      <c r="I1227">
        <v>0</v>
      </c>
      <c r="J1227" t="s">
        <v>12</v>
      </c>
      <c r="K1227" t="s">
        <v>160</v>
      </c>
      <c r="L1227" s="37">
        <f t="shared" si="76"/>
        <v>0.22909735501084261</v>
      </c>
      <c r="M1227" s="2">
        <f t="shared" si="77"/>
        <v>3027744000</v>
      </c>
      <c r="N1227" s="37">
        <f t="shared" si="78"/>
        <v>0.10545967451048432</v>
      </c>
      <c r="O1227" s="2">
        <f t="shared" si="79"/>
        <v>1393752000</v>
      </c>
    </row>
    <row r="1228" spans="1:15" x14ac:dyDescent="0.3">
      <c r="A1228" t="s">
        <v>438</v>
      </c>
      <c r="B1228">
        <v>3</v>
      </c>
      <c r="C1228">
        <v>2015</v>
      </c>
      <c r="D1228" s="1">
        <v>42185</v>
      </c>
      <c r="E1228" s="2">
        <v>12711744000</v>
      </c>
      <c r="F1228" s="2">
        <v>9655245000</v>
      </c>
      <c r="G1228" s="2">
        <v>1544746000</v>
      </c>
      <c r="H1228">
        <v>0</v>
      </c>
      <c r="I1228">
        <v>0</v>
      </c>
      <c r="J1228" t="s">
        <v>12</v>
      </c>
      <c r="K1228" t="s">
        <v>160</v>
      </c>
      <c r="L1228" s="37">
        <f t="shared" si="76"/>
        <v>0.24044686551271011</v>
      </c>
      <c r="M1228" s="2">
        <f t="shared" si="77"/>
        <v>3056499000</v>
      </c>
      <c r="N1228" s="37">
        <f t="shared" si="78"/>
        <v>0.11892569579752393</v>
      </c>
      <c r="O1228" s="2">
        <f t="shared" si="79"/>
        <v>1511753000</v>
      </c>
    </row>
    <row r="1229" spans="1:15" x14ac:dyDescent="0.3">
      <c r="A1229" t="s">
        <v>438</v>
      </c>
      <c r="B1229">
        <v>4</v>
      </c>
      <c r="C1229">
        <v>2016</v>
      </c>
      <c r="D1229" s="1">
        <v>42551</v>
      </c>
      <c r="E1229" s="2">
        <v>11360753000</v>
      </c>
      <c r="F1229" s="2">
        <v>8823384000</v>
      </c>
      <c r="G1229" s="2">
        <v>1359360000</v>
      </c>
      <c r="H1229">
        <v>0</v>
      </c>
      <c r="I1229">
        <v>0</v>
      </c>
      <c r="J1229" t="s">
        <v>12</v>
      </c>
      <c r="K1229" t="s">
        <v>160</v>
      </c>
      <c r="L1229" s="37">
        <f t="shared" si="76"/>
        <v>0.22334514270312888</v>
      </c>
      <c r="M1229" s="2">
        <f t="shared" si="77"/>
        <v>2537369000</v>
      </c>
      <c r="N1229" s="37">
        <f t="shared" si="78"/>
        <v>0.10369110216549907</v>
      </c>
      <c r="O1229" s="2">
        <f t="shared" si="79"/>
        <v>1178009000</v>
      </c>
    </row>
    <row r="1230" spans="1:15" x14ac:dyDescent="0.3">
      <c r="A1230" t="s">
        <v>439</v>
      </c>
      <c r="B1230">
        <v>1</v>
      </c>
      <c r="C1230">
        <v>2013</v>
      </c>
      <c r="D1230" s="1">
        <v>41639</v>
      </c>
      <c r="E1230" s="2">
        <v>5679595000</v>
      </c>
      <c r="F1230" s="2">
        <v>4507196000</v>
      </c>
      <c r="G1230" s="2">
        <v>568500000</v>
      </c>
      <c r="H1230">
        <v>0</v>
      </c>
      <c r="I1230">
        <v>0</v>
      </c>
      <c r="J1230" t="s">
        <v>15</v>
      </c>
      <c r="K1230" t="s">
        <v>197</v>
      </c>
      <c r="L1230" s="37">
        <f t="shared" si="76"/>
        <v>0.20642299318877488</v>
      </c>
      <c r="M1230" s="2">
        <f t="shared" si="77"/>
        <v>1172399000</v>
      </c>
      <c r="N1230" s="37">
        <f t="shared" si="78"/>
        <v>0.10632782795252126</v>
      </c>
      <c r="O1230" s="2">
        <f t="shared" si="79"/>
        <v>603899000</v>
      </c>
    </row>
    <row r="1231" spans="1:15" x14ac:dyDescent="0.3">
      <c r="A1231" t="s">
        <v>439</v>
      </c>
      <c r="B1231">
        <v>2</v>
      </c>
      <c r="C1231">
        <v>2014</v>
      </c>
      <c r="D1231" s="1">
        <v>42004</v>
      </c>
      <c r="E1231" s="2">
        <v>5822363000</v>
      </c>
      <c r="F1231" s="2">
        <v>4244479000</v>
      </c>
      <c r="G1231" s="2">
        <v>861390000</v>
      </c>
      <c r="H1231">
        <v>0</v>
      </c>
      <c r="I1231">
        <v>0</v>
      </c>
      <c r="J1231" t="s">
        <v>15</v>
      </c>
      <c r="K1231" t="s">
        <v>197</v>
      </c>
      <c r="L1231" s="37">
        <f t="shared" si="76"/>
        <v>0.27100405797439975</v>
      </c>
      <c r="M1231" s="2">
        <f t="shared" si="77"/>
        <v>1577884000</v>
      </c>
      <c r="N1231" s="37">
        <f t="shared" si="78"/>
        <v>0.12305897107411544</v>
      </c>
      <c r="O1231" s="2">
        <f t="shared" si="79"/>
        <v>716494000</v>
      </c>
    </row>
    <row r="1232" spans="1:15" x14ac:dyDescent="0.3">
      <c r="A1232" t="s">
        <v>439</v>
      </c>
      <c r="B1232">
        <v>3</v>
      </c>
      <c r="C1232">
        <v>2015</v>
      </c>
      <c r="D1232" s="1">
        <v>42369</v>
      </c>
      <c r="E1232" s="2">
        <v>5981964000</v>
      </c>
      <c r="F1232" s="2">
        <v>4353850000</v>
      </c>
      <c r="G1232" s="2">
        <v>794728000</v>
      </c>
      <c r="H1232">
        <v>0</v>
      </c>
      <c r="I1232">
        <v>0</v>
      </c>
      <c r="J1232" t="s">
        <v>15</v>
      </c>
      <c r="K1232" t="s">
        <v>197</v>
      </c>
      <c r="L1232" s="37">
        <f t="shared" si="76"/>
        <v>0.27217047778956882</v>
      </c>
      <c r="M1232" s="2">
        <f t="shared" si="77"/>
        <v>1628114000</v>
      </c>
      <c r="N1232" s="37">
        <f t="shared" si="78"/>
        <v>0.13931645192114162</v>
      </c>
      <c r="O1232" s="2">
        <f t="shared" si="79"/>
        <v>833386000</v>
      </c>
    </row>
    <row r="1233" spans="1:15" x14ac:dyDescent="0.3">
      <c r="A1233" t="s">
        <v>439</v>
      </c>
      <c r="B1233">
        <v>4</v>
      </c>
      <c r="C1233">
        <v>2016</v>
      </c>
      <c r="D1233" s="1">
        <v>42735</v>
      </c>
      <c r="E1233" s="2">
        <v>7668476000</v>
      </c>
      <c r="F1233" s="2">
        <v>5728662000</v>
      </c>
      <c r="G1233" s="2">
        <v>957150000</v>
      </c>
      <c r="H1233">
        <v>0</v>
      </c>
      <c r="I1233">
        <v>0</v>
      </c>
      <c r="J1233" t="s">
        <v>15</v>
      </c>
      <c r="K1233" t="s">
        <v>197</v>
      </c>
      <c r="L1233" s="37">
        <f t="shared" si="76"/>
        <v>0.25295951894483337</v>
      </c>
      <c r="M1233" s="2">
        <f t="shared" si="77"/>
        <v>1939814000</v>
      </c>
      <c r="N1233" s="37">
        <f t="shared" si="78"/>
        <v>0.12814332339307055</v>
      </c>
      <c r="O1233" s="2">
        <f t="shared" si="79"/>
        <v>982664000</v>
      </c>
    </row>
    <row r="1234" spans="1:15" x14ac:dyDescent="0.3">
      <c r="A1234" t="s">
        <v>309</v>
      </c>
      <c r="B1234">
        <v>3</v>
      </c>
      <c r="C1234">
        <v>2015</v>
      </c>
      <c r="D1234" s="1">
        <v>42369</v>
      </c>
      <c r="E1234" s="2">
        <v>54289000000</v>
      </c>
      <c r="F1234" s="2">
        <v>44269000000</v>
      </c>
      <c r="G1234">
        <v>0</v>
      </c>
      <c r="H1234">
        <v>0</v>
      </c>
      <c r="I1234" s="2">
        <v>7673000000</v>
      </c>
      <c r="J1234" t="s">
        <v>21</v>
      </c>
      <c r="K1234" t="s">
        <v>77</v>
      </c>
      <c r="L1234" s="37">
        <f t="shared" si="76"/>
        <v>0.18456777616091657</v>
      </c>
      <c r="M1234" s="2">
        <f t="shared" si="77"/>
        <v>10020000000</v>
      </c>
      <c r="N1234" s="37">
        <f t="shared" si="78"/>
        <v>4.3231593877212697E-2</v>
      </c>
      <c r="O1234" s="2">
        <f t="shared" si="79"/>
        <v>2347000000</v>
      </c>
    </row>
    <row r="1235" spans="1:15" x14ac:dyDescent="0.3">
      <c r="A1235" t="s">
        <v>309</v>
      </c>
      <c r="B1235">
        <v>4</v>
      </c>
      <c r="C1235">
        <v>2016</v>
      </c>
      <c r="D1235" s="1">
        <v>42735</v>
      </c>
      <c r="E1235" s="2">
        <v>54379000000</v>
      </c>
      <c r="F1235" s="2">
        <v>45007000000</v>
      </c>
      <c r="G1235">
        <v>0</v>
      </c>
      <c r="H1235">
        <v>0</v>
      </c>
      <c r="I1235" s="2">
        <v>7631000000</v>
      </c>
      <c r="J1235" t="s">
        <v>21</v>
      </c>
      <c r="K1235" t="s">
        <v>77</v>
      </c>
      <c r="L1235" s="37">
        <f t="shared" si="76"/>
        <v>0.17234594236745804</v>
      </c>
      <c r="M1235" s="2">
        <f t="shared" si="77"/>
        <v>9372000000</v>
      </c>
      <c r="N1235" s="37">
        <f t="shared" si="78"/>
        <v>3.2016035601978708E-2</v>
      </c>
      <c r="O1235" s="2">
        <f t="shared" si="79"/>
        <v>1741000000</v>
      </c>
    </row>
    <row r="1236" spans="1:15" x14ac:dyDescent="0.3">
      <c r="A1236" t="s">
        <v>311</v>
      </c>
      <c r="B1236">
        <v>1</v>
      </c>
      <c r="C1236">
        <v>2012</v>
      </c>
      <c r="D1236" s="1">
        <v>41274</v>
      </c>
      <c r="E1236" s="2">
        <v>1293338000</v>
      </c>
      <c r="F1236" s="2">
        <v>594190000</v>
      </c>
      <c r="G1236" s="2">
        <v>354571000</v>
      </c>
      <c r="H1236" s="2">
        <v>82014000</v>
      </c>
      <c r="I1236">
        <v>0</v>
      </c>
      <c r="J1236" t="s">
        <v>21</v>
      </c>
      <c r="K1236" t="s">
        <v>26</v>
      </c>
      <c r="L1236" s="37">
        <f t="shared" si="76"/>
        <v>0.54057639998206186</v>
      </c>
      <c r="M1236" s="2">
        <f t="shared" si="77"/>
        <v>699148000</v>
      </c>
      <c r="N1236" s="37">
        <f t="shared" si="78"/>
        <v>0.2030118963488276</v>
      </c>
      <c r="O1236" s="2">
        <f t="shared" si="79"/>
        <v>262563000</v>
      </c>
    </row>
    <row r="1237" spans="1:15" x14ac:dyDescent="0.3">
      <c r="A1237" t="s">
        <v>311</v>
      </c>
      <c r="B1237">
        <v>2</v>
      </c>
      <c r="C1237">
        <v>2013</v>
      </c>
      <c r="D1237" s="1">
        <v>41639</v>
      </c>
      <c r="E1237" s="2">
        <v>1377058000</v>
      </c>
      <c r="F1237" s="2">
        <v>620940000</v>
      </c>
      <c r="G1237" s="2">
        <v>401353000</v>
      </c>
      <c r="H1237" s="2">
        <v>88003000</v>
      </c>
      <c r="I1237">
        <v>0</v>
      </c>
      <c r="J1237" t="s">
        <v>21</v>
      </c>
      <c r="K1237" t="s">
        <v>26</v>
      </c>
      <c r="L1237" s="37">
        <f t="shared" si="76"/>
        <v>0.54908217373560153</v>
      </c>
      <c r="M1237" s="2">
        <f t="shared" si="77"/>
        <v>756118000</v>
      </c>
      <c r="N1237" s="37">
        <f t="shared" si="78"/>
        <v>0.19371878308684165</v>
      </c>
      <c r="O1237" s="2">
        <f t="shared" si="79"/>
        <v>266762000</v>
      </c>
    </row>
    <row r="1238" spans="1:15" x14ac:dyDescent="0.3">
      <c r="A1238" t="s">
        <v>441</v>
      </c>
      <c r="B1238">
        <v>1</v>
      </c>
      <c r="C1238">
        <v>2013</v>
      </c>
      <c r="D1238" s="1">
        <v>41639</v>
      </c>
      <c r="E1238" s="2">
        <v>80029000000</v>
      </c>
      <c r="F1238" s="2">
        <v>59222000000</v>
      </c>
      <c r="G1238" s="2">
        <v>6890000000</v>
      </c>
      <c r="H1238">
        <v>0</v>
      </c>
      <c r="I1238" s="2">
        <v>93000000</v>
      </c>
      <c r="J1238" t="s">
        <v>32</v>
      </c>
      <c r="K1238" t="s">
        <v>389</v>
      </c>
      <c r="L1238" s="37">
        <f t="shared" si="76"/>
        <v>0.25999325244598837</v>
      </c>
      <c r="M1238" s="2">
        <f t="shared" si="77"/>
        <v>20807000000</v>
      </c>
      <c r="N1238" s="37">
        <f t="shared" si="78"/>
        <v>0.1727373826987717</v>
      </c>
      <c r="O1238" s="2">
        <f t="shared" si="79"/>
        <v>13824000000</v>
      </c>
    </row>
    <row r="1239" spans="1:15" x14ac:dyDescent="0.3">
      <c r="A1239" t="s">
        <v>441</v>
      </c>
      <c r="B1239">
        <v>2</v>
      </c>
      <c r="C1239">
        <v>2014</v>
      </c>
      <c r="D1239" s="1">
        <v>42004</v>
      </c>
      <c r="E1239" s="2">
        <v>80106000000</v>
      </c>
      <c r="F1239" s="2">
        <v>60775000000</v>
      </c>
      <c r="G1239" s="2">
        <v>7001000000</v>
      </c>
      <c r="H1239">
        <v>0</v>
      </c>
      <c r="I1239" s="2">
        <v>93000000</v>
      </c>
      <c r="J1239" t="s">
        <v>32</v>
      </c>
      <c r="K1239" t="s">
        <v>389</v>
      </c>
      <c r="L1239" s="37">
        <f t="shared" si="76"/>
        <v>0.24131775397598187</v>
      </c>
      <c r="M1239" s="2">
        <f t="shared" si="77"/>
        <v>19331000000</v>
      </c>
      <c r="N1239" s="37">
        <f t="shared" si="78"/>
        <v>0.15276009287693806</v>
      </c>
      <c r="O1239" s="2">
        <f t="shared" si="79"/>
        <v>12237000000</v>
      </c>
    </row>
    <row r="1240" spans="1:15" x14ac:dyDescent="0.3">
      <c r="A1240" t="s">
        <v>441</v>
      </c>
      <c r="B1240">
        <v>3</v>
      </c>
      <c r="C1240">
        <v>2015</v>
      </c>
      <c r="D1240" s="1">
        <v>42369</v>
      </c>
      <c r="E1240" s="2">
        <v>73908000000</v>
      </c>
      <c r="F1240" s="2">
        <v>56479000000</v>
      </c>
      <c r="G1240" s="2">
        <v>6656000000</v>
      </c>
      <c r="H1240">
        <v>0</v>
      </c>
      <c r="I1240" s="2">
        <v>82000000</v>
      </c>
      <c r="J1240" t="s">
        <v>32</v>
      </c>
      <c r="K1240" t="s">
        <v>389</v>
      </c>
      <c r="L1240" s="37">
        <f t="shared" si="76"/>
        <v>0.23582020890837252</v>
      </c>
      <c r="M1240" s="2">
        <f t="shared" si="77"/>
        <v>17429000000</v>
      </c>
      <c r="N1240" s="37">
        <f t="shared" si="78"/>
        <v>0.14465281160361532</v>
      </c>
      <c r="O1240" s="2">
        <f t="shared" si="79"/>
        <v>10691000000</v>
      </c>
    </row>
    <row r="1241" spans="1:15" x14ac:dyDescent="0.3">
      <c r="A1241" t="s">
        <v>441</v>
      </c>
      <c r="B1241">
        <v>4</v>
      </c>
      <c r="C1241">
        <v>2016</v>
      </c>
      <c r="D1241" s="1">
        <v>42735</v>
      </c>
      <c r="E1241" s="2">
        <v>74953000000</v>
      </c>
      <c r="F1241" s="2">
        <v>57659000000</v>
      </c>
      <c r="G1241" s="2">
        <v>6405000000</v>
      </c>
      <c r="H1241">
        <v>0</v>
      </c>
      <c r="I1241" s="2">
        <v>74000000</v>
      </c>
      <c r="J1241" t="s">
        <v>32</v>
      </c>
      <c r="K1241" t="s">
        <v>389</v>
      </c>
      <c r="L1241" s="37">
        <f t="shared" si="76"/>
        <v>0.23073125825517327</v>
      </c>
      <c r="M1241" s="2">
        <f t="shared" si="77"/>
        <v>17294000000</v>
      </c>
      <c r="N1241" s="37">
        <f t="shared" si="78"/>
        <v>0.14429042199778527</v>
      </c>
      <c r="O1241" s="2">
        <f t="shared" si="79"/>
        <v>10815000000</v>
      </c>
    </row>
    <row r="1242" spans="1:15" x14ac:dyDescent="0.3">
      <c r="A1242" t="s">
        <v>311</v>
      </c>
      <c r="B1242">
        <v>3</v>
      </c>
      <c r="C1242">
        <v>2014</v>
      </c>
      <c r="D1242" s="1">
        <v>42004</v>
      </c>
      <c r="E1242" s="2">
        <v>1485807000</v>
      </c>
      <c r="F1242" s="2">
        <v>669691000</v>
      </c>
      <c r="G1242" s="2">
        <v>457598000</v>
      </c>
      <c r="H1242" s="2">
        <v>98263000</v>
      </c>
      <c r="I1242">
        <v>0</v>
      </c>
      <c r="J1242" t="s">
        <v>21</v>
      </c>
      <c r="K1242" t="s">
        <v>26</v>
      </c>
      <c r="L1242" s="37">
        <f t="shared" si="76"/>
        <v>0.5492745693081269</v>
      </c>
      <c r="M1242" s="2">
        <f t="shared" si="77"/>
        <v>816116000</v>
      </c>
      <c r="N1242" s="37">
        <f t="shared" si="78"/>
        <v>0.17516070391376537</v>
      </c>
      <c r="O1242" s="2">
        <f t="shared" si="79"/>
        <v>260255000</v>
      </c>
    </row>
    <row r="1243" spans="1:15" x14ac:dyDescent="0.3">
      <c r="A1243" t="s">
        <v>311</v>
      </c>
      <c r="B1243">
        <v>4</v>
      </c>
      <c r="C1243">
        <v>2015</v>
      </c>
      <c r="D1243" s="1">
        <v>42369</v>
      </c>
      <c r="E1243" s="2">
        <v>1601892000</v>
      </c>
      <c r="F1243" s="2">
        <v>711622000</v>
      </c>
      <c r="G1243" s="2">
        <v>482465000</v>
      </c>
      <c r="H1243" s="2">
        <v>99681000</v>
      </c>
      <c r="I1243">
        <v>0</v>
      </c>
      <c r="J1243" t="s">
        <v>21</v>
      </c>
      <c r="K1243" t="s">
        <v>26</v>
      </c>
      <c r="L1243" s="37">
        <f t="shared" si="76"/>
        <v>0.55576156195299053</v>
      </c>
      <c r="M1243" s="2">
        <f t="shared" si="77"/>
        <v>890270000</v>
      </c>
      <c r="N1243" s="37">
        <f t="shared" si="78"/>
        <v>0.19235004607052161</v>
      </c>
      <c r="O1243" s="2">
        <f t="shared" si="79"/>
        <v>308124000</v>
      </c>
    </row>
    <row r="1244" spans="1:15" x14ac:dyDescent="0.3">
      <c r="A1244" t="s">
        <v>313</v>
      </c>
      <c r="B1244">
        <v>1</v>
      </c>
      <c r="C1244">
        <v>2013</v>
      </c>
      <c r="D1244" s="1">
        <v>41637</v>
      </c>
      <c r="E1244" s="2">
        <v>1421178000</v>
      </c>
      <c r="F1244" s="2">
        <v>509291000</v>
      </c>
      <c r="G1244" s="2">
        <v>397285000</v>
      </c>
      <c r="H1244" s="2">
        <v>276743000</v>
      </c>
      <c r="I1244">
        <v>0</v>
      </c>
      <c r="J1244" t="s">
        <v>21</v>
      </c>
      <c r="K1244" t="s">
        <v>314</v>
      </c>
      <c r="L1244" s="37">
        <f t="shared" si="76"/>
        <v>0.64164165220683123</v>
      </c>
      <c r="M1244" s="2">
        <f t="shared" si="77"/>
        <v>911887000</v>
      </c>
      <c r="N1244" s="37">
        <f t="shared" si="78"/>
        <v>0.16736749372703488</v>
      </c>
      <c r="O1244" s="2">
        <f t="shared" si="79"/>
        <v>237859000</v>
      </c>
    </row>
    <row r="1245" spans="1:15" x14ac:dyDescent="0.3">
      <c r="A1245" t="s">
        <v>313</v>
      </c>
      <c r="B1245">
        <v>2</v>
      </c>
      <c r="C1245">
        <v>2014</v>
      </c>
      <c r="D1245" s="1">
        <v>42001</v>
      </c>
      <c r="E1245" s="2">
        <v>1861358000</v>
      </c>
      <c r="F1245" s="2">
        <v>563648000</v>
      </c>
      <c r="G1245" s="2">
        <v>471921000</v>
      </c>
      <c r="H1245" s="2">
        <v>388055000</v>
      </c>
      <c r="I1245">
        <v>0</v>
      </c>
      <c r="J1245" t="s">
        <v>21</v>
      </c>
      <c r="K1245" t="s">
        <v>314</v>
      </c>
      <c r="L1245" s="37">
        <f t="shared" si="76"/>
        <v>0.69718452871505643</v>
      </c>
      <c r="M1245" s="2">
        <f t="shared" si="77"/>
        <v>1297710000</v>
      </c>
      <c r="N1245" s="37">
        <f t="shared" si="78"/>
        <v>0.23516916144019581</v>
      </c>
      <c r="O1245" s="2">
        <f t="shared" si="79"/>
        <v>437734000</v>
      </c>
    </row>
    <row r="1246" spans="1:15" x14ac:dyDescent="0.3">
      <c r="A1246" t="s">
        <v>443</v>
      </c>
      <c r="B1246">
        <v>1</v>
      </c>
      <c r="C1246">
        <v>2012</v>
      </c>
      <c r="D1246" s="1">
        <v>41274</v>
      </c>
      <c r="E1246" s="2">
        <v>4306800000</v>
      </c>
      <c r="F1246" s="2">
        <v>3040900000</v>
      </c>
      <c r="G1246" s="2">
        <v>1117700000</v>
      </c>
      <c r="H1246" s="2">
        <v>92300000</v>
      </c>
      <c r="I1246">
        <v>0</v>
      </c>
      <c r="J1246" t="s">
        <v>12</v>
      </c>
      <c r="K1246" t="s">
        <v>153</v>
      </c>
      <c r="L1246" s="37">
        <f t="shared" si="76"/>
        <v>0.29393052846661094</v>
      </c>
      <c r="M1246" s="2">
        <f t="shared" si="77"/>
        <v>1265900000</v>
      </c>
      <c r="N1246" s="37">
        <f t="shared" si="78"/>
        <v>1.2979474319680506E-2</v>
      </c>
      <c r="O1246" s="2">
        <f t="shared" si="79"/>
        <v>55900000</v>
      </c>
    </row>
    <row r="1247" spans="1:15" x14ac:dyDescent="0.3">
      <c r="A1247" t="s">
        <v>443</v>
      </c>
      <c r="B1247">
        <v>2</v>
      </c>
      <c r="C1247">
        <v>2013</v>
      </c>
      <c r="D1247" s="1">
        <v>41639</v>
      </c>
      <c r="E1247" s="2">
        <v>6999700000</v>
      </c>
      <c r="F1247" s="2">
        <v>4629600000</v>
      </c>
      <c r="G1247" s="2">
        <v>1493700000</v>
      </c>
      <c r="H1247" s="2">
        <v>122800000</v>
      </c>
      <c r="I1247">
        <v>0</v>
      </c>
      <c r="J1247" t="s">
        <v>12</v>
      </c>
      <c r="K1247" t="s">
        <v>153</v>
      </c>
      <c r="L1247" s="37">
        <f t="shared" si="76"/>
        <v>0.33860022572395965</v>
      </c>
      <c r="M1247" s="2">
        <f t="shared" si="77"/>
        <v>2370100000</v>
      </c>
      <c r="N1247" s="37">
        <f t="shared" si="78"/>
        <v>0.10766175693243996</v>
      </c>
      <c r="O1247" s="2">
        <f t="shared" si="79"/>
        <v>753600000</v>
      </c>
    </row>
    <row r="1248" spans="1:15" x14ac:dyDescent="0.3">
      <c r="A1248" t="s">
        <v>443</v>
      </c>
      <c r="B1248">
        <v>3</v>
      </c>
      <c r="C1248">
        <v>2014</v>
      </c>
      <c r="D1248" s="1">
        <v>42004</v>
      </c>
      <c r="E1248" s="2">
        <v>7039000000</v>
      </c>
      <c r="F1248" s="2">
        <v>4576000000</v>
      </c>
      <c r="G1248" s="2">
        <v>1493800000</v>
      </c>
      <c r="H1248" s="2">
        <v>117300000</v>
      </c>
      <c r="I1248">
        <v>0</v>
      </c>
      <c r="J1248" t="s">
        <v>12</v>
      </c>
      <c r="K1248" t="s">
        <v>153</v>
      </c>
      <c r="L1248" s="37">
        <f t="shared" si="76"/>
        <v>0.34990765733769003</v>
      </c>
      <c r="M1248" s="2">
        <f t="shared" si="77"/>
        <v>2463000000</v>
      </c>
      <c r="N1248" s="37">
        <f t="shared" si="78"/>
        <v>0.12102571387981248</v>
      </c>
      <c r="O1248" s="2">
        <f t="shared" si="79"/>
        <v>851900000</v>
      </c>
    </row>
    <row r="1249" spans="1:15" x14ac:dyDescent="0.3">
      <c r="A1249" t="s">
        <v>443</v>
      </c>
      <c r="B1249">
        <v>4</v>
      </c>
      <c r="C1249">
        <v>2015</v>
      </c>
      <c r="D1249" s="1">
        <v>42369</v>
      </c>
      <c r="E1249" s="2">
        <v>6449000000</v>
      </c>
      <c r="F1249" s="2">
        <v>4263200000</v>
      </c>
      <c r="G1249" s="2">
        <v>1334300000</v>
      </c>
      <c r="H1249" s="2">
        <v>119600000</v>
      </c>
      <c r="I1249">
        <v>0</v>
      </c>
      <c r="J1249" t="s">
        <v>12</v>
      </c>
      <c r="K1249" t="s">
        <v>153</v>
      </c>
      <c r="L1249" s="37">
        <f t="shared" si="76"/>
        <v>0.33893626918902153</v>
      </c>
      <c r="M1249" s="2">
        <f t="shared" si="77"/>
        <v>2185800000</v>
      </c>
      <c r="N1249" s="37">
        <f t="shared" si="78"/>
        <v>0.11349046363777329</v>
      </c>
      <c r="O1249" s="2">
        <f t="shared" si="79"/>
        <v>731900000</v>
      </c>
    </row>
    <row r="1250" spans="1:15" x14ac:dyDescent="0.3">
      <c r="A1250" t="s">
        <v>444</v>
      </c>
      <c r="B1250">
        <v>1</v>
      </c>
      <c r="C1250">
        <v>2012</v>
      </c>
      <c r="D1250" s="1">
        <v>41274</v>
      </c>
      <c r="E1250" s="2">
        <v>3301804000</v>
      </c>
      <c r="F1250" s="2">
        <v>1879559000</v>
      </c>
      <c r="G1250" s="2">
        <v>166154000</v>
      </c>
      <c r="H1250">
        <v>0</v>
      </c>
      <c r="I1250" s="2">
        <v>404336000</v>
      </c>
      <c r="J1250" t="s">
        <v>38</v>
      </c>
      <c r="K1250" t="s">
        <v>39</v>
      </c>
      <c r="L1250" s="37">
        <f t="shared" si="76"/>
        <v>0.43074785783771541</v>
      </c>
      <c r="M1250" s="2">
        <f t="shared" si="77"/>
        <v>1422245000</v>
      </c>
      <c r="N1250" s="37">
        <f t="shared" si="78"/>
        <v>0.25796655404136648</v>
      </c>
      <c r="O1250" s="2">
        <f t="shared" si="79"/>
        <v>851755000</v>
      </c>
    </row>
    <row r="1251" spans="1:15" x14ac:dyDescent="0.3">
      <c r="A1251" t="s">
        <v>444</v>
      </c>
      <c r="B1251">
        <v>2</v>
      </c>
      <c r="C1251">
        <v>2013</v>
      </c>
      <c r="D1251" s="1">
        <v>41639</v>
      </c>
      <c r="E1251" s="2">
        <v>3454628000</v>
      </c>
      <c r="F1251" s="2">
        <v>2020436000</v>
      </c>
      <c r="G1251" s="2">
        <v>172161000</v>
      </c>
      <c r="H1251">
        <v>0</v>
      </c>
      <c r="I1251" s="2">
        <v>415708000</v>
      </c>
      <c r="J1251" t="s">
        <v>38</v>
      </c>
      <c r="K1251" t="s">
        <v>39</v>
      </c>
      <c r="L1251" s="37">
        <f t="shared" si="76"/>
        <v>0.4151509221832278</v>
      </c>
      <c r="M1251" s="2">
        <f t="shared" si="77"/>
        <v>1434192000</v>
      </c>
      <c r="N1251" s="37">
        <f t="shared" si="78"/>
        <v>0.24498238305253128</v>
      </c>
      <c r="O1251" s="2">
        <f t="shared" si="79"/>
        <v>846323000</v>
      </c>
    </row>
    <row r="1252" spans="1:15" x14ac:dyDescent="0.3">
      <c r="A1252" t="s">
        <v>444</v>
      </c>
      <c r="B1252">
        <v>3</v>
      </c>
      <c r="C1252">
        <v>2014</v>
      </c>
      <c r="D1252" s="1">
        <v>42004</v>
      </c>
      <c r="E1252" s="2">
        <v>3491632000</v>
      </c>
      <c r="F1252" s="2">
        <v>2087854000</v>
      </c>
      <c r="G1252" s="2">
        <v>175178000</v>
      </c>
      <c r="H1252">
        <v>0</v>
      </c>
      <c r="I1252" s="2">
        <v>417358000</v>
      </c>
      <c r="J1252" t="s">
        <v>38</v>
      </c>
      <c r="K1252" t="s">
        <v>39</v>
      </c>
      <c r="L1252" s="37">
        <f t="shared" si="76"/>
        <v>0.40204065033199377</v>
      </c>
      <c r="M1252" s="2">
        <f t="shared" si="77"/>
        <v>1403778000</v>
      </c>
      <c r="N1252" s="37">
        <f t="shared" si="78"/>
        <v>0.23233891773245291</v>
      </c>
      <c r="O1252" s="2">
        <f t="shared" si="79"/>
        <v>811242000</v>
      </c>
    </row>
    <row r="1253" spans="1:15" x14ac:dyDescent="0.3">
      <c r="A1253" t="s">
        <v>444</v>
      </c>
      <c r="B1253">
        <v>4</v>
      </c>
      <c r="C1253">
        <v>2015</v>
      </c>
      <c r="D1253" s="1">
        <v>42369</v>
      </c>
      <c r="E1253" s="2">
        <v>3495443000</v>
      </c>
      <c r="F1253" s="2">
        <v>1969675000</v>
      </c>
      <c r="G1253" s="2">
        <v>176744000</v>
      </c>
      <c r="H1253">
        <v>0</v>
      </c>
      <c r="I1253" s="2">
        <v>494422000</v>
      </c>
      <c r="J1253" t="s">
        <v>38</v>
      </c>
      <c r="K1253" t="s">
        <v>39</v>
      </c>
      <c r="L1253" s="37">
        <f t="shared" si="76"/>
        <v>0.43650203994171843</v>
      </c>
      <c r="M1253" s="2">
        <f t="shared" si="77"/>
        <v>1525768000</v>
      </c>
      <c r="N1253" s="37">
        <f t="shared" si="78"/>
        <v>0.24449032640497928</v>
      </c>
      <c r="O1253" s="2">
        <f t="shared" si="79"/>
        <v>854602000</v>
      </c>
    </row>
    <row r="1254" spans="1:15" x14ac:dyDescent="0.3">
      <c r="A1254" t="s">
        <v>445</v>
      </c>
      <c r="B1254">
        <v>1</v>
      </c>
      <c r="C1254">
        <v>2013</v>
      </c>
      <c r="D1254" s="1">
        <v>41639</v>
      </c>
      <c r="E1254" s="2">
        <v>14265000000</v>
      </c>
      <c r="F1254" s="2">
        <v>8314000000</v>
      </c>
      <c r="G1254" s="2">
        <v>3486000000</v>
      </c>
      <c r="H1254" s="2">
        <v>463000000</v>
      </c>
      <c r="I1254" s="2">
        <v>452000000</v>
      </c>
      <c r="J1254" t="s">
        <v>55</v>
      </c>
      <c r="K1254" t="s">
        <v>189</v>
      </c>
      <c r="L1254" s="37">
        <f t="shared" si="76"/>
        <v>0.41717490361023479</v>
      </c>
      <c r="M1254" s="2">
        <f t="shared" si="77"/>
        <v>5951000000</v>
      </c>
      <c r="N1254" s="37">
        <f t="shared" si="78"/>
        <v>0.10865755345250613</v>
      </c>
      <c r="O1254" s="2">
        <f t="shared" si="79"/>
        <v>1550000000</v>
      </c>
    </row>
    <row r="1255" spans="1:15" x14ac:dyDescent="0.3">
      <c r="A1255" t="s">
        <v>445</v>
      </c>
      <c r="B1255">
        <v>2</v>
      </c>
      <c r="C1255">
        <v>2014</v>
      </c>
      <c r="D1255" s="1">
        <v>42004</v>
      </c>
      <c r="E1255" s="2">
        <v>14791000000</v>
      </c>
      <c r="F1255" s="2">
        <v>8348000000</v>
      </c>
      <c r="G1255" s="2">
        <v>4013000000</v>
      </c>
      <c r="H1255" s="2">
        <v>483000000</v>
      </c>
      <c r="I1255" s="2">
        <v>450000000</v>
      </c>
      <c r="J1255" t="s">
        <v>55</v>
      </c>
      <c r="K1255" t="s">
        <v>189</v>
      </c>
      <c r="L1255" s="37">
        <f t="shared" si="76"/>
        <v>0.4356027313907106</v>
      </c>
      <c r="M1255" s="2">
        <f t="shared" si="77"/>
        <v>6443000000</v>
      </c>
      <c r="N1255" s="37">
        <f t="shared" si="78"/>
        <v>0.10121019538908796</v>
      </c>
      <c r="O1255" s="2">
        <f t="shared" si="79"/>
        <v>1497000000</v>
      </c>
    </row>
    <row r="1256" spans="1:15" x14ac:dyDescent="0.3">
      <c r="A1256" t="s">
        <v>445</v>
      </c>
      <c r="B1256">
        <v>3</v>
      </c>
      <c r="C1256">
        <v>2015</v>
      </c>
      <c r="D1256" s="1">
        <v>42369</v>
      </c>
      <c r="E1256" s="2">
        <v>14766000000</v>
      </c>
      <c r="F1256" s="2">
        <v>8206000000</v>
      </c>
      <c r="G1256" s="2">
        <v>3624000000</v>
      </c>
      <c r="H1256" s="2">
        <v>476000000</v>
      </c>
      <c r="I1256" s="2">
        <v>471000000</v>
      </c>
      <c r="J1256" t="s">
        <v>55</v>
      </c>
      <c r="K1256" t="s">
        <v>189</v>
      </c>
      <c r="L1256" s="37">
        <f t="shared" si="76"/>
        <v>0.44426384938371932</v>
      </c>
      <c r="M1256" s="2">
        <f t="shared" si="77"/>
        <v>6560000000</v>
      </c>
      <c r="N1256" s="37">
        <f t="shared" si="78"/>
        <v>0.13470134091832589</v>
      </c>
      <c r="O1256" s="2">
        <f t="shared" si="79"/>
        <v>1989000000</v>
      </c>
    </row>
    <row r="1257" spans="1:15" x14ac:dyDescent="0.3">
      <c r="A1257" t="s">
        <v>445</v>
      </c>
      <c r="B1257">
        <v>4</v>
      </c>
      <c r="C1257">
        <v>2016</v>
      </c>
      <c r="D1257" s="1">
        <v>42735</v>
      </c>
      <c r="E1257" s="2">
        <v>14751000000</v>
      </c>
      <c r="F1257" s="2">
        <v>8063000000</v>
      </c>
      <c r="G1257" s="2">
        <v>4630000000</v>
      </c>
      <c r="H1257" s="2">
        <v>466000000</v>
      </c>
      <c r="I1257" s="2">
        <v>462000000</v>
      </c>
      <c r="J1257" t="s">
        <v>55</v>
      </c>
      <c r="K1257" t="s">
        <v>189</v>
      </c>
      <c r="L1257" s="37">
        <f t="shared" si="76"/>
        <v>0.45339299030574198</v>
      </c>
      <c r="M1257" s="2">
        <f t="shared" si="77"/>
        <v>6688000000</v>
      </c>
      <c r="N1257" s="37">
        <f t="shared" si="78"/>
        <v>7.6604975933835001E-2</v>
      </c>
      <c r="O1257" s="2">
        <f t="shared" si="79"/>
        <v>1130000000</v>
      </c>
    </row>
    <row r="1258" spans="1:15" x14ac:dyDescent="0.3">
      <c r="A1258" t="s">
        <v>446</v>
      </c>
      <c r="B1258">
        <v>1</v>
      </c>
      <c r="C1258">
        <v>2012</v>
      </c>
      <c r="D1258" s="1">
        <v>41274</v>
      </c>
      <c r="E1258" s="2">
        <v>12132000000</v>
      </c>
      <c r="F1258" s="2">
        <v>4876000000</v>
      </c>
      <c r="G1258" s="2">
        <v>3143000000</v>
      </c>
      <c r="H1258">
        <v>0</v>
      </c>
      <c r="I1258" s="2">
        <v>1087000000</v>
      </c>
      <c r="J1258" t="s">
        <v>38</v>
      </c>
      <c r="K1258" t="s">
        <v>41</v>
      </c>
      <c r="L1258" s="37">
        <f t="shared" si="76"/>
        <v>0.59808770194526872</v>
      </c>
      <c r="M1258" s="2">
        <f t="shared" si="77"/>
        <v>7256000000</v>
      </c>
      <c r="N1258" s="37">
        <f t="shared" si="78"/>
        <v>0.249423013517969</v>
      </c>
      <c r="O1258" s="2">
        <f t="shared" si="79"/>
        <v>3026000000</v>
      </c>
    </row>
    <row r="1259" spans="1:15" x14ac:dyDescent="0.3">
      <c r="A1259" t="s">
        <v>446</v>
      </c>
      <c r="B1259">
        <v>2</v>
      </c>
      <c r="C1259">
        <v>2013</v>
      </c>
      <c r="D1259" s="1">
        <v>41639</v>
      </c>
      <c r="E1259" s="2">
        <v>7263000000</v>
      </c>
      <c r="F1259" s="2">
        <v>1751000000</v>
      </c>
      <c r="G1259" s="2">
        <v>2108000000</v>
      </c>
      <c r="H1259">
        <v>0</v>
      </c>
      <c r="I1259" s="2">
        <v>843000000</v>
      </c>
      <c r="J1259" t="s">
        <v>38</v>
      </c>
      <c r="K1259" t="s">
        <v>41</v>
      </c>
      <c r="L1259" s="37">
        <f t="shared" si="76"/>
        <v>0.7589150488778742</v>
      </c>
      <c r="M1259" s="2">
        <f t="shared" si="77"/>
        <v>5512000000</v>
      </c>
      <c r="N1259" s="37">
        <f t="shared" si="78"/>
        <v>0.35260911469089906</v>
      </c>
      <c r="O1259" s="2">
        <f t="shared" si="79"/>
        <v>2561000000</v>
      </c>
    </row>
    <row r="1260" spans="1:15" x14ac:dyDescent="0.3">
      <c r="A1260" t="s">
        <v>446</v>
      </c>
      <c r="B1260">
        <v>3</v>
      </c>
      <c r="C1260">
        <v>2014</v>
      </c>
      <c r="D1260" s="1">
        <v>42004</v>
      </c>
      <c r="E1260" s="2">
        <v>7852000000</v>
      </c>
      <c r="F1260" s="2">
        <v>1889000000</v>
      </c>
      <c r="G1260" s="2">
        <v>2173000000</v>
      </c>
      <c r="H1260">
        <v>0</v>
      </c>
      <c r="I1260" s="2">
        <v>923000000</v>
      </c>
      <c r="J1260" t="s">
        <v>38</v>
      </c>
      <c r="K1260" t="s">
        <v>41</v>
      </c>
      <c r="L1260" s="37">
        <f t="shared" si="76"/>
        <v>0.75942435048395307</v>
      </c>
      <c r="M1260" s="2">
        <f t="shared" si="77"/>
        <v>5963000000</v>
      </c>
      <c r="N1260" s="37">
        <f t="shared" si="78"/>
        <v>0.36512990320937339</v>
      </c>
      <c r="O1260" s="2">
        <f t="shared" si="79"/>
        <v>2867000000</v>
      </c>
    </row>
    <row r="1261" spans="1:15" x14ac:dyDescent="0.3">
      <c r="A1261" t="s">
        <v>446</v>
      </c>
      <c r="B1261">
        <v>4</v>
      </c>
      <c r="C1261">
        <v>2015</v>
      </c>
      <c r="D1261" s="1">
        <v>42369</v>
      </c>
      <c r="E1261" s="2">
        <v>7669000000</v>
      </c>
      <c r="F1261" s="2">
        <v>1718000000</v>
      </c>
      <c r="G1261" s="2">
        <v>2237000000</v>
      </c>
      <c r="H1261">
        <v>0</v>
      </c>
      <c r="I1261" s="2">
        <v>883000000</v>
      </c>
      <c r="J1261" t="s">
        <v>38</v>
      </c>
      <c r="K1261" t="s">
        <v>41</v>
      </c>
      <c r="L1261" s="37">
        <f t="shared" si="76"/>
        <v>0.77598122310601125</v>
      </c>
      <c r="M1261" s="2">
        <f t="shared" si="77"/>
        <v>5951000000</v>
      </c>
      <c r="N1261" s="37">
        <f t="shared" si="78"/>
        <v>0.36914852001564741</v>
      </c>
      <c r="O1261" s="2">
        <f t="shared" si="79"/>
        <v>2831000000</v>
      </c>
    </row>
    <row r="1262" spans="1:15" x14ac:dyDescent="0.3">
      <c r="A1262" t="s">
        <v>313</v>
      </c>
      <c r="B1262">
        <v>3</v>
      </c>
      <c r="C1262">
        <v>2016</v>
      </c>
      <c r="D1262" s="1">
        <v>42372</v>
      </c>
      <c r="E1262" s="2">
        <v>2219762000</v>
      </c>
      <c r="F1262" s="2">
        <v>670472000</v>
      </c>
      <c r="G1262" s="2">
        <v>522046000</v>
      </c>
      <c r="H1262" s="2">
        <v>401527000</v>
      </c>
      <c r="I1262">
        <v>0</v>
      </c>
      <c r="J1262" t="s">
        <v>21</v>
      </c>
      <c r="K1262" t="s">
        <v>314</v>
      </c>
      <c r="L1262" s="37">
        <f t="shared" si="76"/>
        <v>0.69795320399213967</v>
      </c>
      <c r="M1262" s="2">
        <f t="shared" si="77"/>
        <v>1549290000</v>
      </c>
      <c r="N1262" s="37">
        <f t="shared" si="78"/>
        <v>0.28188472457858094</v>
      </c>
      <c r="O1262" s="2">
        <f t="shared" si="79"/>
        <v>625717000</v>
      </c>
    </row>
    <row r="1263" spans="1:15" x14ac:dyDescent="0.3">
      <c r="A1263" t="s">
        <v>313</v>
      </c>
      <c r="B1263">
        <v>4</v>
      </c>
      <c r="C1263">
        <v>2017</v>
      </c>
      <c r="D1263" s="1">
        <v>42736</v>
      </c>
      <c r="E1263" s="2">
        <v>2398373000</v>
      </c>
      <c r="F1263" s="2">
        <v>731925000</v>
      </c>
      <c r="G1263" s="2">
        <v>584491000</v>
      </c>
      <c r="H1263" s="2">
        <v>504415000</v>
      </c>
      <c r="I1263">
        <v>0</v>
      </c>
      <c r="J1263" t="s">
        <v>21</v>
      </c>
      <c r="K1263" t="s">
        <v>314</v>
      </c>
      <c r="L1263" s="37">
        <f t="shared" si="76"/>
        <v>0.69482436635168932</v>
      </c>
      <c r="M1263" s="2">
        <f t="shared" si="77"/>
        <v>1666448000</v>
      </c>
      <c r="N1263" s="37">
        <f t="shared" si="78"/>
        <v>0.24080574622879761</v>
      </c>
      <c r="O1263" s="2">
        <f t="shared" si="79"/>
        <v>577542000</v>
      </c>
    </row>
    <row r="1264" spans="1:15" x14ac:dyDescent="0.3">
      <c r="A1264" t="s">
        <v>321</v>
      </c>
      <c r="B1264">
        <v>1</v>
      </c>
      <c r="C1264">
        <v>2013</v>
      </c>
      <c r="D1264" s="1">
        <v>41639</v>
      </c>
      <c r="E1264" s="2">
        <v>2265100000</v>
      </c>
      <c r="F1264" s="2">
        <v>670900000</v>
      </c>
      <c r="G1264" s="2">
        <v>574000000</v>
      </c>
      <c r="H1264" s="2">
        <v>167700000</v>
      </c>
      <c r="I1264">
        <v>0</v>
      </c>
      <c r="J1264" t="s">
        <v>21</v>
      </c>
      <c r="K1264" t="s">
        <v>26</v>
      </c>
      <c r="L1264" s="37">
        <f t="shared" si="76"/>
        <v>0.7038099863140701</v>
      </c>
      <c r="M1264" s="2">
        <f t="shared" si="77"/>
        <v>1594200000</v>
      </c>
      <c r="N1264" s="37">
        <f t="shared" si="78"/>
        <v>0.37636307447794798</v>
      </c>
      <c r="O1264" s="2">
        <f t="shared" si="79"/>
        <v>852500000</v>
      </c>
    </row>
    <row r="1265" spans="1:15" x14ac:dyDescent="0.3">
      <c r="A1265" t="s">
        <v>321</v>
      </c>
      <c r="B1265">
        <v>2</v>
      </c>
      <c r="C1265">
        <v>2014</v>
      </c>
      <c r="D1265" s="1">
        <v>42004</v>
      </c>
      <c r="E1265" s="2">
        <v>2131700000</v>
      </c>
      <c r="F1265" s="2">
        <v>717900000</v>
      </c>
      <c r="G1265" s="2">
        <v>691000000</v>
      </c>
      <c r="H1265" s="2">
        <v>178000000</v>
      </c>
      <c r="I1265">
        <v>0</v>
      </c>
      <c r="J1265" t="s">
        <v>21</v>
      </c>
      <c r="K1265" t="s">
        <v>26</v>
      </c>
      <c r="L1265" s="37">
        <f t="shared" si="76"/>
        <v>0.66322653281418587</v>
      </c>
      <c r="M1265" s="2">
        <f t="shared" si="77"/>
        <v>1413800000</v>
      </c>
      <c r="N1265" s="37">
        <f t="shared" si="78"/>
        <v>0.25557067129521038</v>
      </c>
      <c r="O1265" s="2">
        <f t="shared" si="79"/>
        <v>544800000</v>
      </c>
    </row>
    <row r="1266" spans="1:15" x14ac:dyDescent="0.3">
      <c r="A1266" t="s">
        <v>448</v>
      </c>
      <c r="B1266">
        <v>1</v>
      </c>
      <c r="C1266">
        <v>2012</v>
      </c>
      <c r="D1266" s="1">
        <v>41274</v>
      </c>
      <c r="E1266" s="2">
        <v>179290000000</v>
      </c>
      <c r="F1266" s="2">
        <v>158446000000</v>
      </c>
      <c r="G1266" s="2">
        <v>15443000000</v>
      </c>
      <c r="H1266">
        <v>0</v>
      </c>
      <c r="I1266" s="2">
        <v>931000000</v>
      </c>
      <c r="J1266" t="s">
        <v>79</v>
      </c>
      <c r="K1266" t="s">
        <v>337</v>
      </c>
      <c r="L1266" s="37">
        <f t="shared" si="76"/>
        <v>0.1162585754922193</v>
      </c>
      <c r="M1266" s="2">
        <f t="shared" si="77"/>
        <v>20844000000</v>
      </c>
      <c r="N1266" s="37">
        <f t="shared" si="78"/>
        <v>2.4931674940041275E-2</v>
      </c>
      <c r="O1266" s="2">
        <f t="shared" si="79"/>
        <v>4470000000</v>
      </c>
    </row>
    <row r="1267" spans="1:15" x14ac:dyDescent="0.3">
      <c r="A1267" t="s">
        <v>448</v>
      </c>
      <c r="B1267">
        <v>2</v>
      </c>
      <c r="C1267">
        <v>2013</v>
      </c>
      <c r="D1267" s="1">
        <v>41639</v>
      </c>
      <c r="E1267" s="2">
        <v>171596000000</v>
      </c>
      <c r="F1267" s="2">
        <v>152451000000</v>
      </c>
      <c r="G1267" s="2">
        <v>15597000000</v>
      </c>
      <c r="H1267">
        <v>0</v>
      </c>
      <c r="I1267" s="2">
        <v>971000000</v>
      </c>
      <c r="J1267" t="s">
        <v>79</v>
      </c>
      <c r="K1267" t="s">
        <v>337</v>
      </c>
      <c r="L1267" s="37">
        <f t="shared" si="76"/>
        <v>0.11157019977155647</v>
      </c>
      <c r="M1267" s="2">
        <f t="shared" si="77"/>
        <v>19145000000</v>
      </c>
      <c r="N1267" s="37">
        <f t="shared" si="78"/>
        <v>1.5017832583510105E-2</v>
      </c>
      <c r="O1267" s="2">
        <f t="shared" si="79"/>
        <v>2577000000</v>
      </c>
    </row>
    <row r="1268" spans="1:15" x14ac:dyDescent="0.3">
      <c r="A1268" t="s">
        <v>448</v>
      </c>
      <c r="B1268">
        <v>3</v>
      </c>
      <c r="C1268">
        <v>2014</v>
      </c>
      <c r="D1268" s="1">
        <v>42004</v>
      </c>
      <c r="E1268" s="2">
        <v>161212000000</v>
      </c>
      <c r="F1268" s="2">
        <v>140183000000</v>
      </c>
      <c r="G1268" s="2">
        <v>16703000000</v>
      </c>
      <c r="H1268">
        <v>0</v>
      </c>
      <c r="I1268" s="2">
        <v>1019000000</v>
      </c>
      <c r="J1268" t="s">
        <v>79</v>
      </c>
      <c r="K1268" t="s">
        <v>337</v>
      </c>
      <c r="L1268" s="37">
        <f t="shared" si="76"/>
        <v>0.13044314319033323</v>
      </c>
      <c r="M1268" s="2">
        <f t="shared" si="77"/>
        <v>21029000000</v>
      </c>
      <c r="N1268" s="37">
        <f t="shared" si="78"/>
        <v>2.051336128824157E-2</v>
      </c>
      <c r="O1268" s="2">
        <f t="shared" si="79"/>
        <v>3307000000</v>
      </c>
    </row>
    <row r="1269" spans="1:15" x14ac:dyDescent="0.3">
      <c r="A1269" t="s">
        <v>448</v>
      </c>
      <c r="B1269">
        <v>4</v>
      </c>
      <c r="C1269">
        <v>2015</v>
      </c>
      <c r="D1269" s="1">
        <v>42369</v>
      </c>
      <c r="E1269" s="2">
        <v>98975000000</v>
      </c>
      <c r="F1269" s="2">
        <v>77693000000</v>
      </c>
      <c r="G1269" s="2">
        <v>15747000000</v>
      </c>
      <c r="H1269">
        <v>0</v>
      </c>
      <c r="I1269" s="2">
        <v>1099000000</v>
      </c>
      <c r="J1269" t="s">
        <v>79</v>
      </c>
      <c r="K1269" t="s">
        <v>337</v>
      </c>
      <c r="L1269" s="37">
        <f t="shared" si="76"/>
        <v>0.21502399595857535</v>
      </c>
      <c r="M1269" s="2">
        <f t="shared" si="77"/>
        <v>21282000000</v>
      </c>
      <c r="N1269" s="37">
        <f t="shared" si="78"/>
        <v>4.4819398838090427E-2</v>
      </c>
      <c r="O1269" s="2">
        <f t="shared" si="79"/>
        <v>4436000000</v>
      </c>
    </row>
    <row r="1270" spans="1:15" x14ac:dyDescent="0.3">
      <c r="A1270" t="s">
        <v>449</v>
      </c>
      <c r="B1270">
        <v>1</v>
      </c>
      <c r="C1270">
        <v>2013</v>
      </c>
      <c r="D1270" s="1">
        <v>41308</v>
      </c>
      <c r="E1270" s="2">
        <v>6043000000</v>
      </c>
      <c r="F1270" s="2">
        <v>2793800000</v>
      </c>
      <c r="G1270" s="2">
        <v>2594300000</v>
      </c>
      <c r="H1270">
        <v>0</v>
      </c>
      <c r="I1270">
        <v>0</v>
      </c>
      <c r="J1270" t="s">
        <v>15</v>
      </c>
      <c r="K1270" t="s">
        <v>285</v>
      </c>
      <c r="L1270" s="37">
        <f t="shared" si="76"/>
        <v>0.53767996028462683</v>
      </c>
      <c r="M1270" s="2">
        <f t="shared" si="77"/>
        <v>3249200000</v>
      </c>
      <c r="N1270" s="37">
        <f t="shared" si="78"/>
        <v>0.10837332450769485</v>
      </c>
      <c r="O1270" s="2">
        <f t="shared" si="79"/>
        <v>654900000</v>
      </c>
    </row>
    <row r="1271" spans="1:15" x14ac:dyDescent="0.3">
      <c r="A1271" t="s">
        <v>449</v>
      </c>
      <c r="B1271">
        <v>2</v>
      </c>
      <c r="C1271">
        <v>2014</v>
      </c>
      <c r="D1271" s="1">
        <v>41672</v>
      </c>
      <c r="E1271" s="2">
        <v>8186400000</v>
      </c>
      <c r="F1271" s="2">
        <v>3967100000</v>
      </c>
      <c r="G1271" s="2">
        <v>3673500000</v>
      </c>
      <c r="H1271">
        <v>0</v>
      </c>
      <c r="I1271">
        <v>0</v>
      </c>
      <c r="J1271" t="s">
        <v>15</v>
      </c>
      <c r="K1271" t="s">
        <v>285</v>
      </c>
      <c r="L1271" s="37">
        <f t="shared" si="76"/>
        <v>0.51540359620834553</v>
      </c>
      <c r="M1271" s="2">
        <f t="shared" si="77"/>
        <v>4219300000</v>
      </c>
      <c r="N1271" s="37">
        <f t="shared" si="78"/>
        <v>6.6671552819310073E-2</v>
      </c>
      <c r="O1271" s="2">
        <f t="shared" si="79"/>
        <v>545800000</v>
      </c>
    </row>
    <row r="1272" spans="1:15" x14ac:dyDescent="0.3">
      <c r="A1272" t="s">
        <v>449</v>
      </c>
      <c r="B1272">
        <v>3</v>
      </c>
      <c r="C1272">
        <v>2015</v>
      </c>
      <c r="D1272" s="1">
        <v>42036</v>
      </c>
      <c r="E1272" s="2">
        <v>8241200000</v>
      </c>
      <c r="F1272" s="2">
        <v>3914500000</v>
      </c>
      <c r="G1272" s="2">
        <v>3713600000</v>
      </c>
      <c r="H1272">
        <v>0</v>
      </c>
      <c r="I1272">
        <v>0</v>
      </c>
      <c r="J1272" t="s">
        <v>15</v>
      </c>
      <c r="K1272" t="s">
        <v>285</v>
      </c>
      <c r="L1272" s="37">
        <f t="shared" si="76"/>
        <v>0.52500849390865412</v>
      </c>
      <c r="M1272" s="2">
        <f t="shared" si="77"/>
        <v>4326700000</v>
      </c>
      <c r="N1272" s="37">
        <f t="shared" si="78"/>
        <v>7.439450565451633E-2</v>
      </c>
      <c r="O1272" s="2">
        <f t="shared" si="79"/>
        <v>613100000</v>
      </c>
    </row>
    <row r="1273" spans="1:15" x14ac:dyDescent="0.3">
      <c r="A1273" t="s">
        <v>449</v>
      </c>
      <c r="B1273">
        <v>4</v>
      </c>
      <c r="C1273">
        <v>2016</v>
      </c>
      <c r="D1273" s="1">
        <v>42400</v>
      </c>
      <c r="E1273" s="2">
        <v>8020300000</v>
      </c>
      <c r="F1273" s="2">
        <v>3858700000</v>
      </c>
      <c r="G1273" s="2">
        <v>3417700000</v>
      </c>
      <c r="H1273">
        <v>0</v>
      </c>
      <c r="I1273">
        <v>0</v>
      </c>
      <c r="J1273" t="s">
        <v>15</v>
      </c>
      <c r="K1273" t="s">
        <v>285</v>
      </c>
      <c r="L1273" s="37">
        <f t="shared" si="76"/>
        <v>0.51888333354113936</v>
      </c>
      <c r="M1273" s="2">
        <f t="shared" si="77"/>
        <v>4161600000</v>
      </c>
      <c r="N1273" s="37">
        <f t="shared" si="78"/>
        <v>9.2752141441093228E-2</v>
      </c>
      <c r="O1273" s="2">
        <f t="shared" si="79"/>
        <v>743900000</v>
      </c>
    </row>
    <row r="1274" spans="1:15" x14ac:dyDescent="0.3">
      <c r="A1274" t="s">
        <v>450</v>
      </c>
      <c r="B1274">
        <v>1</v>
      </c>
      <c r="C1274">
        <v>2012</v>
      </c>
      <c r="D1274" s="1">
        <v>41274</v>
      </c>
      <c r="E1274" s="2">
        <v>5920269000</v>
      </c>
      <c r="F1274" s="2">
        <v>4982562000</v>
      </c>
      <c r="G1274" s="2">
        <v>434894000</v>
      </c>
      <c r="H1274">
        <v>0</v>
      </c>
      <c r="I1274" s="2">
        <v>37691000</v>
      </c>
      <c r="J1274" t="s">
        <v>12</v>
      </c>
      <c r="K1274" t="s">
        <v>160</v>
      </c>
      <c r="L1274" s="37">
        <f t="shared" si="76"/>
        <v>0.15838925562335093</v>
      </c>
      <c r="M1274" s="2">
        <f t="shared" si="77"/>
        <v>937707000</v>
      </c>
      <c r="N1274" s="37">
        <f t="shared" si="78"/>
        <v>7.8564335505700841E-2</v>
      </c>
      <c r="O1274" s="2">
        <f t="shared" si="79"/>
        <v>465122000</v>
      </c>
    </row>
    <row r="1275" spans="1:15" x14ac:dyDescent="0.3">
      <c r="A1275" t="s">
        <v>450</v>
      </c>
      <c r="B1275">
        <v>2</v>
      </c>
      <c r="C1275">
        <v>2013</v>
      </c>
      <c r="D1275" s="1">
        <v>41639</v>
      </c>
      <c r="E1275" s="2">
        <v>6411577000</v>
      </c>
      <c r="F1275" s="2">
        <v>5424644000</v>
      </c>
      <c r="G1275" s="2">
        <v>485069000</v>
      </c>
      <c r="H1275">
        <v>0</v>
      </c>
      <c r="I1275" s="2">
        <v>25865000</v>
      </c>
      <c r="J1275" t="s">
        <v>12</v>
      </c>
      <c r="K1275" t="s">
        <v>160</v>
      </c>
      <c r="L1275" s="37">
        <f t="shared" si="76"/>
        <v>0.15392983660650106</v>
      </c>
      <c r="M1275" s="2">
        <f t="shared" si="77"/>
        <v>986933000</v>
      </c>
      <c r="N1275" s="37">
        <f t="shared" si="78"/>
        <v>7.4240549555904894E-2</v>
      </c>
      <c r="O1275" s="2">
        <f t="shared" si="79"/>
        <v>475999000</v>
      </c>
    </row>
    <row r="1276" spans="1:15" x14ac:dyDescent="0.3">
      <c r="A1276" t="s">
        <v>450</v>
      </c>
      <c r="B1276">
        <v>3</v>
      </c>
      <c r="C1276">
        <v>2014</v>
      </c>
      <c r="D1276" s="1">
        <v>42004</v>
      </c>
      <c r="E1276" s="2">
        <v>7747229000</v>
      </c>
      <c r="F1276" s="2">
        <v>6578435000</v>
      </c>
      <c r="G1276" s="2">
        <v>705477000</v>
      </c>
      <c r="H1276">
        <v>0</v>
      </c>
      <c r="I1276" s="2">
        <v>34257000</v>
      </c>
      <c r="J1276" t="s">
        <v>12</v>
      </c>
      <c r="K1276" t="s">
        <v>160</v>
      </c>
      <c r="L1276" s="37">
        <f t="shared" si="76"/>
        <v>0.15086607095259474</v>
      </c>
      <c r="M1276" s="2">
        <f t="shared" si="77"/>
        <v>1168794000</v>
      </c>
      <c r="N1276" s="37">
        <f t="shared" si="78"/>
        <v>5.538238252670729E-2</v>
      </c>
      <c r="O1276" s="2">
        <f t="shared" si="79"/>
        <v>429060000</v>
      </c>
    </row>
    <row r="1277" spans="1:15" x14ac:dyDescent="0.3">
      <c r="A1277" t="s">
        <v>450</v>
      </c>
      <c r="B1277">
        <v>4</v>
      </c>
      <c r="C1277">
        <v>2015</v>
      </c>
      <c r="D1277" s="1">
        <v>42369</v>
      </c>
      <c r="E1277" s="2">
        <v>7572436000</v>
      </c>
      <c r="F1277" s="2">
        <v>6648771000</v>
      </c>
      <c r="G1277" s="2">
        <v>592863000</v>
      </c>
      <c r="H1277">
        <v>0</v>
      </c>
      <c r="I1277" s="2">
        <v>34848000</v>
      </c>
      <c r="J1277" t="s">
        <v>12</v>
      </c>
      <c r="K1277" t="s">
        <v>160</v>
      </c>
      <c r="L1277" s="37">
        <f t="shared" si="76"/>
        <v>0.12197726068599324</v>
      </c>
      <c r="M1277" s="2">
        <f t="shared" si="77"/>
        <v>923665000</v>
      </c>
      <c r="N1277" s="37">
        <f t="shared" si="78"/>
        <v>3.9083063891196965E-2</v>
      </c>
      <c r="O1277" s="2">
        <f t="shared" si="79"/>
        <v>295954000</v>
      </c>
    </row>
    <row r="1278" spans="1:15" x14ac:dyDescent="0.3">
      <c r="A1278" t="s">
        <v>451</v>
      </c>
      <c r="B1278">
        <v>1</v>
      </c>
      <c r="C1278">
        <v>2012</v>
      </c>
      <c r="D1278" s="1">
        <v>41274</v>
      </c>
      <c r="E1278" s="2">
        <v>11224000000</v>
      </c>
      <c r="F1278" s="2">
        <v>6396000000</v>
      </c>
      <c r="G1278" s="2">
        <v>1227000000</v>
      </c>
      <c r="H1278" s="2">
        <v>98000000</v>
      </c>
      <c r="I1278" s="2">
        <v>1001000000</v>
      </c>
      <c r="J1278" t="s">
        <v>55</v>
      </c>
      <c r="K1278" t="s">
        <v>83</v>
      </c>
      <c r="L1278" s="37">
        <f t="shared" si="76"/>
        <v>0.43014967925873127</v>
      </c>
      <c r="M1278" s="2">
        <f t="shared" si="77"/>
        <v>4828000000</v>
      </c>
      <c r="N1278" s="37">
        <f t="shared" si="78"/>
        <v>0.22291518175338559</v>
      </c>
      <c r="O1278" s="2">
        <f t="shared" si="79"/>
        <v>2502000000</v>
      </c>
    </row>
    <row r="1279" spans="1:15" x14ac:dyDescent="0.3">
      <c r="A1279" t="s">
        <v>451</v>
      </c>
      <c r="B1279">
        <v>2</v>
      </c>
      <c r="C1279">
        <v>2013</v>
      </c>
      <c r="D1279" s="1">
        <v>41639</v>
      </c>
      <c r="E1279" s="2">
        <v>11925000000</v>
      </c>
      <c r="F1279" s="2">
        <v>6744000000</v>
      </c>
      <c r="G1279" s="2">
        <v>1349000000</v>
      </c>
      <c r="H1279" s="2">
        <v>98000000</v>
      </c>
      <c r="I1279" s="2">
        <v>1109000000</v>
      </c>
      <c r="J1279" t="s">
        <v>55</v>
      </c>
      <c r="K1279" t="s">
        <v>83</v>
      </c>
      <c r="L1279" s="37">
        <f t="shared" si="76"/>
        <v>0.43446540880503148</v>
      </c>
      <c r="M1279" s="2">
        <f t="shared" si="77"/>
        <v>5181000000</v>
      </c>
      <c r="N1279" s="37">
        <f t="shared" si="78"/>
        <v>0.22012578616352202</v>
      </c>
      <c r="O1279" s="2">
        <f t="shared" si="79"/>
        <v>2625000000</v>
      </c>
    </row>
    <row r="1280" spans="1:15" x14ac:dyDescent="0.3">
      <c r="A1280" t="s">
        <v>451</v>
      </c>
      <c r="B1280">
        <v>3</v>
      </c>
      <c r="C1280">
        <v>2014</v>
      </c>
      <c r="D1280" s="1">
        <v>42004</v>
      </c>
      <c r="E1280" s="2">
        <v>12273000000</v>
      </c>
      <c r="F1280" s="2">
        <v>6962000000</v>
      </c>
      <c r="G1280" s="2">
        <v>1437000000</v>
      </c>
      <c r="H1280" s="2">
        <v>96000000</v>
      </c>
      <c r="I1280" s="2">
        <v>1170000000</v>
      </c>
      <c r="J1280" t="s">
        <v>55</v>
      </c>
      <c r="K1280" t="s">
        <v>83</v>
      </c>
      <c r="L1280" s="37">
        <f t="shared" si="76"/>
        <v>0.43273853173633181</v>
      </c>
      <c r="M1280" s="2">
        <f t="shared" si="77"/>
        <v>5311000000</v>
      </c>
      <c r="N1280" s="37">
        <f t="shared" si="78"/>
        <v>0.21249898150411473</v>
      </c>
      <c r="O1280" s="2">
        <f t="shared" si="79"/>
        <v>2608000000</v>
      </c>
    </row>
    <row r="1281" spans="1:15" x14ac:dyDescent="0.3">
      <c r="A1281" t="s">
        <v>451</v>
      </c>
      <c r="B1281">
        <v>4</v>
      </c>
      <c r="C1281">
        <v>2015</v>
      </c>
      <c r="D1281" s="1">
        <v>42369</v>
      </c>
      <c r="E1281" s="2">
        <v>10776000000</v>
      </c>
      <c r="F1281" s="2">
        <v>5960000000</v>
      </c>
      <c r="G1281" s="2">
        <v>1296000000</v>
      </c>
      <c r="H1281" s="2">
        <v>93000000</v>
      </c>
      <c r="I1281" s="2">
        <v>1106000000</v>
      </c>
      <c r="J1281" t="s">
        <v>55</v>
      </c>
      <c r="K1281" t="s">
        <v>83</v>
      </c>
      <c r="L1281" s="37">
        <f t="shared" si="76"/>
        <v>0.44691907943578324</v>
      </c>
      <c r="M1281" s="2">
        <f t="shared" si="77"/>
        <v>4816000000</v>
      </c>
      <c r="N1281" s="37">
        <f t="shared" si="78"/>
        <v>0.21538604305864886</v>
      </c>
      <c r="O1281" s="2">
        <f t="shared" si="79"/>
        <v>2321000000</v>
      </c>
    </row>
    <row r="1282" spans="1:15" x14ac:dyDescent="0.3">
      <c r="A1282" t="s">
        <v>452</v>
      </c>
      <c r="B1282">
        <v>1</v>
      </c>
      <c r="C1282">
        <v>2013</v>
      </c>
      <c r="D1282" s="1">
        <v>41546</v>
      </c>
      <c r="E1282" s="2">
        <v>24866000000</v>
      </c>
      <c r="F1282" s="2">
        <v>9820000000</v>
      </c>
      <c r="G1282" s="2">
        <v>2849000000</v>
      </c>
      <c r="H1282" s="2">
        <v>4967000000</v>
      </c>
      <c r="I1282">
        <v>0</v>
      </c>
      <c r="J1282" t="s">
        <v>18</v>
      </c>
      <c r="K1282" t="s">
        <v>30</v>
      </c>
      <c r="L1282" s="37">
        <f t="shared" ref="L1282:L1345" si="80">1-(F1282/E1282)</f>
        <v>0.60508324619963005</v>
      </c>
      <c r="M1282" s="2">
        <f t="shared" ref="M1282:M1345" si="81">E1282-F1282</f>
        <v>15046000000</v>
      </c>
      <c r="N1282" s="37">
        <f t="shared" ref="N1282:N1345" si="82">O1282/E1282</f>
        <v>0.2907584653744068</v>
      </c>
      <c r="O1282" s="2">
        <f t="shared" ref="O1282:O1345" si="83">M1282-SUM(G1282:I1282)</f>
        <v>7230000000</v>
      </c>
    </row>
    <row r="1283" spans="1:15" x14ac:dyDescent="0.3">
      <c r="A1283" t="s">
        <v>452</v>
      </c>
      <c r="B1283">
        <v>2</v>
      </c>
      <c r="C1283">
        <v>2014</v>
      </c>
      <c r="D1283" s="1">
        <v>41910</v>
      </c>
      <c r="E1283" s="2">
        <v>26487000000</v>
      </c>
      <c r="F1283" s="2">
        <v>10686000000</v>
      </c>
      <c r="G1283" s="2">
        <v>2774000000</v>
      </c>
      <c r="H1283" s="2">
        <v>5477000000</v>
      </c>
      <c r="I1283">
        <v>0</v>
      </c>
      <c r="J1283" t="s">
        <v>18</v>
      </c>
      <c r="K1283" t="s">
        <v>30</v>
      </c>
      <c r="L1283" s="37">
        <f t="shared" si="80"/>
        <v>0.59655680144976775</v>
      </c>
      <c r="M1283" s="2">
        <f t="shared" si="81"/>
        <v>15801000000</v>
      </c>
      <c r="N1283" s="37">
        <f t="shared" si="82"/>
        <v>0.28504549401593232</v>
      </c>
      <c r="O1283" s="2">
        <f t="shared" si="83"/>
        <v>7550000000</v>
      </c>
    </row>
    <row r="1284" spans="1:15" x14ac:dyDescent="0.3">
      <c r="A1284" t="s">
        <v>452</v>
      </c>
      <c r="B1284">
        <v>3</v>
      </c>
      <c r="C1284">
        <v>2015</v>
      </c>
      <c r="D1284" s="1">
        <v>42274</v>
      </c>
      <c r="E1284" s="2">
        <v>25281000000</v>
      </c>
      <c r="F1284" s="2">
        <v>10378000000</v>
      </c>
      <c r="G1284" s="2">
        <v>3637000000</v>
      </c>
      <c r="H1284" s="2">
        <v>5490000000</v>
      </c>
      <c r="I1284">
        <v>0</v>
      </c>
      <c r="J1284" t="s">
        <v>18</v>
      </c>
      <c r="K1284" t="s">
        <v>30</v>
      </c>
      <c r="L1284" s="37">
        <f t="shared" si="80"/>
        <v>0.58949408646809864</v>
      </c>
      <c r="M1284" s="2">
        <f t="shared" si="81"/>
        <v>14903000000</v>
      </c>
      <c r="N1284" s="37">
        <f t="shared" si="82"/>
        <v>0.2284719750009889</v>
      </c>
      <c r="O1284" s="2">
        <f t="shared" si="83"/>
        <v>5776000000</v>
      </c>
    </row>
    <row r="1285" spans="1:15" x14ac:dyDescent="0.3">
      <c r="A1285" t="s">
        <v>452</v>
      </c>
      <c r="B1285">
        <v>4</v>
      </c>
      <c r="C1285">
        <v>2016</v>
      </c>
      <c r="D1285" s="1">
        <v>42638</v>
      </c>
      <c r="E1285" s="2">
        <v>23554000000</v>
      </c>
      <c r="F1285" s="2">
        <v>9749000000</v>
      </c>
      <c r="G1285" s="2">
        <v>2159000000</v>
      </c>
      <c r="H1285" s="2">
        <v>5151000000</v>
      </c>
      <c r="I1285">
        <v>0</v>
      </c>
      <c r="J1285" t="s">
        <v>18</v>
      </c>
      <c r="K1285" t="s">
        <v>30</v>
      </c>
      <c r="L1285" s="37">
        <f t="shared" si="80"/>
        <v>0.58610002547338036</v>
      </c>
      <c r="M1285" s="2">
        <f t="shared" si="81"/>
        <v>13805000000</v>
      </c>
      <c r="N1285" s="37">
        <f t="shared" si="82"/>
        <v>0.27574934193767514</v>
      </c>
      <c r="O1285" s="2">
        <f t="shared" si="83"/>
        <v>6495000000</v>
      </c>
    </row>
    <row r="1286" spans="1:15" x14ac:dyDescent="0.3">
      <c r="A1286" t="s">
        <v>453</v>
      </c>
      <c r="B1286">
        <v>1</v>
      </c>
      <c r="C1286">
        <v>2014</v>
      </c>
      <c r="D1286" s="1">
        <v>41727</v>
      </c>
      <c r="E1286" s="2">
        <v>1148231000</v>
      </c>
      <c r="F1286" s="2">
        <v>743304000</v>
      </c>
      <c r="G1286" s="2">
        <v>180317000</v>
      </c>
      <c r="H1286" s="2">
        <v>197269000</v>
      </c>
      <c r="I1286">
        <v>0</v>
      </c>
      <c r="J1286" t="s">
        <v>18</v>
      </c>
      <c r="K1286" t="s">
        <v>30</v>
      </c>
      <c r="L1286" s="37">
        <f t="shared" si="80"/>
        <v>0.35265290694990814</v>
      </c>
      <c r="M1286" s="2">
        <f t="shared" si="81"/>
        <v>404927000</v>
      </c>
      <c r="N1286" s="37">
        <f t="shared" si="82"/>
        <v>2.3811410770132491E-2</v>
      </c>
      <c r="O1286" s="2">
        <f t="shared" si="83"/>
        <v>27341000</v>
      </c>
    </row>
    <row r="1287" spans="1:15" x14ac:dyDescent="0.3">
      <c r="A1287" t="s">
        <v>453</v>
      </c>
      <c r="B1287">
        <v>2</v>
      </c>
      <c r="C1287">
        <v>2015</v>
      </c>
      <c r="D1287" s="1">
        <v>42091</v>
      </c>
      <c r="E1287" s="2">
        <v>1710966000</v>
      </c>
      <c r="F1287" s="2">
        <v>1021658000</v>
      </c>
      <c r="G1287" s="2">
        <v>309348000</v>
      </c>
      <c r="H1287" s="2">
        <v>257494000</v>
      </c>
      <c r="I1287">
        <v>0</v>
      </c>
      <c r="J1287" t="s">
        <v>18</v>
      </c>
      <c r="K1287" t="s">
        <v>30</v>
      </c>
      <c r="L1287" s="37">
        <f t="shared" si="80"/>
        <v>0.40287650368271488</v>
      </c>
      <c r="M1287" s="2">
        <f t="shared" si="81"/>
        <v>689308000</v>
      </c>
      <c r="N1287" s="37">
        <f t="shared" si="82"/>
        <v>7.1577109071717382E-2</v>
      </c>
      <c r="O1287" s="2">
        <f t="shared" si="83"/>
        <v>122466000</v>
      </c>
    </row>
    <row r="1288" spans="1:15" x14ac:dyDescent="0.3">
      <c r="A1288" t="s">
        <v>453</v>
      </c>
      <c r="B1288">
        <v>3</v>
      </c>
      <c r="C1288">
        <v>2016</v>
      </c>
      <c r="D1288" s="1">
        <v>42462</v>
      </c>
      <c r="E1288" s="2">
        <v>2610726000</v>
      </c>
      <c r="F1288" s="2">
        <v>1561173000</v>
      </c>
      <c r="G1288" s="2">
        <v>588822000</v>
      </c>
      <c r="H1288" s="2">
        <v>448763000</v>
      </c>
      <c r="I1288">
        <v>0</v>
      </c>
      <c r="J1288" t="s">
        <v>18</v>
      </c>
      <c r="K1288" t="s">
        <v>30</v>
      </c>
      <c r="L1288" s="37">
        <f t="shared" si="80"/>
        <v>0.40201576113311011</v>
      </c>
      <c r="M1288" s="2">
        <f t="shared" si="81"/>
        <v>1049553000</v>
      </c>
      <c r="N1288" s="37">
        <f t="shared" si="82"/>
        <v>4.5841654773423179E-3</v>
      </c>
      <c r="O1288" s="2">
        <f t="shared" si="83"/>
        <v>11968000</v>
      </c>
    </row>
    <row r="1289" spans="1:15" x14ac:dyDescent="0.3">
      <c r="A1289" t="s">
        <v>454</v>
      </c>
      <c r="B1289">
        <v>1</v>
      </c>
      <c r="C1289">
        <v>2013</v>
      </c>
      <c r="D1289" s="1">
        <v>41639</v>
      </c>
      <c r="E1289" s="2">
        <v>6419285000</v>
      </c>
      <c r="F1289" s="2">
        <v>5099484000</v>
      </c>
      <c r="G1289" s="2">
        <v>922340000</v>
      </c>
      <c r="H1289">
        <v>0</v>
      </c>
      <c r="I1289">
        <v>0</v>
      </c>
      <c r="J1289" t="s">
        <v>12</v>
      </c>
      <c r="K1289" t="s">
        <v>160</v>
      </c>
      <c r="L1289" s="37">
        <f t="shared" si="80"/>
        <v>0.20559937750076529</v>
      </c>
      <c r="M1289" s="2">
        <f t="shared" si="81"/>
        <v>1319801000</v>
      </c>
      <c r="N1289" s="37">
        <f t="shared" si="82"/>
        <v>6.1916708792334352E-2</v>
      </c>
      <c r="O1289" s="2">
        <f t="shared" si="83"/>
        <v>397461000</v>
      </c>
    </row>
    <row r="1290" spans="1:15" x14ac:dyDescent="0.3">
      <c r="A1290" t="s">
        <v>454</v>
      </c>
      <c r="B1290">
        <v>2</v>
      </c>
      <c r="C1290">
        <v>2014</v>
      </c>
      <c r="D1290" s="1">
        <v>42004</v>
      </c>
      <c r="E1290" s="2">
        <v>6638774000</v>
      </c>
      <c r="F1290" s="2">
        <v>5253040000</v>
      </c>
      <c r="G1290" s="2">
        <v>1030014000</v>
      </c>
      <c r="H1290">
        <v>0</v>
      </c>
      <c r="I1290">
        <v>0</v>
      </c>
      <c r="J1290" t="s">
        <v>12</v>
      </c>
      <c r="K1290" t="s">
        <v>160</v>
      </c>
      <c r="L1290" s="37">
        <f t="shared" si="80"/>
        <v>0.20873341975491255</v>
      </c>
      <c r="M1290" s="2">
        <f t="shared" si="81"/>
        <v>1385734000</v>
      </c>
      <c r="N1290" s="37">
        <f t="shared" si="82"/>
        <v>5.3582182493333859E-2</v>
      </c>
      <c r="O1290" s="2">
        <f t="shared" si="83"/>
        <v>355720000</v>
      </c>
    </row>
    <row r="1291" spans="1:15" x14ac:dyDescent="0.3">
      <c r="A1291" t="s">
        <v>454</v>
      </c>
      <c r="B1291">
        <v>3</v>
      </c>
      <c r="C1291">
        <v>2015</v>
      </c>
      <c r="D1291" s="1">
        <v>42369</v>
      </c>
      <c r="E1291" s="2">
        <v>6571893000</v>
      </c>
      <c r="F1291" s="2">
        <v>5086449000</v>
      </c>
      <c r="G1291" s="2">
        <v>961579000</v>
      </c>
      <c r="H1291">
        <v>0</v>
      </c>
      <c r="I1291">
        <v>0</v>
      </c>
      <c r="J1291" t="s">
        <v>12</v>
      </c>
      <c r="K1291" t="s">
        <v>160</v>
      </c>
      <c r="L1291" s="37">
        <f t="shared" si="80"/>
        <v>0.22602985167287415</v>
      </c>
      <c r="M1291" s="2">
        <f t="shared" si="81"/>
        <v>1485444000</v>
      </c>
      <c r="N1291" s="37">
        <f t="shared" si="82"/>
        <v>7.9712953330189643E-2</v>
      </c>
      <c r="O1291" s="2">
        <f t="shared" si="83"/>
        <v>523865000</v>
      </c>
    </row>
    <row r="1292" spans="1:15" x14ac:dyDescent="0.3">
      <c r="A1292" t="s">
        <v>454</v>
      </c>
      <c r="B1292">
        <v>4</v>
      </c>
      <c r="C1292">
        <v>2016</v>
      </c>
      <c r="D1292" s="1">
        <v>42735</v>
      </c>
      <c r="E1292" s="2">
        <v>6786984000</v>
      </c>
      <c r="F1292" s="2">
        <v>5285568000</v>
      </c>
      <c r="G1292" s="2">
        <v>956158000</v>
      </c>
      <c r="H1292">
        <v>0</v>
      </c>
      <c r="I1292">
        <v>0</v>
      </c>
      <c r="J1292" t="s">
        <v>12</v>
      </c>
      <c r="K1292" t="s">
        <v>160</v>
      </c>
      <c r="L1292" s="37">
        <f t="shared" si="80"/>
        <v>0.22121991152476561</v>
      </c>
      <c r="M1292" s="2">
        <f t="shared" si="81"/>
        <v>1501416000</v>
      </c>
      <c r="N1292" s="37">
        <f t="shared" si="82"/>
        <v>8.0338777872468833E-2</v>
      </c>
      <c r="O1292" s="2">
        <f t="shared" si="83"/>
        <v>545258000</v>
      </c>
    </row>
    <row r="1293" spans="1:15" x14ac:dyDescent="0.3">
      <c r="A1293" t="s">
        <v>455</v>
      </c>
      <c r="B1293">
        <v>1</v>
      </c>
      <c r="C1293">
        <v>2012</v>
      </c>
      <c r="D1293" s="1">
        <v>41274</v>
      </c>
      <c r="E1293" s="2">
        <v>7688024000</v>
      </c>
      <c r="F1293" s="2">
        <v>5157434000</v>
      </c>
      <c r="G1293" s="2">
        <v>1011543000</v>
      </c>
      <c r="H1293">
        <v>0</v>
      </c>
      <c r="I1293" s="2">
        <v>730493000</v>
      </c>
      <c r="J1293" t="s">
        <v>15</v>
      </c>
      <c r="K1293" t="s">
        <v>129</v>
      </c>
      <c r="L1293" s="37">
        <f t="shared" si="80"/>
        <v>0.32916000262226031</v>
      </c>
      <c r="M1293" s="2">
        <f t="shared" si="81"/>
        <v>2530590000</v>
      </c>
      <c r="N1293" s="37">
        <f t="shared" si="82"/>
        <v>0.10256913870196034</v>
      </c>
      <c r="O1293" s="2">
        <f t="shared" si="83"/>
        <v>788554000</v>
      </c>
    </row>
    <row r="1294" spans="1:15" x14ac:dyDescent="0.3">
      <c r="A1294" t="s">
        <v>455</v>
      </c>
      <c r="B1294">
        <v>2</v>
      </c>
      <c r="C1294">
        <v>2013</v>
      </c>
      <c r="D1294" s="1">
        <v>41639</v>
      </c>
      <c r="E1294" s="2">
        <v>7959894000</v>
      </c>
      <c r="F1294" s="2">
        <v>5305270000</v>
      </c>
      <c r="G1294" s="2">
        <v>1044819000</v>
      </c>
      <c r="H1294">
        <v>0</v>
      </c>
      <c r="I1294" s="2">
        <v>754711000</v>
      </c>
      <c r="J1294" t="s">
        <v>15</v>
      </c>
      <c r="K1294" t="s">
        <v>129</v>
      </c>
      <c r="L1294" s="37">
        <f t="shared" si="80"/>
        <v>0.33349991846625093</v>
      </c>
      <c r="M1294" s="2">
        <f t="shared" si="81"/>
        <v>2654624000</v>
      </c>
      <c r="N1294" s="37">
        <f t="shared" si="82"/>
        <v>0.1074252998846467</v>
      </c>
      <c r="O1294" s="2">
        <f t="shared" si="83"/>
        <v>855094000</v>
      </c>
    </row>
    <row r="1295" spans="1:15" x14ac:dyDescent="0.3">
      <c r="A1295" t="s">
        <v>455</v>
      </c>
      <c r="B1295">
        <v>3</v>
      </c>
      <c r="C1295">
        <v>2014</v>
      </c>
      <c r="D1295" s="1">
        <v>42004</v>
      </c>
      <c r="E1295" s="2">
        <v>8073855000</v>
      </c>
      <c r="F1295" s="2">
        <v>5306281000</v>
      </c>
      <c r="G1295" s="2">
        <v>1048952000</v>
      </c>
      <c r="H1295">
        <v>0</v>
      </c>
      <c r="I1295" s="2">
        <v>772445000</v>
      </c>
      <c r="J1295" t="s">
        <v>15</v>
      </c>
      <c r="K1295" t="s">
        <v>129</v>
      </c>
      <c r="L1295" s="37">
        <f t="shared" si="80"/>
        <v>0.34278222732511299</v>
      </c>
      <c r="M1295" s="2">
        <f t="shared" si="81"/>
        <v>2767574000</v>
      </c>
      <c r="N1295" s="37">
        <f t="shared" si="82"/>
        <v>0.11719023935901747</v>
      </c>
      <c r="O1295" s="2">
        <f t="shared" si="83"/>
        <v>946177000</v>
      </c>
    </row>
    <row r="1296" spans="1:15" x14ac:dyDescent="0.3">
      <c r="A1296" t="s">
        <v>455</v>
      </c>
      <c r="B1296">
        <v>4</v>
      </c>
      <c r="C1296">
        <v>2015</v>
      </c>
      <c r="D1296" s="1">
        <v>42369</v>
      </c>
      <c r="E1296" s="2">
        <v>8299074000</v>
      </c>
      <c r="F1296" s="2">
        <v>5099393000</v>
      </c>
      <c r="G1296" s="2">
        <v>1086504000</v>
      </c>
      <c r="H1296">
        <v>0</v>
      </c>
      <c r="I1296" s="2">
        <v>827008000</v>
      </c>
      <c r="J1296" t="s">
        <v>15</v>
      </c>
      <c r="K1296" t="s">
        <v>129</v>
      </c>
      <c r="L1296" s="37">
        <f t="shared" si="80"/>
        <v>0.38554674895054553</v>
      </c>
      <c r="M1296" s="2">
        <f t="shared" si="81"/>
        <v>3199681000</v>
      </c>
      <c r="N1296" s="37">
        <f t="shared" si="82"/>
        <v>0.15497741073281188</v>
      </c>
      <c r="O1296" s="2">
        <f t="shared" si="83"/>
        <v>1286169000</v>
      </c>
    </row>
    <row r="1297" spans="1:15" x14ac:dyDescent="0.3">
      <c r="A1297" t="s">
        <v>321</v>
      </c>
      <c r="B1297">
        <v>3</v>
      </c>
      <c r="C1297">
        <v>2015</v>
      </c>
      <c r="D1297" s="1">
        <v>42369</v>
      </c>
      <c r="E1297" s="2">
        <v>2384400000</v>
      </c>
      <c r="F1297" s="2">
        <v>806500000</v>
      </c>
      <c r="G1297" s="2">
        <v>640500000</v>
      </c>
      <c r="H1297" s="2">
        <v>197400000</v>
      </c>
      <c r="I1297">
        <v>0</v>
      </c>
      <c r="J1297" t="s">
        <v>21</v>
      </c>
      <c r="K1297" t="s">
        <v>26</v>
      </c>
      <c r="L1297" s="37">
        <f t="shared" si="80"/>
        <v>0.66175977185036072</v>
      </c>
      <c r="M1297" s="2">
        <f t="shared" si="81"/>
        <v>1577900000</v>
      </c>
      <c r="N1297" s="37">
        <f t="shared" si="82"/>
        <v>0.31035061231337024</v>
      </c>
      <c r="O1297" s="2">
        <f t="shared" si="83"/>
        <v>740000000</v>
      </c>
    </row>
    <row r="1298" spans="1:15" x14ac:dyDescent="0.3">
      <c r="A1298" t="s">
        <v>321</v>
      </c>
      <c r="B1298">
        <v>4</v>
      </c>
      <c r="C1298">
        <v>2016</v>
      </c>
      <c r="D1298" s="1">
        <v>42735</v>
      </c>
      <c r="E1298" s="2">
        <v>2704400000</v>
      </c>
      <c r="F1298" s="2">
        <v>814300000</v>
      </c>
      <c r="G1298" s="2">
        <v>705300000</v>
      </c>
      <c r="H1298" s="2">
        <v>239600000</v>
      </c>
      <c r="I1298">
        <v>0</v>
      </c>
      <c r="J1298" t="s">
        <v>21</v>
      </c>
      <c r="K1298" t="s">
        <v>26</v>
      </c>
      <c r="L1298" s="37">
        <f t="shared" si="80"/>
        <v>0.69889809199822506</v>
      </c>
      <c r="M1298" s="2">
        <f t="shared" si="81"/>
        <v>1890100000</v>
      </c>
      <c r="N1298" s="37">
        <f t="shared" si="82"/>
        <v>0.34950451116698711</v>
      </c>
      <c r="O1298" s="2">
        <f t="shared" si="83"/>
        <v>945200000</v>
      </c>
    </row>
    <row r="1299" spans="1:15" x14ac:dyDescent="0.3">
      <c r="A1299" t="s">
        <v>348</v>
      </c>
      <c r="B1299">
        <v>1</v>
      </c>
      <c r="C1299">
        <v>2012</v>
      </c>
      <c r="D1299" s="1">
        <v>41274</v>
      </c>
      <c r="E1299" s="2">
        <v>5671400000</v>
      </c>
      <c r="F1299" s="2">
        <v>3421700000</v>
      </c>
      <c r="G1299" s="2">
        <v>1114600000</v>
      </c>
      <c r="H1299">
        <v>0</v>
      </c>
      <c r="I1299" s="2">
        <v>86300000</v>
      </c>
      <c r="J1299" t="s">
        <v>21</v>
      </c>
      <c r="K1299" t="s">
        <v>195</v>
      </c>
      <c r="L1299" s="37">
        <f t="shared" si="80"/>
        <v>0.39667454244101985</v>
      </c>
      <c r="M1299" s="2">
        <f t="shared" si="81"/>
        <v>2249700000</v>
      </c>
      <c r="N1299" s="37">
        <f t="shared" si="82"/>
        <v>0.18492788376767641</v>
      </c>
      <c r="O1299" s="2">
        <f t="shared" si="83"/>
        <v>1048800000</v>
      </c>
    </row>
    <row r="1300" spans="1:15" x14ac:dyDescent="0.3">
      <c r="A1300" t="s">
        <v>348</v>
      </c>
      <c r="B1300">
        <v>2</v>
      </c>
      <c r="C1300">
        <v>2013</v>
      </c>
      <c r="D1300" s="1">
        <v>41639</v>
      </c>
      <c r="E1300" s="2">
        <v>5808300000</v>
      </c>
      <c r="F1300" s="2">
        <v>3585100000</v>
      </c>
      <c r="G1300" s="2">
        <v>1128800000</v>
      </c>
      <c r="H1300">
        <v>0</v>
      </c>
      <c r="I1300" s="2">
        <v>81700000</v>
      </c>
      <c r="J1300" t="s">
        <v>21</v>
      </c>
      <c r="K1300" t="s">
        <v>195</v>
      </c>
      <c r="L1300" s="37">
        <f t="shared" si="80"/>
        <v>0.3827625983506362</v>
      </c>
      <c r="M1300" s="2">
        <f t="shared" si="81"/>
        <v>2223200000</v>
      </c>
      <c r="N1300" s="37">
        <f t="shared" si="82"/>
        <v>0.17435394177298005</v>
      </c>
      <c r="O1300" s="2">
        <f t="shared" si="83"/>
        <v>1012700000</v>
      </c>
    </row>
    <row r="1301" spans="1:15" x14ac:dyDescent="0.3">
      <c r="A1301" t="s">
        <v>457</v>
      </c>
      <c r="B1301">
        <v>1</v>
      </c>
      <c r="C1301">
        <v>2013</v>
      </c>
      <c r="D1301" s="1">
        <v>41639</v>
      </c>
      <c r="E1301" s="2">
        <v>4245895000</v>
      </c>
      <c r="F1301" s="2">
        <v>2522803000</v>
      </c>
      <c r="G1301" s="2">
        <v>1324815000</v>
      </c>
      <c r="H1301">
        <v>0</v>
      </c>
      <c r="I1301" s="2">
        <v>1700000</v>
      </c>
      <c r="J1301" t="s">
        <v>12</v>
      </c>
      <c r="K1301" t="s">
        <v>458</v>
      </c>
      <c r="L1301" s="37">
        <f t="shared" si="80"/>
        <v>0.40582539134858497</v>
      </c>
      <c r="M1301" s="2">
        <f t="shared" si="81"/>
        <v>1723092000</v>
      </c>
      <c r="N1301" s="37">
        <f t="shared" si="82"/>
        <v>9.3402451073330825E-2</v>
      </c>
      <c r="O1301" s="2">
        <f t="shared" si="83"/>
        <v>396577000</v>
      </c>
    </row>
    <row r="1302" spans="1:15" x14ac:dyDescent="0.3">
      <c r="A1302" t="s">
        <v>457</v>
      </c>
      <c r="B1302">
        <v>2</v>
      </c>
      <c r="C1302">
        <v>2014</v>
      </c>
      <c r="D1302" s="1">
        <v>42004</v>
      </c>
      <c r="E1302" s="2">
        <v>4695014000</v>
      </c>
      <c r="F1302" s="2">
        <v>2772098000</v>
      </c>
      <c r="G1302" s="2">
        <v>1425734000</v>
      </c>
      <c r="H1302">
        <v>0</v>
      </c>
      <c r="I1302" s="2">
        <v>557000</v>
      </c>
      <c r="J1302" t="s">
        <v>12</v>
      </c>
      <c r="K1302" t="s">
        <v>458</v>
      </c>
      <c r="L1302" s="37">
        <f t="shared" si="80"/>
        <v>0.40956555188120847</v>
      </c>
      <c r="M1302" s="2">
        <f t="shared" si="81"/>
        <v>1922916000</v>
      </c>
      <c r="N1302" s="37">
        <f t="shared" si="82"/>
        <v>0.10577710737390772</v>
      </c>
      <c r="O1302" s="2">
        <f t="shared" si="83"/>
        <v>496625000</v>
      </c>
    </row>
    <row r="1303" spans="1:15" x14ac:dyDescent="0.3">
      <c r="A1303" t="s">
        <v>457</v>
      </c>
      <c r="B1303">
        <v>3</v>
      </c>
      <c r="C1303">
        <v>2015</v>
      </c>
      <c r="D1303" s="1">
        <v>42369</v>
      </c>
      <c r="E1303" s="2">
        <v>5094933000</v>
      </c>
      <c r="F1303" s="2">
        <v>2980462000</v>
      </c>
      <c r="G1303" s="2">
        <v>1533799000</v>
      </c>
      <c r="H1303">
        <v>0</v>
      </c>
      <c r="I1303" s="2">
        <v>192000</v>
      </c>
      <c r="J1303" t="s">
        <v>12</v>
      </c>
      <c r="K1303" t="s">
        <v>458</v>
      </c>
      <c r="L1303" s="37">
        <f t="shared" si="80"/>
        <v>0.41501448596085566</v>
      </c>
      <c r="M1303" s="2">
        <f t="shared" si="81"/>
        <v>2114471000</v>
      </c>
      <c r="N1303" s="37">
        <f t="shared" si="82"/>
        <v>0.11393280343431406</v>
      </c>
      <c r="O1303" s="2">
        <f t="shared" si="83"/>
        <v>580480000</v>
      </c>
    </row>
    <row r="1304" spans="1:15" x14ac:dyDescent="0.3">
      <c r="A1304" t="s">
        <v>457</v>
      </c>
      <c r="B1304">
        <v>4</v>
      </c>
      <c r="C1304">
        <v>2016</v>
      </c>
      <c r="D1304" s="1">
        <v>42735</v>
      </c>
      <c r="E1304" s="2">
        <v>5250399000</v>
      </c>
      <c r="F1304" s="2">
        <v>3089723000</v>
      </c>
      <c r="G1304" s="2">
        <v>1606217000</v>
      </c>
      <c r="H1304">
        <v>0</v>
      </c>
      <c r="I1304" s="2">
        <v>1237000</v>
      </c>
      <c r="J1304" t="s">
        <v>12</v>
      </c>
      <c r="K1304" t="s">
        <v>458</v>
      </c>
      <c r="L1304" s="37">
        <f t="shared" si="80"/>
        <v>0.41152605735297454</v>
      </c>
      <c r="M1304" s="2">
        <f t="shared" si="81"/>
        <v>2160676000</v>
      </c>
      <c r="N1304" s="37">
        <f t="shared" si="82"/>
        <v>0.10536761110917475</v>
      </c>
      <c r="O1304" s="2">
        <f t="shared" si="83"/>
        <v>553222000</v>
      </c>
    </row>
    <row r="1305" spans="1:15" x14ac:dyDescent="0.3">
      <c r="A1305" t="s">
        <v>459</v>
      </c>
      <c r="B1305">
        <v>1</v>
      </c>
      <c r="C1305">
        <v>2013</v>
      </c>
      <c r="D1305" s="1">
        <v>41333</v>
      </c>
      <c r="E1305" s="2">
        <v>1328817000</v>
      </c>
      <c r="F1305" s="2">
        <v>200600000</v>
      </c>
      <c r="G1305" s="2">
        <v>660887000</v>
      </c>
      <c r="H1305" s="2">
        <v>263150000</v>
      </c>
      <c r="I1305">
        <v>0</v>
      </c>
      <c r="J1305" t="s">
        <v>18</v>
      </c>
      <c r="K1305" t="s">
        <v>396</v>
      </c>
      <c r="L1305" s="37">
        <f t="shared" si="80"/>
        <v>0.84903865618817342</v>
      </c>
      <c r="M1305" s="2">
        <f t="shared" si="81"/>
        <v>1128217000</v>
      </c>
      <c r="N1305" s="37">
        <f t="shared" si="82"/>
        <v>0.1536554694890267</v>
      </c>
      <c r="O1305" s="2">
        <f t="shared" si="83"/>
        <v>204180000</v>
      </c>
    </row>
    <row r="1306" spans="1:15" x14ac:dyDescent="0.3">
      <c r="A1306" t="s">
        <v>459</v>
      </c>
      <c r="B1306">
        <v>2</v>
      </c>
      <c r="C1306">
        <v>2014</v>
      </c>
      <c r="D1306" s="1">
        <v>41698</v>
      </c>
      <c r="E1306" s="2">
        <v>1534615000</v>
      </c>
      <c r="F1306" s="2">
        <v>232600000</v>
      </c>
      <c r="G1306" s="2">
        <v>750292000</v>
      </c>
      <c r="H1306" s="2">
        <v>317263000</v>
      </c>
      <c r="I1306">
        <v>0</v>
      </c>
      <c r="J1306" t="s">
        <v>18</v>
      </c>
      <c r="K1306" t="s">
        <v>396</v>
      </c>
      <c r="L1306" s="37">
        <f t="shared" si="80"/>
        <v>0.84843103970702749</v>
      </c>
      <c r="M1306" s="2">
        <f t="shared" si="81"/>
        <v>1302015000</v>
      </c>
      <c r="N1306" s="37">
        <f t="shared" si="82"/>
        <v>0.15278099067192749</v>
      </c>
      <c r="O1306" s="2">
        <f t="shared" si="83"/>
        <v>234460000</v>
      </c>
    </row>
    <row r="1307" spans="1:15" x14ac:dyDescent="0.3">
      <c r="A1307" t="s">
        <v>459</v>
      </c>
      <c r="B1307">
        <v>3</v>
      </c>
      <c r="C1307">
        <v>2015</v>
      </c>
      <c r="D1307" s="1">
        <v>42063</v>
      </c>
      <c r="E1307" s="2">
        <v>1789489000</v>
      </c>
      <c r="F1307" s="2">
        <v>273199000</v>
      </c>
      <c r="G1307" s="2">
        <v>898440000</v>
      </c>
      <c r="H1307" s="2">
        <v>367856000</v>
      </c>
      <c r="I1307">
        <v>0</v>
      </c>
      <c r="J1307" t="s">
        <v>18</v>
      </c>
      <c r="K1307" t="s">
        <v>396</v>
      </c>
      <c r="L1307" s="37">
        <f t="shared" si="80"/>
        <v>0.84733127725289181</v>
      </c>
      <c r="M1307" s="2">
        <f t="shared" si="81"/>
        <v>1516290000</v>
      </c>
      <c r="N1307" s="37">
        <f t="shared" si="82"/>
        <v>0.13970133373270247</v>
      </c>
      <c r="O1307" s="2">
        <f t="shared" si="83"/>
        <v>249994000</v>
      </c>
    </row>
    <row r="1308" spans="1:15" x14ac:dyDescent="0.3">
      <c r="A1308" t="s">
        <v>459</v>
      </c>
      <c r="B1308">
        <v>4</v>
      </c>
      <c r="C1308">
        <v>2016</v>
      </c>
      <c r="D1308" s="1">
        <v>42429</v>
      </c>
      <c r="E1308" s="2">
        <v>2052230000</v>
      </c>
      <c r="F1308" s="2">
        <v>309629000</v>
      </c>
      <c r="G1308" s="2">
        <v>1041231000</v>
      </c>
      <c r="H1308" s="2">
        <v>413322000</v>
      </c>
      <c r="I1308">
        <v>0</v>
      </c>
      <c r="J1308" t="s">
        <v>18</v>
      </c>
      <c r="K1308" t="s">
        <v>396</v>
      </c>
      <c r="L1308" s="37">
        <f t="shared" si="80"/>
        <v>0.84912558533887528</v>
      </c>
      <c r="M1308" s="2">
        <f t="shared" si="81"/>
        <v>1742601000</v>
      </c>
      <c r="N1308" s="37">
        <f t="shared" si="82"/>
        <v>0.14035853681117613</v>
      </c>
      <c r="O1308" s="2">
        <f t="shared" si="83"/>
        <v>288048000</v>
      </c>
    </row>
    <row r="1309" spans="1:15" x14ac:dyDescent="0.3">
      <c r="A1309" t="s">
        <v>460</v>
      </c>
      <c r="B1309">
        <v>1</v>
      </c>
      <c r="C1309">
        <v>2013</v>
      </c>
      <c r="D1309" s="1">
        <v>41363</v>
      </c>
      <c r="E1309" s="2">
        <v>6945000000</v>
      </c>
      <c r="F1309" s="2">
        <v>2789000000</v>
      </c>
      <c r="G1309" s="2">
        <v>2971000000</v>
      </c>
      <c r="H1309">
        <v>0</v>
      </c>
      <c r="I1309" s="2">
        <v>27000000</v>
      </c>
      <c r="J1309" t="s">
        <v>15</v>
      </c>
      <c r="K1309" t="s">
        <v>285</v>
      </c>
      <c r="L1309" s="37">
        <f t="shared" si="80"/>
        <v>0.59841612670986322</v>
      </c>
      <c r="M1309" s="2">
        <f t="shared" si="81"/>
        <v>4156000000</v>
      </c>
      <c r="N1309" s="37">
        <f t="shared" si="82"/>
        <v>0.16673866090712744</v>
      </c>
      <c r="O1309" s="2">
        <f t="shared" si="83"/>
        <v>1158000000</v>
      </c>
    </row>
    <row r="1310" spans="1:15" x14ac:dyDescent="0.3">
      <c r="A1310" t="s">
        <v>460</v>
      </c>
      <c r="B1310">
        <v>2</v>
      </c>
      <c r="C1310">
        <v>2014</v>
      </c>
      <c r="D1310" s="1">
        <v>41727</v>
      </c>
      <c r="E1310" s="2">
        <v>7450000000</v>
      </c>
      <c r="F1310" s="2">
        <v>3140000000</v>
      </c>
      <c r="G1310" s="2">
        <v>3142000000</v>
      </c>
      <c r="H1310">
        <v>0</v>
      </c>
      <c r="I1310" s="2">
        <v>35000000</v>
      </c>
      <c r="J1310" t="s">
        <v>15</v>
      </c>
      <c r="K1310" t="s">
        <v>285</v>
      </c>
      <c r="L1310" s="37">
        <f t="shared" si="80"/>
        <v>0.57852348993288594</v>
      </c>
      <c r="M1310" s="2">
        <f t="shared" si="81"/>
        <v>4310000000</v>
      </c>
      <c r="N1310" s="37">
        <f t="shared" si="82"/>
        <v>0.15208053691275167</v>
      </c>
      <c r="O1310" s="2">
        <f t="shared" si="83"/>
        <v>1133000000</v>
      </c>
    </row>
    <row r="1311" spans="1:15" x14ac:dyDescent="0.3">
      <c r="A1311" t="s">
        <v>460</v>
      </c>
      <c r="B1311">
        <v>3</v>
      </c>
      <c r="C1311">
        <v>2015</v>
      </c>
      <c r="D1311" s="1">
        <v>42091</v>
      </c>
      <c r="E1311" s="2">
        <v>7620000000</v>
      </c>
      <c r="F1311" s="2">
        <v>3242000000</v>
      </c>
      <c r="G1311" s="2">
        <v>3301000000</v>
      </c>
      <c r="H1311">
        <v>0</v>
      </c>
      <c r="I1311" s="2">
        <v>25000000</v>
      </c>
      <c r="J1311" t="s">
        <v>15</v>
      </c>
      <c r="K1311" t="s">
        <v>285</v>
      </c>
      <c r="L1311" s="37">
        <f t="shared" si="80"/>
        <v>0.57454068241469813</v>
      </c>
      <c r="M1311" s="2">
        <f t="shared" si="81"/>
        <v>4378000000</v>
      </c>
      <c r="N1311" s="37">
        <f t="shared" si="82"/>
        <v>0.13805774278215224</v>
      </c>
      <c r="O1311" s="2">
        <f t="shared" si="83"/>
        <v>1052000000</v>
      </c>
    </row>
    <row r="1312" spans="1:15" x14ac:dyDescent="0.3">
      <c r="A1312" t="s">
        <v>460</v>
      </c>
      <c r="B1312">
        <v>4</v>
      </c>
      <c r="C1312">
        <v>2016</v>
      </c>
      <c r="D1312" s="1">
        <v>42462</v>
      </c>
      <c r="E1312" s="2">
        <v>7405000000</v>
      </c>
      <c r="F1312" s="2">
        <v>3218000000</v>
      </c>
      <c r="G1312" s="2">
        <v>3389000000</v>
      </c>
      <c r="H1312">
        <v>0</v>
      </c>
      <c r="I1312" s="2">
        <v>24000000</v>
      </c>
      <c r="J1312" t="s">
        <v>15</v>
      </c>
      <c r="K1312" t="s">
        <v>285</v>
      </c>
      <c r="L1312" s="37">
        <f t="shared" si="80"/>
        <v>0.56542876434841327</v>
      </c>
      <c r="M1312" s="2">
        <f t="shared" si="81"/>
        <v>4187000000</v>
      </c>
      <c r="N1312" s="37">
        <f t="shared" si="82"/>
        <v>0.10452397029034437</v>
      </c>
      <c r="O1312" s="2">
        <f t="shared" si="83"/>
        <v>774000000</v>
      </c>
    </row>
    <row r="1313" spans="1:15" x14ac:dyDescent="0.3">
      <c r="A1313" t="s">
        <v>461</v>
      </c>
      <c r="B1313">
        <v>1</v>
      </c>
      <c r="C1313">
        <v>2013</v>
      </c>
      <c r="D1313" s="1">
        <v>41547</v>
      </c>
      <c r="E1313" s="2">
        <v>6351900000</v>
      </c>
      <c r="F1313" s="2">
        <v>3778100000</v>
      </c>
      <c r="G1313" s="2">
        <v>1537700000</v>
      </c>
      <c r="H1313">
        <v>0</v>
      </c>
      <c r="I1313">
        <v>0</v>
      </c>
      <c r="J1313" t="s">
        <v>12</v>
      </c>
      <c r="K1313" t="s">
        <v>160</v>
      </c>
      <c r="L1313" s="37">
        <f t="shared" si="80"/>
        <v>0.40520159322407467</v>
      </c>
      <c r="M1313" s="2">
        <f t="shared" si="81"/>
        <v>2573800000</v>
      </c>
      <c r="N1313" s="37">
        <f t="shared" si="82"/>
        <v>0.16311654780459389</v>
      </c>
      <c r="O1313" s="2">
        <f t="shared" si="83"/>
        <v>1036100000</v>
      </c>
    </row>
    <row r="1314" spans="1:15" x14ac:dyDescent="0.3">
      <c r="A1314" t="s">
        <v>461</v>
      </c>
      <c r="B1314">
        <v>2</v>
      </c>
      <c r="C1314">
        <v>2014</v>
      </c>
      <c r="D1314" s="1">
        <v>41912</v>
      </c>
      <c r="E1314" s="2">
        <v>6623500000</v>
      </c>
      <c r="F1314" s="2">
        <v>3869600000</v>
      </c>
      <c r="G1314" s="2">
        <v>1570100000</v>
      </c>
      <c r="H1314">
        <v>0</v>
      </c>
      <c r="I1314">
        <v>0</v>
      </c>
      <c r="J1314" t="s">
        <v>12</v>
      </c>
      <c r="K1314" t="s">
        <v>160</v>
      </c>
      <c r="L1314" s="37">
        <f t="shared" si="80"/>
        <v>0.41577715709217178</v>
      </c>
      <c r="M1314" s="2">
        <f t="shared" si="81"/>
        <v>2753900000</v>
      </c>
      <c r="N1314" s="37">
        <f t="shared" si="82"/>
        <v>0.1787272590020382</v>
      </c>
      <c r="O1314" s="2">
        <f t="shared" si="83"/>
        <v>1183800000</v>
      </c>
    </row>
    <row r="1315" spans="1:15" x14ac:dyDescent="0.3">
      <c r="A1315" t="s">
        <v>461</v>
      </c>
      <c r="B1315">
        <v>3</v>
      </c>
      <c r="C1315">
        <v>2015</v>
      </c>
      <c r="D1315" s="1">
        <v>42277</v>
      </c>
      <c r="E1315" s="2">
        <v>6307900000</v>
      </c>
      <c r="F1315" s="2">
        <v>3604800000</v>
      </c>
      <c r="G1315" s="2">
        <v>1506400000</v>
      </c>
      <c r="H1315">
        <v>0</v>
      </c>
      <c r="I1315">
        <v>0</v>
      </c>
      <c r="J1315" t="s">
        <v>12</v>
      </c>
      <c r="K1315" t="s">
        <v>160</v>
      </c>
      <c r="L1315" s="37">
        <f t="shared" si="80"/>
        <v>0.42852613389559124</v>
      </c>
      <c r="M1315" s="2">
        <f t="shared" si="81"/>
        <v>2703100000</v>
      </c>
      <c r="N1315" s="37">
        <f t="shared" si="82"/>
        <v>0.18971448501085938</v>
      </c>
      <c r="O1315" s="2">
        <f t="shared" si="83"/>
        <v>1196700000</v>
      </c>
    </row>
    <row r="1316" spans="1:15" x14ac:dyDescent="0.3">
      <c r="A1316" t="s">
        <v>461</v>
      </c>
      <c r="B1316">
        <v>4</v>
      </c>
      <c r="C1316">
        <v>2016</v>
      </c>
      <c r="D1316" s="1">
        <v>42643</v>
      </c>
      <c r="E1316" s="2">
        <v>5879500000</v>
      </c>
      <c r="F1316" s="2">
        <v>3404000000</v>
      </c>
      <c r="G1316" s="2">
        <v>1467400000</v>
      </c>
      <c r="H1316">
        <v>0</v>
      </c>
      <c r="I1316">
        <v>0</v>
      </c>
      <c r="J1316" t="s">
        <v>12</v>
      </c>
      <c r="K1316" t="s">
        <v>160</v>
      </c>
      <c r="L1316" s="37">
        <f t="shared" si="80"/>
        <v>0.42103920401394679</v>
      </c>
      <c r="M1316" s="2">
        <f t="shared" si="81"/>
        <v>2475500000</v>
      </c>
      <c r="N1316" s="37">
        <f t="shared" si="82"/>
        <v>0.1714601581767157</v>
      </c>
      <c r="O1316" s="2">
        <f t="shared" si="83"/>
        <v>1008100000</v>
      </c>
    </row>
    <row r="1317" spans="1:15" x14ac:dyDescent="0.3">
      <c r="A1317" t="s">
        <v>462</v>
      </c>
      <c r="B1317">
        <v>1</v>
      </c>
      <c r="C1317">
        <v>2012</v>
      </c>
      <c r="D1317" s="1">
        <v>41274</v>
      </c>
      <c r="E1317" s="2">
        <v>2993489000</v>
      </c>
      <c r="F1317" s="2">
        <v>1321772000</v>
      </c>
      <c r="G1317" s="2">
        <v>914130000</v>
      </c>
      <c r="H1317">
        <v>0</v>
      </c>
      <c r="I1317">
        <v>0</v>
      </c>
      <c r="J1317" t="s">
        <v>12</v>
      </c>
      <c r="K1317" t="s">
        <v>160</v>
      </c>
      <c r="L1317" s="37">
        <f t="shared" si="80"/>
        <v>0.55845102487431886</v>
      </c>
      <c r="M1317" s="2">
        <f t="shared" si="81"/>
        <v>1671717000</v>
      </c>
      <c r="N1317" s="37">
        <f t="shared" si="82"/>
        <v>0.25307826419271962</v>
      </c>
      <c r="O1317" s="2">
        <f t="shared" si="83"/>
        <v>757587000</v>
      </c>
    </row>
    <row r="1318" spans="1:15" x14ac:dyDescent="0.3">
      <c r="A1318" t="s">
        <v>462</v>
      </c>
      <c r="B1318">
        <v>2</v>
      </c>
      <c r="C1318">
        <v>2013</v>
      </c>
      <c r="D1318" s="1">
        <v>41639</v>
      </c>
      <c r="E1318" s="2">
        <v>3238128000</v>
      </c>
      <c r="F1318" s="2">
        <v>1355200000</v>
      </c>
      <c r="G1318" s="2">
        <v>1040567000</v>
      </c>
      <c r="H1318">
        <v>0</v>
      </c>
      <c r="I1318">
        <v>0</v>
      </c>
      <c r="J1318" t="s">
        <v>12</v>
      </c>
      <c r="K1318" t="s">
        <v>160</v>
      </c>
      <c r="L1318" s="37">
        <f t="shared" si="80"/>
        <v>0.58148658731217551</v>
      </c>
      <c r="M1318" s="2">
        <f t="shared" si="81"/>
        <v>1882928000</v>
      </c>
      <c r="N1318" s="37">
        <f t="shared" si="82"/>
        <v>0.26013826507167104</v>
      </c>
      <c r="O1318" s="2">
        <f t="shared" si="83"/>
        <v>842361000</v>
      </c>
    </row>
    <row r="1319" spans="1:15" x14ac:dyDescent="0.3">
      <c r="A1319" t="s">
        <v>462</v>
      </c>
      <c r="B1319">
        <v>3</v>
      </c>
      <c r="C1319">
        <v>2014</v>
      </c>
      <c r="D1319" s="1">
        <v>42004</v>
      </c>
      <c r="E1319" s="2">
        <v>3549494000</v>
      </c>
      <c r="F1319" s="2">
        <v>1447595000</v>
      </c>
      <c r="G1319" s="2">
        <v>1102426000</v>
      </c>
      <c r="H1319">
        <v>0</v>
      </c>
      <c r="I1319">
        <v>0</v>
      </c>
      <c r="J1319" t="s">
        <v>12</v>
      </c>
      <c r="K1319" t="s">
        <v>160</v>
      </c>
      <c r="L1319" s="37">
        <f t="shared" si="80"/>
        <v>0.59216863023292898</v>
      </c>
      <c r="M1319" s="2">
        <f t="shared" si="81"/>
        <v>2101899000</v>
      </c>
      <c r="N1319" s="37">
        <f t="shared" si="82"/>
        <v>0.28158182546582694</v>
      </c>
      <c r="O1319" s="2">
        <f t="shared" si="83"/>
        <v>999473000</v>
      </c>
    </row>
    <row r="1320" spans="1:15" x14ac:dyDescent="0.3">
      <c r="A1320" t="s">
        <v>462</v>
      </c>
      <c r="B1320">
        <v>4</v>
      </c>
      <c r="C1320">
        <v>2015</v>
      </c>
      <c r="D1320" s="1">
        <v>42369</v>
      </c>
      <c r="E1320" s="2">
        <v>3582395000</v>
      </c>
      <c r="F1320" s="2">
        <v>1417749000</v>
      </c>
      <c r="G1320" s="2">
        <v>1136728000</v>
      </c>
      <c r="H1320">
        <v>0</v>
      </c>
      <c r="I1320">
        <v>0</v>
      </c>
      <c r="J1320" t="s">
        <v>12</v>
      </c>
      <c r="K1320" t="s">
        <v>160</v>
      </c>
      <c r="L1320" s="37">
        <f t="shared" si="80"/>
        <v>0.60424548381739029</v>
      </c>
      <c r="M1320" s="2">
        <f t="shared" si="81"/>
        <v>2164646000</v>
      </c>
      <c r="N1320" s="37">
        <f t="shared" si="82"/>
        <v>0.28693597439701651</v>
      </c>
      <c r="O1320" s="2">
        <f t="shared" si="83"/>
        <v>1027918000</v>
      </c>
    </row>
    <row r="1321" spans="1:15" x14ac:dyDescent="0.3">
      <c r="A1321" t="s">
        <v>463</v>
      </c>
      <c r="B1321">
        <v>1</v>
      </c>
      <c r="C1321">
        <v>2013</v>
      </c>
      <c r="D1321" s="1">
        <v>41307</v>
      </c>
      <c r="E1321" s="2">
        <v>9721065000</v>
      </c>
      <c r="F1321" s="2">
        <v>7011428000</v>
      </c>
      <c r="G1321" s="2">
        <v>1437886000</v>
      </c>
      <c r="H1321">
        <v>0</v>
      </c>
      <c r="I1321">
        <v>0</v>
      </c>
      <c r="J1321" t="s">
        <v>15</v>
      </c>
      <c r="K1321" t="s">
        <v>253</v>
      </c>
      <c r="L1321" s="37">
        <f t="shared" si="80"/>
        <v>0.27873869786900918</v>
      </c>
      <c r="M1321" s="2">
        <f t="shared" si="81"/>
        <v>2709637000</v>
      </c>
      <c r="N1321" s="37">
        <f t="shared" si="82"/>
        <v>0.13082424610883683</v>
      </c>
      <c r="O1321" s="2">
        <f t="shared" si="83"/>
        <v>1271751000</v>
      </c>
    </row>
    <row r="1322" spans="1:15" x14ac:dyDescent="0.3">
      <c r="A1322" t="s">
        <v>463</v>
      </c>
      <c r="B1322">
        <v>2</v>
      </c>
      <c r="C1322">
        <v>2014</v>
      </c>
      <c r="D1322" s="1">
        <v>41671</v>
      </c>
      <c r="E1322" s="2">
        <v>10230353000</v>
      </c>
      <c r="F1322" s="2">
        <v>7360924000</v>
      </c>
      <c r="G1322" s="2">
        <v>1526366000</v>
      </c>
      <c r="H1322">
        <v>0</v>
      </c>
      <c r="I1322">
        <v>0</v>
      </c>
      <c r="J1322" t="s">
        <v>15</v>
      </c>
      <c r="K1322" t="s">
        <v>253</v>
      </c>
      <c r="L1322" s="37">
        <f t="shared" si="80"/>
        <v>0.28048191494467489</v>
      </c>
      <c r="M1322" s="2">
        <f t="shared" si="81"/>
        <v>2869429000</v>
      </c>
      <c r="N1322" s="37">
        <f t="shared" si="82"/>
        <v>0.13128217569814063</v>
      </c>
      <c r="O1322" s="2">
        <f t="shared" si="83"/>
        <v>1343063000</v>
      </c>
    </row>
    <row r="1323" spans="1:15" x14ac:dyDescent="0.3">
      <c r="A1323" t="s">
        <v>463</v>
      </c>
      <c r="B1323">
        <v>3</v>
      </c>
      <c r="C1323">
        <v>2015</v>
      </c>
      <c r="D1323" s="1">
        <v>42035</v>
      </c>
      <c r="E1323" s="2">
        <v>11041677000</v>
      </c>
      <c r="F1323" s="2">
        <v>7937956000</v>
      </c>
      <c r="G1323" s="2">
        <v>1615371000</v>
      </c>
      <c r="H1323">
        <v>0</v>
      </c>
      <c r="I1323">
        <v>0</v>
      </c>
      <c r="J1323" t="s">
        <v>15</v>
      </c>
      <c r="K1323" t="s">
        <v>253</v>
      </c>
      <c r="L1323" s="37">
        <f t="shared" si="80"/>
        <v>0.28109145014837877</v>
      </c>
      <c r="M1323" s="2">
        <f t="shared" si="81"/>
        <v>3103721000</v>
      </c>
      <c r="N1323" s="37">
        <f t="shared" si="82"/>
        <v>0.13479383611746656</v>
      </c>
      <c r="O1323" s="2">
        <f t="shared" si="83"/>
        <v>1488350000</v>
      </c>
    </row>
    <row r="1324" spans="1:15" x14ac:dyDescent="0.3">
      <c r="A1324" t="s">
        <v>463</v>
      </c>
      <c r="B1324">
        <v>4</v>
      </c>
      <c r="C1324">
        <v>2016</v>
      </c>
      <c r="D1324" s="1">
        <v>42399</v>
      </c>
      <c r="E1324" s="2">
        <v>11939999000</v>
      </c>
      <c r="F1324" s="2">
        <v>8576873000</v>
      </c>
      <c r="G1324" s="2">
        <v>1738755000</v>
      </c>
      <c r="H1324">
        <v>0</v>
      </c>
      <c r="I1324">
        <v>0</v>
      </c>
      <c r="J1324" t="s">
        <v>15</v>
      </c>
      <c r="K1324" t="s">
        <v>253</v>
      </c>
      <c r="L1324" s="37">
        <f t="shared" si="80"/>
        <v>0.28166886781146294</v>
      </c>
      <c r="M1324" s="2">
        <f t="shared" si="81"/>
        <v>3363126000</v>
      </c>
      <c r="N1324" s="37">
        <f t="shared" si="82"/>
        <v>0.1360444837558194</v>
      </c>
      <c r="O1324" s="2">
        <f t="shared" si="83"/>
        <v>1624371000</v>
      </c>
    </row>
    <row r="1325" spans="1:15" x14ac:dyDescent="0.3">
      <c r="A1325" t="s">
        <v>464</v>
      </c>
      <c r="B1325">
        <v>1</v>
      </c>
      <c r="C1325">
        <v>2012</v>
      </c>
      <c r="D1325" s="1">
        <v>41274</v>
      </c>
      <c r="E1325" s="2">
        <v>1367135000</v>
      </c>
      <c r="F1325" s="2">
        <v>328784000</v>
      </c>
      <c r="G1325" s="2">
        <v>248136000</v>
      </c>
      <c r="H1325">
        <v>0</v>
      </c>
      <c r="I1325" s="2">
        <v>445228000</v>
      </c>
      <c r="J1325" t="s">
        <v>79</v>
      </c>
      <c r="K1325" t="s">
        <v>80</v>
      </c>
      <c r="L1325" s="37">
        <f t="shared" si="80"/>
        <v>0.75950875370757098</v>
      </c>
      <c r="M1325" s="2">
        <f t="shared" si="81"/>
        <v>1038351000</v>
      </c>
      <c r="N1325" s="37">
        <f t="shared" si="82"/>
        <v>0.25234303854410867</v>
      </c>
      <c r="O1325" s="2">
        <f t="shared" si="83"/>
        <v>344987000</v>
      </c>
    </row>
    <row r="1326" spans="1:15" x14ac:dyDescent="0.3">
      <c r="A1326" t="s">
        <v>464</v>
      </c>
      <c r="B1326">
        <v>2</v>
      </c>
      <c r="C1326">
        <v>2013</v>
      </c>
      <c r="D1326" s="1">
        <v>41639</v>
      </c>
      <c r="E1326" s="2">
        <v>1832253000</v>
      </c>
      <c r="F1326" s="2">
        <v>516119000</v>
      </c>
      <c r="G1326" s="2">
        <v>391707000</v>
      </c>
      <c r="H1326">
        <v>0</v>
      </c>
      <c r="I1326" s="2">
        <v>492397000</v>
      </c>
      <c r="J1326" t="s">
        <v>79</v>
      </c>
      <c r="K1326" t="s">
        <v>80</v>
      </c>
      <c r="L1326" s="37">
        <f t="shared" si="80"/>
        <v>0.71831455590467042</v>
      </c>
      <c r="M1326" s="2">
        <f t="shared" si="81"/>
        <v>1316134000</v>
      </c>
      <c r="N1326" s="37">
        <f t="shared" si="82"/>
        <v>0.23579167287487043</v>
      </c>
      <c r="O1326" s="2">
        <f t="shared" si="83"/>
        <v>432030000</v>
      </c>
    </row>
    <row r="1327" spans="1:15" x14ac:dyDescent="0.3">
      <c r="A1327" t="s">
        <v>464</v>
      </c>
      <c r="B1327">
        <v>3</v>
      </c>
      <c r="C1327">
        <v>2014</v>
      </c>
      <c r="D1327" s="1">
        <v>42004</v>
      </c>
      <c r="E1327" s="2">
        <v>2042537000</v>
      </c>
      <c r="F1327" s="2">
        <v>605752000</v>
      </c>
      <c r="G1327" s="2">
        <v>191802000</v>
      </c>
      <c r="H1327">
        <v>0</v>
      </c>
      <c r="I1327" s="2">
        <v>551032000</v>
      </c>
      <c r="J1327" t="s">
        <v>79</v>
      </c>
      <c r="K1327" t="s">
        <v>80</v>
      </c>
      <c r="L1327" s="37">
        <f t="shared" si="80"/>
        <v>0.70343156574397425</v>
      </c>
      <c r="M1327" s="2">
        <f t="shared" si="81"/>
        <v>1436785000</v>
      </c>
      <c r="N1327" s="37">
        <f t="shared" si="82"/>
        <v>0.33974953697289206</v>
      </c>
      <c r="O1327" s="2">
        <f t="shared" si="83"/>
        <v>693951000</v>
      </c>
    </row>
    <row r="1328" spans="1:15" x14ac:dyDescent="0.3">
      <c r="A1328" t="s">
        <v>464</v>
      </c>
      <c r="B1328">
        <v>4</v>
      </c>
      <c r="C1328">
        <v>2015</v>
      </c>
      <c r="D1328" s="1">
        <v>42369</v>
      </c>
      <c r="E1328" s="2">
        <v>1181704000</v>
      </c>
      <c r="F1328" s="2">
        <v>648968000</v>
      </c>
      <c r="G1328" s="2">
        <v>165318000</v>
      </c>
      <c r="H1328">
        <v>0</v>
      </c>
      <c r="I1328" s="2">
        <v>581155000</v>
      </c>
      <c r="J1328" t="s">
        <v>79</v>
      </c>
      <c r="K1328" t="s">
        <v>80</v>
      </c>
      <c r="L1328" s="37">
        <f t="shared" si="80"/>
        <v>0.45082017154888199</v>
      </c>
      <c r="M1328" s="2">
        <f t="shared" si="81"/>
        <v>532736000</v>
      </c>
      <c r="N1328" s="37">
        <f t="shared" si="82"/>
        <v>-0.18087185961966787</v>
      </c>
      <c r="O1328" s="2">
        <f t="shared" si="83"/>
        <v>-213737000</v>
      </c>
    </row>
    <row r="1329" spans="1:15" x14ac:dyDescent="0.3">
      <c r="A1329" t="s">
        <v>465</v>
      </c>
      <c r="B1329">
        <v>1</v>
      </c>
      <c r="C1329">
        <v>2013</v>
      </c>
      <c r="D1329" s="1">
        <v>41639</v>
      </c>
      <c r="E1329" s="2">
        <v>8417200000</v>
      </c>
      <c r="F1329" s="2">
        <v>5234700000</v>
      </c>
      <c r="G1329" s="2">
        <v>1088100000</v>
      </c>
      <c r="H1329">
        <v>0</v>
      </c>
      <c r="I1329" s="2">
        <v>877400000</v>
      </c>
      <c r="J1329" t="s">
        <v>12</v>
      </c>
      <c r="K1329" t="s">
        <v>160</v>
      </c>
      <c r="L1329" s="37">
        <f t="shared" si="80"/>
        <v>0.37809485339542837</v>
      </c>
      <c r="M1329" s="2">
        <f t="shared" si="81"/>
        <v>3182500000</v>
      </c>
      <c r="N1329" s="37">
        <f t="shared" si="82"/>
        <v>0.14458489759064772</v>
      </c>
      <c r="O1329" s="2">
        <f t="shared" si="83"/>
        <v>1217000000</v>
      </c>
    </row>
    <row r="1330" spans="1:15" x14ac:dyDescent="0.3">
      <c r="A1330" t="s">
        <v>465</v>
      </c>
      <c r="B1330">
        <v>2</v>
      </c>
      <c r="C1330">
        <v>2014</v>
      </c>
      <c r="D1330" s="1">
        <v>42004</v>
      </c>
      <c r="E1330" s="2">
        <v>8803300000</v>
      </c>
      <c r="F1330" s="2">
        <v>5643100000</v>
      </c>
      <c r="G1330" s="2">
        <v>998400000</v>
      </c>
      <c r="H1330">
        <v>0</v>
      </c>
      <c r="I1330" s="2">
        <v>906900000</v>
      </c>
      <c r="J1330" t="s">
        <v>12</v>
      </c>
      <c r="K1330" t="s">
        <v>160</v>
      </c>
      <c r="L1330" s="37">
        <f t="shared" si="80"/>
        <v>0.35897901923142461</v>
      </c>
      <c r="M1330" s="2">
        <f t="shared" si="81"/>
        <v>3160200000</v>
      </c>
      <c r="N1330" s="37">
        <f t="shared" si="82"/>
        <v>0.14254881692092738</v>
      </c>
      <c r="O1330" s="2">
        <f t="shared" si="83"/>
        <v>1254900000</v>
      </c>
    </row>
    <row r="1331" spans="1:15" x14ac:dyDescent="0.3">
      <c r="A1331" t="s">
        <v>465</v>
      </c>
      <c r="B1331">
        <v>3</v>
      </c>
      <c r="C1331">
        <v>2015</v>
      </c>
      <c r="D1331" s="1">
        <v>42369</v>
      </c>
      <c r="E1331" s="2">
        <v>9115000000</v>
      </c>
      <c r="F1331" s="2">
        <v>5518600000</v>
      </c>
      <c r="G1331" s="2">
        <v>1067000000</v>
      </c>
      <c r="H1331">
        <v>0</v>
      </c>
      <c r="I1331" s="2">
        <v>970600000</v>
      </c>
      <c r="J1331" t="s">
        <v>12</v>
      </c>
      <c r="K1331" t="s">
        <v>160</v>
      </c>
      <c r="L1331" s="37">
        <f t="shared" si="80"/>
        <v>0.39455842018650578</v>
      </c>
      <c r="M1331" s="2">
        <f t="shared" si="81"/>
        <v>3596400000</v>
      </c>
      <c r="N1331" s="37">
        <f t="shared" si="82"/>
        <v>0.17101481075150851</v>
      </c>
      <c r="O1331" s="2">
        <f t="shared" si="83"/>
        <v>1558800000</v>
      </c>
    </row>
    <row r="1332" spans="1:15" x14ac:dyDescent="0.3">
      <c r="A1332" t="s">
        <v>465</v>
      </c>
      <c r="B1332">
        <v>4</v>
      </c>
      <c r="C1332">
        <v>2016</v>
      </c>
      <c r="D1332" s="1">
        <v>42735</v>
      </c>
      <c r="E1332" s="2">
        <v>9387700000</v>
      </c>
      <c r="F1332" s="2">
        <v>5764000000</v>
      </c>
      <c r="G1332" s="2">
        <v>1054500000</v>
      </c>
      <c r="H1332">
        <v>0</v>
      </c>
      <c r="I1332" s="2">
        <v>991100000</v>
      </c>
      <c r="J1332" t="s">
        <v>12</v>
      </c>
      <c r="K1332" t="s">
        <v>160</v>
      </c>
      <c r="L1332" s="37">
        <f t="shared" si="80"/>
        <v>0.38600509176901687</v>
      </c>
      <c r="M1332" s="2">
        <f t="shared" si="81"/>
        <v>3623700000</v>
      </c>
      <c r="N1332" s="37">
        <f t="shared" si="82"/>
        <v>0.16810294321292754</v>
      </c>
      <c r="O1332" s="2">
        <f t="shared" si="83"/>
        <v>1578100000</v>
      </c>
    </row>
    <row r="1333" spans="1:15" x14ac:dyDescent="0.3">
      <c r="A1333" t="s">
        <v>466</v>
      </c>
      <c r="B1333">
        <v>1</v>
      </c>
      <c r="C1333">
        <v>2013</v>
      </c>
      <c r="D1333" s="1">
        <v>41546</v>
      </c>
      <c r="E1333" s="2">
        <v>14866800000</v>
      </c>
      <c r="F1333" s="2">
        <v>6382300000</v>
      </c>
      <c r="G1333" s="2">
        <v>5655800000</v>
      </c>
      <c r="H1333">
        <v>0</v>
      </c>
      <c r="I1333" s="2">
        <v>621400000</v>
      </c>
      <c r="J1333" t="s">
        <v>15</v>
      </c>
      <c r="K1333" t="s">
        <v>151</v>
      </c>
      <c r="L1333" s="37">
        <f t="shared" si="80"/>
        <v>0.57070115963085533</v>
      </c>
      <c r="M1333" s="2">
        <f t="shared" si="81"/>
        <v>8484500000</v>
      </c>
      <c r="N1333" s="37">
        <f t="shared" si="82"/>
        <v>0.14847176258508893</v>
      </c>
      <c r="O1333" s="2">
        <f t="shared" si="83"/>
        <v>2207300000</v>
      </c>
    </row>
    <row r="1334" spans="1:15" x14ac:dyDescent="0.3">
      <c r="A1334" t="s">
        <v>466</v>
      </c>
      <c r="B1334">
        <v>2</v>
      </c>
      <c r="C1334">
        <v>2014</v>
      </c>
      <c r="D1334" s="1">
        <v>41910</v>
      </c>
      <c r="E1334" s="2">
        <v>16447800000</v>
      </c>
      <c r="F1334" s="2">
        <v>6858800000</v>
      </c>
      <c r="G1334" s="2">
        <v>6086800000</v>
      </c>
      <c r="H1334">
        <v>0</v>
      </c>
      <c r="I1334" s="2">
        <v>709600000</v>
      </c>
      <c r="J1334" t="s">
        <v>15</v>
      </c>
      <c r="K1334" t="s">
        <v>151</v>
      </c>
      <c r="L1334" s="37">
        <f t="shared" si="80"/>
        <v>0.58299590218752662</v>
      </c>
      <c r="M1334" s="2">
        <f t="shared" si="81"/>
        <v>9589000000</v>
      </c>
      <c r="N1334" s="37">
        <f t="shared" si="82"/>
        <v>0.1697856248252046</v>
      </c>
      <c r="O1334" s="2">
        <f t="shared" si="83"/>
        <v>2792600000</v>
      </c>
    </row>
    <row r="1335" spans="1:15" x14ac:dyDescent="0.3">
      <c r="A1335" t="s">
        <v>466</v>
      </c>
      <c r="B1335">
        <v>3</v>
      </c>
      <c r="C1335">
        <v>2015</v>
      </c>
      <c r="D1335" s="1">
        <v>42274</v>
      </c>
      <c r="E1335" s="2">
        <v>19162700000</v>
      </c>
      <c r="F1335" s="2">
        <v>7787500000</v>
      </c>
      <c r="G1335" s="2">
        <v>7130200000</v>
      </c>
      <c r="H1335">
        <v>0</v>
      </c>
      <c r="I1335" s="2">
        <v>893900000</v>
      </c>
      <c r="J1335" t="s">
        <v>15</v>
      </c>
      <c r="K1335" t="s">
        <v>151</v>
      </c>
      <c r="L1335" s="37">
        <f t="shared" si="80"/>
        <v>0.59361154743329492</v>
      </c>
      <c r="M1335" s="2">
        <f t="shared" si="81"/>
        <v>11375200000</v>
      </c>
      <c r="N1335" s="37">
        <f t="shared" si="82"/>
        <v>0.17487619176838337</v>
      </c>
      <c r="O1335" s="2">
        <f t="shared" si="83"/>
        <v>3351100000</v>
      </c>
    </row>
    <row r="1336" spans="1:15" x14ac:dyDescent="0.3">
      <c r="A1336" t="s">
        <v>466</v>
      </c>
      <c r="B1336">
        <v>4</v>
      </c>
      <c r="C1336">
        <v>2016</v>
      </c>
      <c r="D1336" s="1">
        <v>42645</v>
      </c>
      <c r="E1336" s="2">
        <v>21315900000</v>
      </c>
      <c r="F1336" s="2">
        <v>8511100000</v>
      </c>
      <c r="G1336" s="2">
        <v>7970300000</v>
      </c>
      <c r="H1336">
        <v>0</v>
      </c>
      <c r="I1336" s="2">
        <v>980800000</v>
      </c>
      <c r="J1336" t="s">
        <v>15</v>
      </c>
      <c r="K1336" t="s">
        <v>151</v>
      </c>
      <c r="L1336" s="37">
        <f t="shared" si="80"/>
        <v>0.60071589752250665</v>
      </c>
      <c r="M1336" s="2">
        <f t="shared" si="81"/>
        <v>12804800000</v>
      </c>
      <c r="N1336" s="37">
        <f t="shared" si="82"/>
        <v>0.18078992676828096</v>
      </c>
      <c r="O1336" s="2">
        <f t="shared" si="83"/>
        <v>3853700000</v>
      </c>
    </row>
    <row r="1337" spans="1:15" x14ac:dyDescent="0.3">
      <c r="A1337" t="s">
        <v>467</v>
      </c>
      <c r="B1337">
        <v>1</v>
      </c>
      <c r="C1337">
        <v>2012</v>
      </c>
      <c r="D1337" s="1">
        <v>41274</v>
      </c>
      <c r="E1337" s="2">
        <v>4176000000</v>
      </c>
      <c r="F1337" s="2">
        <v>2754000000</v>
      </c>
      <c r="G1337" s="2">
        <v>207000000</v>
      </c>
      <c r="H1337">
        <v>0</v>
      </c>
      <c r="I1337" s="2">
        <v>356000000</v>
      </c>
      <c r="J1337" t="s">
        <v>38</v>
      </c>
      <c r="K1337" t="s">
        <v>39</v>
      </c>
      <c r="L1337" s="37">
        <f t="shared" si="80"/>
        <v>0.34051724137931039</v>
      </c>
      <c r="M1337" s="2">
        <f t="shared" si="81"/>
        <v>1422000000</v>
      </c>
      <c r="N1337" s="37">
        <f t="shared" si="82"/>
        <v>0.20569923371647508</v>
      </c>
      <c r="O1337" s="2">
        <f t="shared" si="83"/>
        <v>859000000</v>
      </c>
    </row>
    <row r="1338" spans="1:15" x14ac:dyDescent="0.3">
      <c r="A1338" t="s">
        <v>467</v>
      </c>
      <c r="B1338">
        <v>2</v>
      </c>
      <c r="C1338">
        <v>2013</v>
      </c>
      <c r="D1338" s="1">
        <v>41639</v>
      </c>
      <c r="E1338" s="2">
        <v>4495000000</v>
      </c>
      <c r="F1338" s="2">
        <v>2987000000</v>
      </c>
      <c r="G1338" s="2">
        <v>220000000</v>
      </c>
      <c r="H1338">
        <v>0</v>
      </c>
      <c r="I1338" s="2">
        <v>378000000</v>
      </c>
      <c r="J1338" t="s">
        <v>38</v>
      </c>
      <c r="K1338" t="s">
        <v>39</v>
      </c>
      <c r="L1338" s="37">
        <f t="shared" si="80"/>
        <v>0.3354838709677419</v>
      </c>
      <c r="M1338" s="2">
        <f t="shared" si="81"/>
        <v>1508000000</v>
      </c>
      <c r="N1338" s="37">
        <f t="shared" si="82"/>
        <v>0.20244716351501668</v>
      </c>
      <c r="O1338" s="2">
        <f t="shared" si="83"/>
        <v>910000000</v>
      </c>
    </row>
    <row r="1339" spans="1:15" x14ac:dyDescent="0.3">
      <c r="A1339" t="s">
        <v>467</v>
      </c>
      <c r="B1339">
        <v>3</v>
      </c>
      <c r="C1339">
        <v>2014</v>
      </c>
      <c r="D1339" s="1">
        <v>42004</v>
      </c>
      <c r="E1339" s="2">
        <v>4951000000</v>
      </c>
      <c r="F1339" s="2">
        <v>3331000000</v>
      </c>
      <c r="G1339" s="2">
        <v>229000000</v>
      </c>
      <c r="H1339">
        <v>0</v>
      </c>
      <c r="I1339" s="2">
        <v>384000000</v>
      </c>
      <c r="J1339" t="s">
        <v>38</v>
      </c>
      <c r="K1339" t="s">
        <v>39</v>
      </c>
      <c r="L1339" s="37">
        <f t="shared" si="80"/>
        <v>0.32720662492425767</v>
      </c>
      <c r="M1339" s="2">
        <f t="shared" si="81"/>
        <v>1620000000</v>
      </c>
      <c r="N1339" s="37">
        <f t="shared" si="82"/>
        <v>0.20339325388810342</v>
      </c>
      <c r="O1339" s="2">
        <f t="shared" si="83"/>
        <v>1007000000</v>
      </c>
    </row>
    <row r="1340" spans="1:15" x14ac:dyDescent="0.3">
      <c r="A1340" t="s">
        <v>467</v>
      </c>
      <c r="B1340">
        <v>4</v>
      </c>
      <c r="C1340">
        <v>2015</v>
      </c>
      <c r="D1340" s="1">
        <v>42369</v>
      </c>
      <c r="E1340" s="2">
        <v>4380000000</v>
      </c>
      <c r="F1340" s="2">
        <v>2714000000</v>
      </c>
      <c r="G1340" s="2">
        <v>234000000</v>
      </c>
      <c r="H1340">
        <v>0</v>
      </c>
      <c r="I1340" s="2">
        <v>358000000</v>
      </c>
      <c r="J1340" t="s">
        <v>38</v>
      </c>
      <c r="K1340" t="s">
        <v>39</v>
      </c>
      <c r="L1340" s="37">
        <f t="shared" si="80"/>
        <v>0.38036529680365294</v>
      </c>
      <c r="M1340" s="2">
        <f t="shared" si="81"/>
        <v>1666000000</v>
      </c>
      <c r="N1340" s="37">
        <f t="shared" si="82"/>
        <v>0.24520547945205479</v>
      </c>
      <c r="O1340" s="2">
        <f t="shared" si="83"/>
        <v>1074000000</v>
      </c>
    </row>
    <row r="1341" spans="1:15" x14ac:dyDescent="0.3">
      <c r="A1341" t="s">
        <v>468</v>
      </c>
      <c r="B1341">
        <v>1</v>
      </c>
      <c r="C1341">
        <v>2012</v>
      </c>
      <c r="D1341" s="1">
        <v>41274</v>
      </c>
      <c r="E1341" s="2">
        <v>5075000000</v>
      </c>
      <c r="F1341" s="2">
        <v>2417000000</v>
      </c>
      <c r="G1341" s="2">
        <v>337000000</v>
      </c>
      <c r="H1341">
        <v>0</v>
      </c>
      <c r="I1341" s="2">
        <v>746000000</v>
      </c>
      <c r="J1341" t="s">
        <v>79</v>
      </c>
      <c r="K1341" t="s">
        <v>337</v>
      </c>
      <c r="L1341" s="37">
        <f t="shared" si="80"/>
        <v>0.52374384236453198</v>
      </c>
      <c r="M1341" s="2">
        <f t="shared" si="81"/>
        <v>2658000000</v>
      </c>
      <c r="N1341" s="37">
        <f t="shared" si="82"/>
        <v>0.31034482758620691</v>
      </c>
      <c r="O1341" s="2">
        <f t="shared" si="83"/>
        <v>1575000000</v>
      </c>
    </row>
    <row r="1342" spans="1:15" x14ac:dyDescent="0.3">
      <c r="A1342" t="s">
        <v>468</v>
      </c>
      <c r="B1342">
        <v>2</v>
      </c>
      <c r="C1342">
        <v>2013</v>
      </c>
      <c r="D1342" s="1">
        <v>41639</v>
      </c>
      <c r="E1342" s="2">
        <v>5518000000</v>
      </c>
      <c r="F1342" s="2">
        <v>2707000000</v>
      </c>
      <c r="G1342" s="2">
        <v>373000000</v>
      </c>
      <c r="H1342">
        <v>0</v>
      </c>
      <c r="I1342" s="2">
        <v>772000000</v>
      </c>
      <c r="J1342" t="s">
        <v>79</v>
      </c>
      <c r="K1342" t="s">
        <v>337</v>
      </c>
      <c r="L1342" s="37">
        <f t="shared" si="80"/>
        <v>0.50942370424066685</v>
      </c>
      <c r="M1342" s="2">
        <f t="shared" si="81"/>
        <v>2811000000</v>
      </c>
      <c r="N1342" s="37">
        <f t="shared" si="82"/>
        <v>0.30192098586444366</v>
      </c>
      <c r="O1342" s="2">
        <f t="shared" si="83"/>
        <v>1666000000</v>
      </c>
    </row>
    <row r="1343" spans="1:15" x14ac:dyDescent="0.3">
      <c r="A1343" t="s">
        <v>468</v>
      </c>
      <c r="B1343">
        <v>3</v>
      </c>
      <c r="C1343">
        <v>2014</v>
      </c>
      <c r="D1343" s="1">
        <v>42004</v>
      </c>
      <c r="E1343" s="2">
        <v>5903000000</v>
      </c>
      <c r="F1343" s="2">
        <v>2790000000</v>
      </c>
      <c r="G1343" s="2">
        <v>393000000</v>
      </c>
      <c r="H1343">
        <v>0</v>
      </c>
      <c r="I1343" s="2">
        <v>796000000</v>
      </c>
      <c r="J1343" t="s">
        <v>79</v>
      </c>
      <c r="K1343" t="s">
        <v>337</v>
      </c>
      <c r="L1343" s="37">
        <f t="shared" si="80"/>
        <v>0.52735897001524656</v>
      </c>
      <c r="M1343" s="2">
        <f t="shared" si="81"/>
        <v>3113000000</v>
      </c>
      <c r="N1343" s="37">
        <f t="shared" si="82"/>
        <v>0.32593596476367948</v>
      </c>
      <c r="O1343" s="2">
        <f t="shared" si="83"/>
        <v>1924000000</v>
      </c>
    </row>
    <row r="1344" spans="1:15" x14ac:dyDescent="0.3">
      <c r="A1344" t="s">
        <v>468</v>
      </c>
      <c r="B1344">
        <v>4</v>
      </c>
      <c r="C1344">
        <v>2015</v>
      </c>
      <c r="D1344" s="1">
        <v>42369</v>
      </c>
      <c r="E1344" s="2">
        <v>5234000000</v>
      </c>
      <c r="F1344" s="2">
        <v>2335000000</v>
      </c>
      <c r="G1344" s="2">
        <v>353000000</v>
      </c>
      <c r="H1344">
        <v>0</v>
      </c>
      <c r="I1344" s="2">
        <v>764000000</v>
      </c>
      <c r="J1344" t="s">
        <v>79</v>
      </c>
      <c r="K1344" t="s">
        <v>337</v>
      </c>
      <c r="L1344" s="37">
        <f t="shared" si="80"/>
        <v>0.55387848681696594</v>
      </c>
      <c r="M1344" s="2">
        <f t="shared" si="81"/>
        <v>2899000000</v>
      </c>
      <c r="N1344" s="37">
        <f t="shared" si="82"/>
        <v>0.34046618265189149</v>
      </c>
      <c r="O1344" s="2">
        <f t="shared" si="83"/>
        <v>1782000000</v>
      </c>
    </row>
    <row r="1345" spans="1:15" x14ac:dyDescent="0.3">
      <c r="A1345" t="s">
        <v>469</v>
      </c>
      <c r="B1345">
        <v>1</v>
      </c>
      <c r="C1345">
        <v>2013</v>
      </c>
      <c r="D1345" s="1">
        <v>41639</v>
      </c>
      <c r="E1345" s="2">
        <v>7690800000</v>
      </c>
      <c r="F1345" s="2">
        <v>5100900000</v>
      </c>
      <c r="G1345" s="2">
        <v>1788300000</v>
      </c>
      <c r="H1345">
        <v>0</v>
      </c>
      <c r="I1345" s="2">
        <v>123200000</v>
      </c>
      <c r="J1345" t="s">
        <v>55</v>
      </c>
      <c r="K1345" t="s">
        <v>92</v>
      </c>
      <c r="L1345" s="37">
        <f t="shared" si="80"/>
        <v>0.33675300358870341</v>
      </c>
      <c r="M1345" s="2">
        <f t="shared" si="81"/>
        <v>2589900000</v>
      </c>
      <c r="N1345" s="37">
        <f t="shared" si="82"/>
        <v>8.8209289020648049E-2</v>
      </c>
      <c r="O1345" s="2">
        <f t="shared" si="83"/>
        <v>678400000</v>
      </c>
    </row>
    <row r="1346" spans="1:15" x14ac:dyDescent="0.3">
      <c r="A1346" t="s">
        <v>469</v>
      </c>
      <c r="B1346">
        <v>2</v>
      </c>
      <c r="C1346">
        <v>2014</v>
      </c>
      <c r="D1346" s="1">
        <v>42004</v>
      </c>
      <c r="E1346" s="2">
        <v>7750500000</v>
      </c>
      <c r="F1346" s="2">
        <v>5062900000</v>
      </c>
      <c r="G1346" s="2">
        <v>1849400000</v>
      </c>
      <c r="H1346">
        <v>0</v>
      </c>
      <c r="I1346" s="2">
        <v>118900000</v>
      </c>
      <c r="J1346" t="s">
        <v>55</v>
      </c>
      <c r="K1346" t="s">
        <v>92</v>
      </c>
      <c r="L1346" s="37">
        <f t="shared" ref="L1346:L1409" si="84">1-(F1346/E1346)</f>
        <v>0.34676472485646093</v>
      </c>
      <c r="M1346" s="2">
        <f t="shared" ref="M1346:M1409" si="85">E1346-F1346</f>
        <v>2687600000</v>
      </c>
      <c r="N1346" s="37">
        <f t="shared" ref="N1346:N1409" si="86">O1346/E1346</f>
        <v>9.2806915682859176E-2</v>
      </c>
      <c r="O1346" s="2">
        <f t="shared" ref="O1346:O1409" si="87">M1346-SUM(G1346:I1346)</f>
        <v>719300000</v>
      </c>
    </row>
    <row r="1347" spans="1:15" x14ac:dyDescent="0.3">
      <c r="A1347" t="s">
        <v>469</v>
      </c>
      <c r="B1347">
        <v>3</v>
      </c>
      <c r="C1347">
        <v>2015</v>
      </c>
      <c r="D1347" s="1">
        <v>42369</v>
      </c>
      <c r="E1347" s="2">
        <v>7031500000</v>
      </c>
      <c r="F1347" s="2">
        <v>4444900000</v>
      </c>
      <c r="G1347" s="2">
        <v>1656200000</v>
      </c>
      <c r="H1347">
        <v>0</v>
      </c>
      <c r="I1347" s="2">
        <v>88700000</v>
      </c>
      <c r="J1347" t="s">
        <v>55</v>
      </c>
      <c r="K1347" t="s">
        <v>92</v>
      </c>
      <c r="L1347" s="37">
        <f t="shared" si="84"/>
        <v>0.36785892057171299</v>
      </c>
      <c r="M1347" s="2">
        <f t="shared" si="85"/>
        <v>2586600000</v>
      </c>
      <c r="N1347" s="37">
        <f t="shared" si="86"/>
        <v>0.11970418829552727</v>
      </c>
      <c r="O1347" s="2">
        <f t="shared" si="87"/>
        <v>841700000</v>
      </c>
    </row>
    <row r="1348" spans="1:15" x14ac:dyDescent="0.3">
      <c r="A1348" t="s">
        <v>469</v>
      </c>
      <c r="B1348">
        <v>4</v>
      </c>
      <c r="C1348">
        <v>2016</v>
      </c>
      <c r="D1348" s="1">
        <v>42735</v>
      </c>
      <c r="E1348" s="2">
        <v>6778300000</v>
      </c>
      <c r="F1348" s="2">
        <v>4246700000</v>
      </c>
      <c r="G1348" s="2">
        <v>1604400000</v>
      </c>
      <c r="H1348">
        <v>0</v>
      </c>
      <c r="I1348" s="2">
        <v>94900000</v>
      </c>
      <c r="J1348" t="s">
        <v>55</v>
      </c>
      <c r="K1348" t="s">
        <v>92</v>
      </c>
      <c r="L1348" s="37">
        <f t="shared" si="84"/>
        <v>0.37348597730994493</v>
      </c>
      <c r="M1348" s="2">
        <f t="shared" si="85"/>
        <v>2531600000</v>
      </c>
      <c r="N1348" s="37">
        <f t="shared" si="86"/>
        <v>0.12278889987164923</v>
      </c>
      <c r="O1348" s="2">
        <f t="shared" si="87"/>
        <v>832300000</v>
      </c>
    </row>
    <row r="1349" spans="1:15" x14ac:dyDescent="0.3">
      <c r="A1349" t="s">
        <v>470</v>
      </c>
      <c r="B1349">
        <v>1</v>
      </c>
      <c r="C1349">
        <v>2012</v>
      </c>
      <c r="D1349" s="1">
        <v>41274</v>
      </c>
      <c r="E1349" s="2">
        <v>9534462000</v>
      </c>
      <c r="F1349" s="2">
        <v>5328236000</v>
      </c>
      <c r="G1349" s="2">
        <v>3264896000</v>
      </c>
      <c r="H1349">
        <v>0</v>
      </c>
      <c r="I1349">
        <v>0</v>
      </c>
      <c r="J1349" t="s">
        <v>55</v>
      </c>
      <c r="K1349" t="s">
        <v>56</v>
      </c>
      <c r="L1349" s="37">
        <f t="shared" si="84"/>
        <v>0.44116028780648553</v>
      </c>
      <c r="M1349" s="2">
        <f t="shared" si="85"/>
        <v>4206226000</v>
      </c>
      <c r="N1349" s="37">
        <f t="shared" si="86"/>
        <v>9.8729220379713087E-2</v>
      </c>
      <c r="O1349" s="2">
        <f t="shared" si="87"/>
        <v>941330000</v>
      </c>
    </row>
    <row r="1350" spans="1:15" x14ac:dyDescent="0.3">
      <c r="A1350" t="s">
        <v>470</v>
      </c>
      <c r="B1350">
        <v>2</v>
      </c>
      <c r="C1350">
        <v>2013</v>
      </c>
      <c r="D1350" s="1">
        <v>41639</v>
      </c>
      <c r="E1350" s="2">
        <v>10185532000</v>
      </c>
      <c r="F1350" s="2">
        <v>5568966000</v>
      </c>
      <c r="G1350" s="2">
        <v>3470200000</v>
      </c>
      <c r="H1350">
        <v>0</v>
      </c>
      <c r="I1350">
        <v>0</v>
      </c>
      <c r="J1350" t="s">
        <v>55</v>
      </c>
      <c r="K1350" t="s">
        <v>56</v>
      </c>
      <c r="L1350" s="37">
        <f t="shared" si="84"/>
        <v>0.45324741015000491</v>
      </c>
      <c r="M1350" s="2">
        <f t="shared" si="85"/>
        <v>4616566000</v>
      </c>
      <c r="N1350" s="37">
        <f t="shared" si="86"/>
        <v>0.11254846580424076</v>
      </c>
      <c r="O1350" s="2">
        <f t="shared" si="87"/>
        <v>1146366000</v>
      </c>
    </row>
    <row r="1351" spans="1:15" x14ac:dyDescent="0.3">
      <c r="A1351" t="s">
        <v>470</v>
      </c>
      <c r="B1351">
        <v>3</v>
      </c>
      <c r="C1351">
        <v>2014</v>
      </c>
      <c r="D1351" s="1">
        <v>42004</v>
      </c>
      <c r="E1351" s="2">
        <v>11129533000</v>
      </c>
      <c r="F1351" s="2">
        <v>5965049000</v>
      </c>
      <c r="G1351" s="2">
        <v>3860448000</v>
      </c>
      <c r="H1351">
        <v>0</v>
      </c>
      <c r="I1351">
        <v>0</v>
      </c>
      <c r="J1351" t="s">
        <v>55</v>
      </c>
      <c r="K1351" t="s">
        <v>56</v>
      </c>
      <c r="L1351" s="37">
        <f t="shared" si="84"/>
        <v>0.46403420520879002</v>
      </c>
      <c r="M1351" s="2">
        <f t="shared" si="85"/>
        <v>5164484000</v>
      </c>
      <c r="N1351" s="37">
        <f t="shared" si="86"/>
        <v>0.11716897735062198</v>
      </c>
      <c r="O1351" s="2">
        <f t="shared" si="87"/>
        <v>1304036000</v>
      </c>
    </row>
    <row r="1352" spans="1:15" x14ac:dyDescent="0.3">
      <c r="A1352" t="s">
        <v>470</v>
      </c>
      <c r="B1352">
        <v>4</v>
      </c>
      <c r="C1352">
        <v>2015</v>
      </c>
      <c r="D1352" s="1">
        <v>42369</v>
      </c>
      <c r="E1352" s="2">
        <v>11339304000</v>
      </c>
      <c r="F1352" s="2">
        <v>5780078000</v>
      </c>
      <c r="G1352" s="2">
        <v>3943786000</v>
      </c>
      <c r="H1352">
        <v>0</v>
      </c>
      <c r="I1352">
        <v>0</v>
      </c>
      <c r="J1352" t="s">
        <v>55</v>
      </c>
      <c r="K1352" t="s">
        <v>56</v>
      </c>
      <c r="L1352" s="37">
        <f t="shared" si="84"/>
        <v>0.49026165979852021</v>
      </c>
      <c r="M1352" s="2">
        <f t="shared" si="85"/>
        <v>5559226000</v>
      </c>
      <c r="N1352" s="37">
        <f t="shared" si="86"/>
        <v>0.14246377026314844</v>
      </c>
      <c r="O1352" s="2">
        <f t="shared" si="87"/>
        <v>1615440000</v>
      </c>
    </row>
    <row r="1353" spans="1:15" x14ac:dyDescent="0.3">
      <c r="A1353" t="s">
        <v>471</v>
      </c>
      <c r="B1353">
        <v>1</v>
      </c>
      <c r="C1353">
        <v>2013</v>
      </c>
      <c r="D1353" s="1">
        <v>41307</v>
      </c>
      <c r="E1353" s="2">
        <v>3983400000</v>
      </c>
      <c r="F1353" s="2">
        <v>2446000000</v>
      </c>
      <c r="G1353" s="2">
        <v>976900000</v>
      </c>
      <c r="H1353">
        <v>0</v>
      </c>
      <c r="I1353">
        <v>0</v>
      </c>
      <c r="J1353" t="s">
        <v>15</v>
      </c>
      <c r="K1353" t="s">
        <v>75</v>
      </c>
      <c r="L1353" s="37">
        <f t="shared" si="84"/>
        <v>0.38595169955314557</v>
      </c>
      <c r="M1353" s="2">
        <f t="shared" si="85"/>
        <v>1537400000</v>
      </c>
      <c r="N1353" s="37">
        <f t="shared" si="86"/>
        <v>0.14070894210975549</v>
      </c>
      <c r="O1353" s="2">
        <f t="shared" si="87"/>
        <v>560500000</v>
      </c>
    </row>
    <row r="1354" spans="1:15" x14ac:dyDescent="0.3">
      <c r="A1354" t="s">
        <v>471</v>
      </c>
      <c r="B1354">
        <v>2</v>
      </c>
      <c r="C1354">
        <v>2014</v>
      </c>
      <c r="D1354" s="1">
        <v>41671</v>
      </c>
      <c r="E1354" s="2">
        <v>4209200000</v>
      </c>
      <c r="F1354" s="2">
        <v>2628700000</v>
      </c>
      <c r="G1354" s="2">
        <v>1010000000</v>
      </c>
      <c r="H1354">
        <v>0</v>
      </c>
      <c r="I1354">
        <v>0</v>
      </c>
      <c r="J1354" t="s">
        <v>15</v>
      </c>
      <c r="K1354" t="s">
        <v>75</v>
      </c>
      <c r="L1354" s="37">
        <f t="shared" si="84"/>
        <v>0.37548702841395043</v>
      </c>
      <c r="M1354" s="2">
        <f t="shared" si="85"/>
        <v>1580500000</v>
      </c>
      <c r="N1354" s="37">
        <f t="shared" si="86"/>
        <v>0.13553644397985365</v>
      </c>
      <c r="O1354" s="2">
        <f t="shared" si="87"/>
        <v>570500000</v>
      </c>
    </row>
    <row r="1355" spans="1:15" x14ac:dyDescent="0.3">
      <c r="A1355" t="s">
        <v>471</v>
      </c>
      <c r="B1355">
        <v>3</v>
      </c>
      <c r="C1355">
        <v>2015</v>
      </c>
      <c r="D1355" s="1">
        <v>42037</v>
      </c>
      <c r="E1355" s="2">
        <v>5736300000</v>
      </c>
      <c r="F1355" s="2">
        <v>3662100000</v>
      </c>
      <c r="G1355" s="2">
        <v>1497600000</v>
      </c>
      <c r="H1355">
        <v>0</v>
      </c>
      <c r="I1355">
        <v>0</v>
      </c>
      <c r="J1355" t="s">
        <v>15</v>
      </c>
      <c r="K1355" t="s">
        <v>75</v>
      </c>
      <c r="L1355" s="37">
        <f t="shared" si="84"/>
        <v>0.36159196694733542</v>
      </c>
      <c r="M1355" s="2">
        <f t="shared" si="85"/>
        <v>2074200000</v>
      </c>
      <c r="N1355" s="37">
        <f t="shared" si="86"/>
        <v>0.10051775534752366</v>
      </c>
      <c r="O1355" s="2">
        <f t="shared" si="87"/>
        <v>576600000</v>
      </c>
    </row>
    <row r="1356" spans="1:15" x14ac:dyDescent="0.3">
      <c r="A1356" t="s">
        <v>471</v>
      </c>
      <c r="B1356">
        <v>4</v>
      </c>
      <c r="C1356">
        <v>2016</v>
      </c>
      <c r="D1356" s="1">
        <v>42399</v>
      </c>
      <c r="E1356" s="2">
        <v>6550200000</v>
      </c>
      <c r="F1356" s="2">
        <v>4109800000</v>
      </c>
      <c r="G1356" s="2">
        <v>1736700000</v>
      </c>
      <c r="H1356">
        <v>0</v>
      </c>
      <c r="I1356">
        <v>0</v>
      </c>
      <c r="J1356" t="s">
        <v>15</v>
      </c>
      <c r="K1356" t="s">
        <v>75</v>
      </c>
      <c r="L1356" s="37">
        <f t="shared" si="84"/>
        <v>0.37256877652590759</v>
      </c>
      <c r="M1356" s="2">
        <f t="shared" si="85"/>
        <v>2440400000</v>
      </c>
      <c r="N1356" s="37">
        <f t="shared" si="86"/>
        <v>0.10743183414246893</v>
      </c>
      <c r="O1356" s="2">
        <f t="shared" si="87"/>
        <v>703700000</v>
      </c>
    </row>
    <row r="1357" spans="1:15" x14ac:dyDescent="0.3">
      <c r="A1357" t="s">
        <v>472</v>
      </c>
      <c r="B1357">
        <v>1</v>
      </c>
      <c r="C1357">
        <v>2013</v>
      </c>
      <c r="D1357" s="1">
        <v>41394</v>
      </c>
      <c r="E1357" s="2">
        <v>5897700000</v>
      </c>
      <c r="F1357" s="2">
        <v>3870100000</v>
      </c>
      <c r="G1357" s="2">
        <v>1020400000</v>
      </c>
      <c r="H1357">
        <v>0</v>
      </c>
      <c r="I1357" s="2">
        <v>96800000</v>
      </c>
      <c r="J1357" t="s">
        <v>32</v>
      </c>
      <c r="K1357" t="s">
        <v>120</v>
      </c>
      <c r="L1357" s="37">
        <f t="shared" si="84"/>
        <v>0.34379503874391715</v>
      </c>
      <c r="M1357" s="2">
        <f t="shared" si="85"/>
        <v>2027600000</v>
      </c>
      <c r="N1357" s="37">
        <f t="shared" si="86"/>
        <v>0.15436526103396239</v>
      </c>
      <c r="O1357" s="2">
        <f t="shared" si="87"/>
        <v>910400000</v>
      </c>
    </row>
    <row r="1358" spans="1:15" x14ac:dyDescent="0.3">
      <c r="A1358" t="s">
        <v>472</v>
      </c>
      <c r="B1358">
        <v>2</v>
      </c>
      <c r="C1358">
        <v>2014</v>
      </c>
      <c r="D1358" s="1">
        <v>41759</v>
      </c>
      <c r="E1358" s="2">
        <v>5610600000</v>
      </c>
      <c r="F1358" s="2">
        <v>3579600000</v>
      </c>
      <c r="G1358" s="2">
        <v>1013100000</v>
      </c>
      <c r="H1358">
        <v>0</v>
      </c>
      <c r="I1358" s="2">
        <v>98900000</v>
      </c>
      <c r="J1358" t="s">
        <v>32</v>
      </c>
      <c r="K1358" t="s">
        <v>120</v>
      </c>
      <c r="L1358" s="37">
        <f t="shared" si="84"/>
        <v>0.36199336969308094</v>
      </c>
      <c r="M1358" s="2">
        <f t="shared" si="85"/>
        <v>2031000000</v>
      </c>
      <c r="N1358" s="37">
        <f t="shared" si="86"/>
        <v>0.16379709834955264</v>
      </c>
      <c r="O1358" s="2">
        <f t="shared" si="87"/>
        <v>919000000</v>
      </c>
    </row>
    <row r="1359" spans="1:15" x14ac:dyDescent="0.3">
      <c r="A1359" t="s">
        <v>472</v>
      </c>
      <c r="B1359">
        <v>3</v>
      </c>
      <c r="C1359">
        <v>2015</v>
      </c>
      <c r="D1359" s="1">
        <v>42124</v>
      </c>
      <c r="E1359" s="2">
        <v>5692700000</v>
      </c>
      <c r="F1359" s="2">
        <v>3724000000</v>
      </c>
      <c r="G1359" s="2">
        <v>1085800000</v>
      </c>
      <c r="H1359">
        <v>0</v>
      </c>
      <c r="I1359" s="2">
        <v>110900000</v>
      </c>
      <c r="J1359" t="s">
        <v>32</v>
      </c>
      <c r="K1359" t="s">
        <v>120</v>
      </c>
      <c r="L1359" s="37">
        <f t="shared" si="84"/>
        <v>0.34582886855095119</v>
      </c>
      <c r="M1359" s="2">
        <f t="shared" si="85"/>
        <v>1968700000</v>
      </c>
      <c r="N1359" s="37">
        <f t="shared" si="86"/>
        <v>0.13561227537021098</v>
      </c>
      <c r="O1359" s="2">
        <f t="shared" si="87"/>
        <v>772000000</v>
      </c>
    </row>
    <row r="1360" spans="1:15" x14ac:dyDescent="0.3">
      <c r="A1360" t="s">
        <v>472</v>
      </c>
      <c r="B1360">
        <v>4</v>
      </c>
      <c r="C1360">
        <v>2016</v>
      </c>
      <c r="D1360" s="1">
        <v>42490</v>
      </c>
      <c r="E1360" s="2">
        <v>7811200000</v>
      </c>
      <c r="F1360" s="2">
        <v>4843400000</v>
      </c>
      <c r="G1360" s="2">
        <v>1614100000</v>
      </c>
      <c r="H1360">
        <v>0</v>
      </c>
      <c r="I1360" s="2">
        <v>208400000</v>
      </c>
      <c r="J1360" t="s">
        <v>32</v>
      </c>
      <c r="K1360" t="s">
        <v>120</v>
      </c>
      <c r="L1360" s="37">
        <f t="shared" si="84"/>
        <v>0.37994162228594841</v>
      </c>
      <c r="M1360" s="2">
        <f t="shared" si="85"/>
        <v>2967800000</v>
      </c>
      <c r="N1360" s="37">
        <f t="shared" si="86"/>
        <v>0.14662279803359279</v>
      </c>
      <c r="O1360" s="2">
        <f t="shared" si="87"/>
        <v>1145300000</v>
      </c>
    </row>
    <row r="1361" spans="1:15" x14ac:dyDescent="0.3">
      <c r="A1361" t="s">
        <v>473</v>
      </c>
      <c r="B1361">
        <v>1</v>
      </c>
      <c r="C1361">
        <v>2012</v>
      </c>
      <c r="D1361" s="1">
        <v>41274</v>
      </c>
      <c r="E1361" s="2">
        <v>1290052000</v>
      </c>
      <c r="F1361" s="2">
        <v>470243000</v>
      </c>
      <c r="G1361" s="2">
        <v>120310000</v>
      </c>
      <c r="H1361">
        <v>0</v>
      </c>
      <c r="I1361" s="2">
        <v>330418000</v>
      </c>
      <c r="J1361" t="s">
        <v>48</v>
      </c>
      <c r="K1361" t="s">
        <v>474</v>
      </c>
      <c r="L1361" s="37">
        <f t="shared" si="84"/>
        <v>0.63548523625404241</v>
      </c>
      <c r="M1361" s="2">
        <f t="shared" si="85"/>
        <v>819809000</v>
      </c>
      <c r="N1361" s="37">
        <f t="shared" si="86"/>
        <v>0.28609776970230655</v>
      </c>
      <c r="O1361" s="2">
        <f t="shared" si="87"/>
        <v>369081000</v>
      </c>
    </row>
    <row r="1362" spans="1:15" x14ac:dyDescent="0.3">
      <c r="A1362" t="s">
        <v>473</v>
      </c>
      <c r="B1362">
        <v>2</v>
      </c>
      <c r="C1362">
        <v>2013</v>
      </c>
      <c r="D1362" s="1">
        <v>41639</v>
      </c>
      <c r="E1362" s="2">
        <v>1371065000</v>
      </c>
      <c r="F1362" s="2">
        <v>479665000</v>
      </c>
      <c r="G1362" s="2">
        <v>122128000</v>
      </c>
      <c r="H1362">
        <v>0</v>
      </c>
      <c r="I1362" s="2">
        <v>340316000</v>
      </c>
      <c r="J1362" t="s">
        <v>48</v>
      </c>
      <c r="K1362" t="s">
        <v>474</v>
      </c>
      <c r="L1362" s="37">
        <f t="shared" si="84"/>
        <v>0.6501515245447882</v>
      </c>
      <c r="M1362" s="2">
        <f t="shared" si="85"/>
        <v>891400000</v>
      </c>
      <c r="N1362" s="37">
        <f t="shared" si="86"/>
        <v>0.31286335804648213</v>
      </c>
      <c r="O1362" s="2">
        <f t="shared" si="87"/>
        <v>428956000</v>
      </c>
    </row>
    <row r="1363" spans="1:15" x14ac:dyDescent="0.3">
      <c r="A1363" t="s">
        <v>473</v>
      </c>
      <c r="B1363">
        <v>3</v>
      </c>
      <c r="C1363">
        <v>2014</v>
      </c>
      <c r="D1363" s="1">
        <v>42004</v>
      </c>
      <c r="E1363" s="2">
        <v>1519978000</v>
      </c>
      <c r="F1363" s="2">
        <v>500126000</v>
      </c>
      <c r="G1363" s="2">
        <v>133502000</v>
      </c>
      <c r="H1363">
        <v>0</v>
      </c>
      <c r="I1363" s="2">
        <v>393987000</v>
      </c>
      <c r="J1363" t="s">
        <v>48</v>
      </c>
      <c r="K1363" t="s">
        <v>474</v>
      </c>
      <c r="L1363" s="37">
        <f t="shared" si="84"/>
        <v>0.67096497449305192</v>
      </c>
      <c r="M1363" s="2">
        <f t="shared" si="85"/>
        <v>1019852000</v>
      </c>
      <c r="N1363" s="37">
        <f t="shared" si="86"/>
        <v>0.32392771474323973</v>
      </c>
      <c r="O1363" s="2">
        <f t="shared" si="87"/>
        <v>492363000</v>
      </c>
    </row>
    <row r="1364" spans="1:15" x14ac:dyDescent="0.3">
      <c r="A1364" t="s">
        <v>473</v>
      </c>
      <c r="B1364">
        <v>4</v>
      </c>
      <c r="C1364">
        <v>2015</v>
      </c>
      <c r="D1364" s="1">
        <v>42369</v>
      </c>
      <c r="E1364" s="2">
        <v>1662829000</v>
      </c>
      <c r="F1364" s="2">
        <v>534326000</v>
      </c>
      <c r="G1364" s="2">
        <v>139137000</v>
      </c>
      <c r="H1364">
        <v>0</v>
      </c>
      <c r="I1364" s="2">
        <v>588235000</v>
      </c>
      <c r="J1364" t="s">
        <v>48</v>
      </c>
      <c r="K1364" t="s">
        <v>474</v>
      </c>
      <c r="L1364" s="37">
        <f t="shared" si="84"/>
        <v>0.6786644928612624</v>
      </c>
      <c r="M1364" s="2">
        <f t="shared" si="85"/>
        <v>1128503000</v>
      </c>
      <c r="N1364" s="37">
        <f t="shared" si="86"/>
        <v>0.24123406555935697</v>
      </c>
      <c r="O1364" s="2">
        <f t="shared" si="87"/>
        <v>401131000</v>
      </c>
    </row>
    <row r="1365" spans="1:15" x14ac:dyDescent="0.3">
      <c r="A1365" t="s">
        <v>475</v>
      </c>
      <c r="B1365">
        <v>1</v>
      </c>
      <c r="C1365">
        <v>2013</v>
      </c>
      <c r="D1365" s="1">
        <v>41639</v>
      </c>
      <c r="E1365" s="2">
        <v>3237500000</v>
      </c>
      <c r="F1365" s="2">
        <v>1638900000</v>
      </c>
      <c r="G1365" s="2">
        <v>1012400000</v>
      </c>
      <c r="H1365">
        <v>0</v>
      </c>
      <c r="I1365">
        <v>0</v>
      </c>
      <c r="J1365" t="s">
        <v>15</v>
      </c>
      <c r="K1365" t="s">
        <v>476</v>
      </c>
      <c r="L1365" s="37">
        <f t="shared" si="84"/>
        <v>0.49377606177606181</v>
      </c>
      <c r="M1365" s="2">
        <f t="shared" si="85"/>
        <v>1598600000</v>
      </c>
      <c r="N1365" s="37">
        <f t="shared" si="86"/>
        <v>0.18106563706563705</v>
      </c>
      <c r="O1365" s="2">
        <f t="shared" si="87"/>
        <v>586200000</v>
      </c>
    </row>
    <row r="1366" spans="1:15" x14ac:dyDescent="0.3">
      <c r="A1366" t="s">
        <v>475</v>
      </c>
      <c r="B1366">
        <v>2</v>
      </c>
      <c r="C1366">
        <v>2015</v>
      </c>
      <c r="D1366" s="1">
        <v>42007</v>
      </c>
      <c r="E1366" s="2">
        <v>3492600000</v>
      </c>
      <c r="F1366" s="2">
        <v>1759200000</v>
      </c>
      <c r="G1366" s="2">
        <v>1048700000</v>
      </c>
      <c r="H1366">
        <v>0</v>
      </c>
      <c r="I1366">
        <v>0</v>
      </c>
      <c r="J1366" t="s">
        <v>15</v>
      </c>
      <c r="K1366" t="s">
        <v>476</v>
      </c>
      <c r="L1366" s="37">
        <f t="shared" si="84"/>
        <v>0.49630647655042093</v>
      </c>
      <c r="M1366" s="2">
        <f t="shared" si="85"/>
        <v>1733400000</v>
      </c>
      <c r="N1366" s="37">
        <f t="shared" si="86"/>
        <v>0.19604306247494704</v>
      </c>
      <c r="O1366" s="2">
        <f t="shared" si="87"/>
        <v>684700000</v>
      </c>
    </row>
    <row r="1367" spans="1:15" x14ac:dyDescent="0.3">
      <c r="A1367" t="s">
        <v>475</v>
      </c>
      <c r="B1367">
        <v>3</v>
      </c>
      <c r="C1367">
        <v>2016</v>
      </c>
      <c r="D1367" s="1">
        <v>42371</v>
      </c>
      <c r="E1367" s="2">
        <v>3593100000</v>
      </c>
      <c r="F1367" s="2">
        <v>1774600000</v>
      </c>
      <c r="G1367" s="2">
        <v>1053700000</v>
      </c>
      <c r="H1367">
        <v>0</v>
      </c>
      <c r="I1367">
        <v>0</v>
      </c>
      <c r="J1367" t="s">
        <v>15</v>
      </c>
      <c r="K1367" t="s">
        <v>476</v>
      </c>
      <c r="L1367" s="37">
        <f t="shared" si="84"/>
        <v>0.50610893100665166</v>
      </c>
      <c r="M1367" s="2">
        <f t="shared" si="85"/>
        <v>1818500000</v>
      </c>
      <c r="N1367" s="37">
        <f t="shared" si="86"/>
        <v>0.21285241156661378</v>
      </c>
      <c r="O1367" s="2">
        <f t="shared" si="87"/>
        <v>764800000</v>
      </c>
    </row>
    <row r="1368" spans="1:15" x14ac:dyDescent="0.3">
      <c r="A1368" t="s">
        <v>475</v>
      </c>
      <c r="B1368">
        <v>4</v>
      </c>
      <c r="C1368">
        <v>2016</v>
      </c>
      <c r="D1368" s="1">
        <v>42735</v>
      </c>
      <c r="E1368" s="2">
        <v>3711800000</v>
      </c>
      <c r="F1368" s="2">
        <v>1803500000</v>
      </c>
      <c r="G1368" s="2">
        <v>1054100000</v>
      </c>
      <c r="H1368">
        <v>0</v>
      </c>
      <c r="I1368">
        <v>0</v>
      </c>
      <c r="J1368" t="s">
        <v>15</v>
      </c>
      <c r="K1368" t="s">
        <v>476</v>
      </c>
      <c r="L1368" s="37">
        <f t="shared" si="84"/>
        <v>0.51411713993210839</v>
      </c>
      <c r="M1368" s="2">
        <f t="shared" si="85"/>
        <v>1908300000</v>
      </c>
      <c r="N1368" s="37">
        <f t="shared" si="86"/>
        <v>0.23013093377875962</v>
      </c>
      <c r="O1368" s="2">
        <f t="shared" si="87"/>
        <v>854200000</v>
      </c>
    </row>
    <row r="1369" spans="1:15" x14ac:dyDescent="0.3">
      <c r="A1369" t="s">
        <v>477</v>
      </c>
      <c r="B1369">
        <v>1</v>
      </c>
      <c r="C1369">
        <v>2012</v>
      </c>
      <c r="D1369" s="1">
        <v>41274</v>
      </c>
      <c r="E1369" s="2">
        <v>2307182000</v>
      </c>
      <c r="F1369" s="2">
        <v>610836000</v>
      </c>
      <c r="G1369" s="2">
        <v>655473000</v>
      </c>
      <c r="H1369">
        <v>0</v>
      </c>
      <c r="I1369" s="2">
        <v>107591000</v>
      </c>
      <c r="J1369" t="s">
        <v>15</v>
      </c>
      <c r="K1369" t="s">
        <v>200</v>
      </c>
      <c r="L1369" s="37">
        <f t="shared" si="84"/>
        <v>0.73524585403318854</v>
      </c>
      <c r="M1369" s="2">
        <f t="shared" si="85"/>
        <v>1696346000</v>
      </c>
      <c r="N1369" s="37">
        <f t="shared" si="86"/>
        <v>0.40451165100975994</v>
      </c>
      <c r="O1369" s="2">
        <f t="shared" si="87"/>
        <v>933282000</v>
      </c>
    </row>
    <row r="1370" spans="1:15" x14ac:dyDescent="0.3">
      <c r="A1370" t="s">
        <v>477</v>
      </c>
      <c r="B1370">
        <v>2</v>
      </c>
      <c r="C1370">
        <v>2013</v>
      </c>
      <c r="D1370" s="1">
        <v>41639</v>
      </c>
      <c r="E1370" s="2">
        <v>2530809000</v>
      </c>
      <c r="F1370" s="2">
        <v>699294000</v>
      </c>
      <c r="G1370" s="2">
        <v>729055000</v>
      </c>
      <c r="H1370">
        <v>0</v>
      </c>
      <c r="I1370" s="2">
        <v>117580000</v>
      </c>
      <c r="J1370" t="s">
        <v>15</v>
      </c>
      <c r="K1370" t="s">
        <v>200</v>
      </c>
      <c r="L1370" s="37">
        <f t="shared" si="84"/>
        <v>0.72368756393706524</v>
      </c>
      <c r="M1370" s="2">
        <f t="shared" si="85"/>
        <v>1831515000</v>
      </c>
      <c r="N1370" s="37">
        <f t="shared" si="86"/>
        <v>0.38915619471876384</v>
      </c>
      <c r="O1370" s="2">
        <f t="shared" si="87"/>
        <v>984880000</v>
      </c>
    </row>
    <row r="1371" spans="1:15" x14ac:dyDescent="0.3">
      <c r="A1371" t="s">
        <v>477</v>
      </c>
      <c r="B1371">
        <v>3</v>
      </c>
      <c r="C1371">
        <v>2014</v>
      </c>
      <c r="D1371" s="1">
        <v>42004</v>
      </c>
      <c r="E1371" s="2">
        <v>2665456000</v>
      </c>
      <c r="F1371" s="2">
        <v>778896000</v>
      </c>
      <c r="G1371" s="2">
        <v>764799000</v>
      </c>
      <c r="H1371">
        <v>0</v>
      </c>
      <c r="I1371" s="2">
        <v>128582000</v>
      </c>
      <c r="J1371" t="s">
        <v>15</v>
      </c>
      <c r="K1371" t="s">
        <v>200</v>
      </c>
      <c r="L1371" s="37">
        <f t="shared" si="84"/>
        <v>0.70778133272505717</v>
      </c>
      <c r="M1371" s="2">
        <f t="shared" si="85"/>
        <v>1886560000</v>
      </c>
      <c r="N1371" s="37">
        <f t="shared" si="86"/>
        <v>0.37261129052589875</v>
      </c>
      <c r="O1371" s="2">
        <f t="shared" si="87"/>
        <v>993179000</v>
      </c>
    </row>
    <row r="1372" spans="1:15" x14ac:dyDescent="0.3">
      <c r="A1372" t="s">
        <v>477</v>
      </c>
      <c r="B1372">
        <v>4</v>
      </c>
      <c r="C1372">
        <v>2015</v>
      </c>
      <c r="D1372" s="1">
        <v>42369</v>
      </c>
      <c r="E1372" s="2">
        <v>3018227000</v>
      </c>
      <c r="F1372" s="2">
        <v>987357000</v>
      </c>
      <c r="G1372" s="2">
        <v>785179000</v>
      </c>
      <c r="H1372">
        <v>0</v>
      </c>
      <c r="I1372" s="2">
        <v>137596000</v>
      </c>
      <c r="J1372" t="s">
        <v>15</v>
      </c>
      <c r="K1372" t="s">
        <v>200</v>
      </c>
      <c r="L1372" s="37">
        <f t="shared" si="84"/>
        <v>0.67286854169683064</v>
      </c>
      <c r="M1372" s="2">
        <f t="shared" si="85"/>
        <v>2030870000</v>
      </c>
      <c r="N1372" s="37">
        <f t="shared" si="86"/>
        <v>0.3671344136806145</v>
      </c>
      <c r="O1372" s="2">
        <f t="shared" si="87"/>
        <v>1108095000</v>
      </c>
    </row>
    <row r="1373" spans="1:15" x14ac:dyDescent="0.3">
      <c r="A1373" t="s">
        <v>478</v>
      </c>
      <c r="B1373">
        <v>1</v>
      </c>
      <c r="C1373">
        <v>2012</v>
      </c>
      <c r="D1373" s="1">
        <v>41274</v>
      </c>
      <c r="E1373" s="2">
        <v>16537000000</v>
      </c>
      <c r="F1373" s="2">
        <v>9373000000</v>
      </c>
      <c r="G1373" s="2">
        <v>914000000</v>
      </c>
      <c r="H1373">
        <v>0</v>
      </c>
      <c r="I1373" s="2">
        <v>1787000000</v>
      </c>
      <c r="J1373" t="s">
        <v>38</v>
      </c>
      <c r="K1373" t="s">
        <v>41</v>
      </c>
      <c r="L1373" s="37">
        <f t="shared" si="84"/>
        <v>0.43321037673096696</v>
      </c>
      <c r="M1373" s="2">
        <f t="shared" si="85"/>
        <v>7164000000</v>
      </c>
      <c r="N1373" s="37">
        <f t="shared" si="86"/>
        <v>0.26987966378424139</v>
      </c>
      <c r="O1373" s="2">
        <f t="shared" si="87"/>
        <v>4463000000</v>
      </c>
    </row>
    <row r="1374" spans="1:15" x14ac:dyDescent="0.3">
      <c r="A1374" t="s">
        <v>478</v>
      </c>
      <c r="B1374">
        <v>2</v>
      </c>
      <c r="C1374">
        <v>2013</v>
      </c>
      <c r="D1374" s="1">
        <v>41639</v>
      </c>
      <c r="E1374" s="2">
        <v>17087000000</v>
      </c>
      <c r="F1374" s="2">
        <v>9817000000</v>
      </c>
      <c r="G1374" s="2">
        <v>934000000</v>
      </c>
      <c r="H1374">
        <v>0</v>
      </c>
      <c r="I1374" s="2">
        <v>1901000000</v>
      </c>
      <c r="J1374" t="s">
        <v>38</v>
      </c>
      <c r="K1374" t="s">
        <v>41</v>
      </c>
      <c r="L1374" s="37">
        <f t="shared" si="84"/>
        <v>0.42546965529349801</v>
      </c>
      <c r="M1374" s="2">
        <f t="shared" si="85"/>
        <v>7270000000</v>
      </c>
      <c r="N1374" s="37">
        <f t="shared" si="86"/>
        <v>0.25955404693626732</v>
      </c>
      <c r="O1374" s="2">
        <f t="shared" si="87"/>
        <v>4435000000</v>
      </c>
    </row>
    <row r="1375" spans="1:15" x14ac:dyDescent="0.3">
      <c r="A1375" t="s">
        <v>478</v>
      </c>
      <c r="B1375">
        <v>3</v>
      </c>
      <c r="C1375">
        <v>2014</v>
      </c>
      <c r="D1375" s="1">
        <v>42004</v>
      </c>
      <c r="E1375" s="2">
        <v>18467000000</v>
      </c>
      <c r="F1375" s="2">
        <v>11031000000</v>
      </c>
      <c r="G1375" s="2">
        <v>981000000</v>
      </c>
      <c r="H1375">
        <v>0</v>
      </c>
      <c r="I1375" s="2">
        <v>1945000000</v>
      </c>
      <c r="J1375" t="s">
        <v>38</v>
      </c>
      <c r="K1375" t="s">
        <v>41</v>
      </c>
      <c r="L1375" s="37">
        <f t="shared" si="84"/>
        <v>0.40266421183733148</v>
      </c>
      <c r="M1375" s="2">
        <f t="shared" si="85"/>
        <v>7436000000</v>
      </c>
      <c r="N1375" s="37">
        <f t="shared" si="86"/>
        <v>0.24421941842205014</v>
      </c>
      <c r="O1375" s="2">
        <f t="shared" si="87"/>
        <v>4510000000</v>
      </c>
    </row>
    <row r="1376" spans="1:15" x14ac:dyDescent="0.3">
      <c r="A1376" t="s">
        <v>478</v>
      </c>
      <c r="B1376">
        <v>4</v>
      </c>
      <c r="C1376">
        <v>2015</v>
      </c>
      <c r="D1376" s="1">
        <v>42369</v>
      </c>
      <c r="E1376" s="2">
        <v>17489000000</v>
      </c>
      <c r="F1376" s="2">
        <v>9811000000</v>
      </c>
      <c r="G1376" s="2">
        <v>997000000</v>
      </c>
      <c r="H1376">
        <v>0</v>
      </c>
      <c r="I1376" s="2">
        <v>2034000000</v>
      </c>
      <c r="J1376" t="s">
        <v>38</v>
      </c>
      <c r="K1376" t="s">
        <v>41</v>
      </c>
      <c r="L1376" s="37">
        <f t="shared" si="84"/>
        <v>0.43901881182457547</v>
      </c>
      <c r="M1376" s="2">
        <f t="shared" si="85"/>
        <v>7678000000</v>
      </c>
      <c r="N1376" s="37">
        <f t="shared" si="86"/>
        <v>0.26570987477843216</v>
      </c>
      <c r="O1376" s="2">
        <f t="shared" si="87"/>
        <v>4647000000</v>
      </c>
    </row>
    <row r="1377" spans="1:15" x14ac:dyDescent="0.3">
      <c r="A1377" t="s">
        <v>479</v>
      </c>
      <c r="B1377">
        <v>1</v>
      </c>
      <c r="C1377">
        <v>2012</v>
      </c>
      <c r="D1377" s="1">
        <v>41274</v>
      </c>
      <c r="E1377" s="2">
        <v>4256157000</v>
      </c>
      <c r="F1377" s="2">
        <v>800380000</v>
      </c>
      <c r="G1377" s="2">
        <v>376687000</v>
      </c>
      <c r="H1377">
        <v>0</v>
      </c>
      <c r="I1377" s="2">
        <v>1068382000</v>
      </c>
      <c r="J1377" t="s">
        <v>48</v>
      </c>
      <c r="K1377" t="s">
        <v>49</v>
      </c>
      <c r="L1377" s="37">
        <f t="shared" si="84"/>
        <v>0.81194772655238046</v>
      </c>
      <c r="M1377" s="2">
        <f t="shared" si="85"/>
        <v>3455777000</v>
      </c>
      <c r="N1377" s="37">
        <f t="shared" si="86"/>
        <v>0.47242336220209924</v>
      </c>
      <c r="O1377" s="2">
        <f t="shared" si="87"/>
        <v>2010708000</v>
      </c>
    </row>
    <row r="1378" spans="1:15" x14ac:dyDescent="0.3">
      <c r="A1378" t="s">
        <v>479</v>
      </c>
      <c r="B1378">
        <v>2</v>
      </c>
      <c r="C1378">
        <v>2013</v>
      </c>
      <c r="D1378" s="1">
        <v>41639</v>
      </c>
      <c r="E1378" s="2">
        <v>4543849000</v>
      </c>
      <c r="F1378" s="2">
        <v>837946000</v>
      </c>
      <c r="G1378" s="2">
        <v>402369000</v>
      </c>
      <c r="H1378">
        <v>0</v>
      </c>
      <c r="I1378" s="2">
        <v>1107700000</v>
      </c>
      <c r="J1378" t="s">
        <v>48</v>
      </c>
      <c r="K1378" t="s">
        <v>49</v>
      </c>
      <c r="L1378" s="37">
        <f t="shared" si="84"/>
        <v>0.81558674154884991</v>
      </c>
      <c r="M1378" s="2">
        <f t="shared" si="85"/>
        <v>3705903000</v>
      </c>
      <c r="N1378" s="37">
        <f t="shared" si="86"/>
        <v>0.48325417503970752</v>
      </c>
      <c r="O1378" s="2">
        <f t="shared" si="87"/>
        <v>2195834000</v>
      </c>
    </row>
    <row r="1379" spans="1:15" x14ac:dyDescent="0.3">
      <c r="A1379" t="s">
        <v>479</v>
      </c>
      <c r="B1379">
        <v>3</v>
      </c>
      <c r="C1379">
        <v>2014</v>
      </c>
      <c r="D1379" s="1">
        <v>42004</v>
      </c>
      <c r="E1379" s="2">
        <v>4870818000</v>
      </c>
      <c r="F1379" s="2">
        <v>882803000</v>
      </c>
      <c r="G1379" s="2">
        <v>446845000</v>
      </c>
      <c r="H1379">
        <v>0</v>
      </c>
      <c r="I1379" s="2">
        <v>1143827000</v>
      </c>
      <c r="J1379" t="s">
        <v>48</v>
      </c>
      <c r="K1379" t="s">
        <v>49</v>
      </c>
      <c r="L1379" s="37">
        <f t="shared" si="84"/>
        <v>0.8187567262829365</v>
      </c>
      <c r="M1379" s="2">
        <f t="shared" si="85"/>
        <v>3988015000</v>
      </c>
      <c r="N1379" s="37">
        <f t="shared" si="86"/>
        <v>0.49218488557774076</v>
      </c>
      <c r="O1379" s="2">
        <f t="shared" si="87"/>
        <v>2397343000</v>
      </c>
    </row>
    <row r="1380" spans="1:15" x14ac:dyDescent="0.3">
      <c r="A1380" t="s">
        <v>479</v>
      </c>
      <c r="B1380">
        <v>4</v>
      </c>
      <c r="C1380">
        <v>2015</v>
      </c>
      <c r="D1380" s="1">
        <v>42369</v>
      </c>
      <c r="E1380" s="2">
        <v>5266103000</v>
      </c>
      <c r="F1380" s="2">
        <v>960192000</v>
      </c>
      <c r="G1380" s="2">
        <v>452835000</v>
      </c>
      <c r="H1380">
        <v>0</v>
      </c>
      <c r="I1380" s="2">
        <v>1177568000</v>
      </c>
      <c r="J1380" t="s">
        <v>48</v>
      </c>
      <c r="K1380" t="s">
        <v>49</v>
      </c>
      <c r="L1380" s="37">
        <f t="shared" si="84"/>
        <v>0.81766554888880827</v>
      </c>
      <c r="M1380" s="2">
        <f t="shared" si="85"/>
        <v>4305911000</v>
      </c>
      <c r="N1380" s="37">
        <f t="shared" si="86"/>
        <v>0.50806222362152809</v>
      </c>
      <c r="O1380" s="2">
        <f t="shared" si="87"/>
        <v>2675508000</v>
      </c>
    </row>
    <row r="1381" spans="1:15" x14ac:dyDescent="0.3">
      <c r="A1381" t="s">
        <v>480</v>
      </c>
      <c r="B1381">
        <v>1</v>
      </c>
      <c r="C1381">
        <v>2013</v>
      </c>
      <c r="D1381" s="1">
        <v>41307</v>
      </c>
      <c r="E1381" s="2">
        <v>24380510000</v>
      </c>
      <c r="F1381" s="2">
        <v>17889249000</v>
      </c>
      <c r="G1381" s="2">
        <v>4884284000</v>
      </c>
      <c r="H1381">
        <v>0</v>
      </c>
      <c r="I1381" s="2">
        <v>78900000</v>
      </c>
      <c r="J1381" t="s">
        <v>15</v>
      </c>
      <c r="K1381" t="s">
        <v>75</v>
      </c>
      <c r="L1381" s="37">
        <f t="shared" si="84"/>
        <v>0.26624795789751732</v>
      </c>
      <c r="M1381" s="2">
        <f t="shared" si="85"/>
        <v>6491261000</v>
      </c>
      <c r="N1381" s="37">
        <f t="shared" si="86"/>
        <v>6.2676170432858044E-2</v>
      </c>
      <c r="O1381" s="2">
        <f t="shared" si="87"/>
        <v>1528077000</v>
      </c>
    </row>
    <row r="1382" spans="1:15" x14ac:dyDescent="0.3">
      <c r="A1382" t="s">
        <v>480</v>
      </c>
      <c r="B1382">
        <v>2</v>
      </c>
      <c r="C1382">
        <v>2014</v>
      </c>
      <c r="D1382" s="1">
        <v>41671</v>
      </c>
      <c r="E1382" s="2">
        <v>23114000000</v>
      </c>
      <c r="F1382" s="2">
        <v>17082000000</v>
      </c>
      <c r="G1382" s="2">
        <v>4735000000</v>
      </c>
      <c r="H1382">
        <v>0</v>
      </c>
      <c r="I1382" s="2">
        <v>55000000</v>
      </c>
      <c r="J1382" t="s">
        <v>15</v>
      </c>
      <c r="K1382" t="s">
        <v>75</v>
      </c>
      <c r="L1382" s="37">
        <f t="shared" si="84"/>
        <v>0.26096737907761525</v>
      </c>
      <c r="M1382" s="2">
        <f t="shared" si="85"/>
        <v>6032000000</v>
      </c>
      <c r="N1382" s="37">
        <f t="shared" si="86"/>
        <v>5.3733667906896251E-2</v>
      </c>
      <c r="O1382" s="2">
        <f t="shared" si="87"/>
        <v>1242000000</v>
      </c>
    </row>
    <row r="1383" spans="1:15" x14ac:dyDescent="0.3">
      <c r="A1383" t="s">
        <v>480</v>
      </c>
      <c r="B1383">
        <v>3</v>
      </c>
      <c r="C1383">
        <v>2015</v>
      </c>
      <c r="D1383" s="1">
        <v>42035</v>
      </c>
      <c r="E1383" s="2">
        <v>22492000000</v>
      </c>
      <c r="F1383" s="2">
        <v>16691000000</v>
      </c>
      <c r="G1383" s="2">
        <v>4816000000</v>
      </c>
      <c r="H1383">
        <v>0</v>
      </c>
      <c r="I1383" s="2">
        <v>62000000</v>
      </c>
      <c r="J1383" t="s">
        <v>15</v>
      </c>
      <c r="K1383" t="s">
        <v>75</v>
      </c>
      <c r="L1383" s="37">
        <f t="shared" si="84"/>
        <v>0.25791392495109378</v>
      </c>
      <c r="M1383" s="2">
        <f t="shared" si="85"/>
        <v>5801000000</v>
      </c>
      <c r="N1383" s="37">
        <f t="shared" si="86"/>
        <v>4.1036813089098345E-2</v>
      </c>
      <c r="O1383" s="2">
        <f t="shared" si="87"/>
        <v>923000000</v>
      </c>
    </row>
    <row r="1384" spans="1:15" x14ac:dyDescent="0.3">
      <c r="A1384" t="s">
        <v>480</v>
      </c>
      <c r="B1384">
        <v>4</v>
      </c>
      <c r="C1384">
        <v>2016</v>
      </c>
      <c r="D1384" s="1">
        <v>42399</v>
      </c>
      <c r="E1384" s="2">
        <v>21059000000</v>
      </c>
      <c r="F1384" s="2">
        <v>15545000000</v>
      </c>
      <c r="G1384" s="2">
        <v>4600000000</v>
      </c>
      <c r="H1384">
        <v>0</v>
      </c>
      <c r="I1384" s="2">
        <v>67000000</v>
      </c>
      <c r="J1384" t="s">
        <v>15</v>
      </c>
      <c r="K1384" t="s">
        <v>75</v>
      </c>
      <c r="L1384" s="37">
        <f t="shared" si="84"/>
        <v>0.26183579467211171</v>
      </c>
      <c r="M1384" s="2">
        <f t="shared" si="85"/>
        <v>5514000000</v>
      </c>
      <c r="N1384" s="37">
        <f t="shared" si="86"/>
        <v>4.0220333349161877E-2</v>
      </c>
      <c r="O1384" s="2">
        <f t="shared" si="87"/>
        <v>847000000</v>
      </c>
    </row>
    <row r="1385" spans="1:15" x14ac:dyDescent="0.3">
      <c r="A1385" t="s">
        <v>481</v>
      </c>
      <c r="B1385">
        <v>1</v>
      </c>
      <c r="C1385">
        <v>2012</v>
      </c>
      <c r="D1385" s="1">
        <v>41274</v>
      </c>
      <c r="E1385" s="2">
        <v>1913149000</v>
      </c>
      <c r="F1385" s="2">
        <v>1055844000</v>
      </c>
      <c r="G1385" s="2">
        <v>356817000</v>
      </c>
      <c r="H1385">
        <v>0</v>
      </c>
      <c r="I1385" s="2">
        <v>31652000</v>
      </c>
      <c r="J1385" t="s">
        <v>12</v>
      </c>
      <c r="K1385" t="s">
        <v>160</v>
      </c>
      <c r="L1385" s="37">
        <f t="shared" si="84"/>
        <v>0.44811198709562083</v>
      </c>
      <c r="M1385" s="2">
        <f t="shared" si="85"/>
        <v>857305000</v>
      </c>
      <c r="N1385" s="37">
        <f t="shared" si="86"/>
        <v>0.24505984635802019</v>
      </c>
      <c r="O1385" s="2">
        <f t="shared" si="87"/>
        <v>468836000</v>
      </c>
    </row>
    <row r="1386" spans="1:15" x14ac:dyDescent="0.3">
      <c r="A1386" t="s">
        <v>481</v>
      </c>
      <c r="B1386">
        <v>2</v>
      </c>
      <c r="C1386">
        <v>2013</v>
      </c>
      <c r="D1386" s="1">
        <v>41639</v>
      </c>
      <c r="E1386" s="2">
        <v>2142807000</v>
      </c>
      <c r="F1386" s="2">
        <v>1178173000</v>
      </c>
      <c r="G1386" s="2">
        <v>390610000</v>
      </c>
      <c r="H1386">
        <v>0</v>
      </c>
      <c r="I1386" s="2">
        <v>38405000</v>
      </c>
      <c r="J1386" t="s">
        <v>12</v>
      </c>
      <c r="K1386" t="s">
        <v>160</v>
      </c>
      <c r="L1386" s="37">
        <f t="shared" si="84"/>
        <v>0.45017306738311014</v>
      </c>
      <c r="M1386" s="2">
        <f t="shared" si="85"/>
        <v>964634000</v>
      </c>
      <c r="N1386" s="37">
        <f t="shared" si="86"/>
        <v>0.24996138242968219</v>
      </c>
      <c r="O1386" s="2">
        <f t="shared" si="87"/>
        <v>535619000</v>
      </c>
    </row>
    <row r="1387" spans="1:15" x14ac:dyDescent="0.3">
      <c r="A1387" t="s">
        <v>481</v>
      </c>
      <c r="B1387">
        <v>3</v>
      </c>
      <c r="C1387">
        <v>2014</v>
      </c>
      <c r="D1387" s="1">
        <v>42004</v>
      </c>
      <c r="E1387" s="2">
        <v>2555601000</v>
      </c>
      <c r="F1387" s="2">
        <v>1461190000</v>
      </c>
      <c r="G1387" s="2">
        <v>489937000</v>
      </c>
      <c r="H1387">
        <v>0</v>
      </c>
      <c r="I1387" s="2">
        <v>48138000</v>
      </c>
      <c r="J1387" t="s">
        <v>12</v>
      </c>
      <c r="K1387" t="s">
        <v>160</v>
      </c>
      <c r="L1387" s="37">
        <f t="shared" si="84"/>
        <v>0.42824016738137138</v>
      </c>
      <c r="M1387" s="2">
        <f t="shared" si="85"/>
        <v>1094411000</v>
      </c>
      <c r="N1387" s="37">
        <f t="shared" si="86"/>
        <v>0.21769282450585986</v>
      </c>
      <c r="O1387" s="2">
        <f t="shared" si="87"/>
        <v>556336000</v>
      </c>
    </row>
    <row r="1388" spans="1:15" x14ac:dyDescent="0.3">
      <c r="A1388" t="s">
        <v>481</v>
      </c>
      <c r="B1388">
        <v>4</v>
      </c>
      <c r="C1388">
        <v>2015</v>
      </c>
      <c r="D1388" s="1">
        <v>42369</v>
      </c>
      <c r="E1388" s="2">
        <v>2985908000</v>
      </c>
      <c r="F1388" s="2">
        <v>1719723000</v>
      </c>
      <c r="G1388" s="2">
        <v>712803000</v>
      </c>
      <c r="H1388">
        <v>0</v>
      </c>
      <c r="I1388" s="2">
        <v>65770000</v>
      </c>
      <c r="J1388" t="s">
        <v>12</v>
      </c>
      <c r="K1388" t="s">
        <v>160</v>
      </c>
      <c r="L1388" s="37">
        <f t="shared" si="84"/>
        <v>0.42405358771938051</v>
      </c>
      <c r="M1388" s="2">
        <f t="shared" si="85"/>
        <v>1266185000</v>
      </c>
      <c r="N1388" s="37">
        <f t="shared" si="86"/>
        <v>0.16330442866960401</v>
      </c>
      <c r="O1388" s="2">
        <f t="shared" si="87"/>
        <v>487612000</v>
      </c>
    </row>
    <row r="1389" spans="1:15" x14ac:dyDescent="0.3">
      <c r="A1389" t="s">
        <v>482</v>
      </c>
      <c r="B1389">
        <v>1</v>
      </c>
      <c r="C1389">
        <v>2012</v>
      </c>
      <c r="D1389" s="1">
        <v>41274</v>
      </c>
      <c r="E1389" s="2">
        <v>9647000000</v>
      </c>
      <c r="F1389" s="2">
        <v>6646000000</v>
      </c>
      <c r="G1389" s="2">
        <v>359000000</v>
      </c>
      <c r="H1389">
        <v>0</v>
      </c>
      <c r="I1389" s="2">
        <v>1090000000</v>
      </c>
      <c r="J1389" t="s">
        <v>38</v>
      </c>
      <c r="K1389" t="s">
        <v>39</v>
      </c>
      <c r="L1389" s="37">
        <f t="shared" si="84"/>
        <v>0.3110811651290557</v>
      </c>
      <c r="M1389" s="2">
        <f t="shared" si="85"/>
        <v>3001000000</v>
      </c>
      <c r="N1389" s="37">
        <f t="shared" si="86"/>
        <v>0.1608790297501814</v>
      </c>
      <c r="O1389" s="2">
        <f t="shared" si="87"/>
        <v>1552000000</v>
      </c>
    </row>
    <row r="1390" spans="1:15" x14ac:dyDescent="0.3">
      <c r="A1390" t="s">
        <v>482</v>
      </c>
      <c r="B1390">
        <v>2</v>
      </c>
      <c r="C1390">
        <v>2013</v>
      </c>
      <c r="D1390" s="1">
        <v>41639</v>
      </c>
      <c r="E1390" s="2">
        <v>10557000000</v>
      </c>
      <c r="F1390" s="2">
        <v>7186000000</v>
      </c>
      <c r="G1390" s="2">
        <v>574000000</v>
      </c>
      <c r="H1390">
        <v>0</v>
      </c>
      <c r="I1390" s="2">
        <v>1113000000</v>
      </c>
      <c r="J1390" t="s">
        <v>38</v>
      </c>
      <c r="K1390" t="s">
        <v>39</v>
      </c>
      <c r="L1390" s="37">
        <f t="shared" si="84"/>
        <v>0.31931419910959558</v>
      </c>
      <c r="M1390" s="2">
        <f t="shared" si="85"/>
        <v>3371000000</v>
      </c>
      <c r="N1390" s="37">
        <f t="shared" si="86"/>
        <v>0.15951501373496257</v>
      </c>
      <c r="O1390" s="2">
        <f t="shared" si="87"/>
        <v>1684000000</v>
      </c>
    </row>
    <row r="1391" spans="1:15" x14ac:dyDescent="0.3">
      <c r="A1391" t="s">
        <v>482</v>
      </c>
      <c r="B1391">
        <v>3</v>
      </c>
      <c r="C1391">
        <v>2014</v>
      </c>
      <c r="D1391" s="1">
        <v>42004</v>
      </c>
      <c r="E1391" s="2">
        <v>11035000000</v>
      </c>
      <c r="F1391" s="2">
        <v>7689000000</v>
      </c>
      <c r="G1391" s="2">
        <v>414000000</v>
      </c>
      <c r="H1391">
        <v>0</v>
      </c>
      <c r="I1391" s="2">
        <v>1156000000</v>
      </c>
      <c r="J1391" t="s">
        <v>38</v>
      </c>
      <c r="K1391" t="s">
        <v>39</v>
      </c>
      <c r="L1391" s="37">
        <f t="shared" si="84"/>
        <v>0.30321703670140465</v>
      </c>
      <c r="M1391" s="2">
        <f t="shared" si="85"/>
        <v>3346000000</v>
      </c>
      <c r="N1391" s="37">
        <f t="shared" si="86"/>
        <v>0.16094245582238331</v>
      </c>
      <c r="O1391" s="2">
        <f t="shared" si="87"/>
        <v>1776000000</v>
      </c>
    </row>
    <row r="1392" spans="1:15" x14ac:dyDescent="0.3">
      <c r="A1392" t="s">
        <v>482</v>
      </c>
      <c r="B1392">
        <v>4</v>
      </c>
      <c r="C1392">
        <v>2015</v>
      </c>
      <c r="D1392" s="1">
        <v>42369</v>
      </c>
      <c r="E1392" s="2">
        <v>10231000000</v>
      </c>
      <c r="F1392" s="2">
        <v>6648000000</v>
      </c>
      <c r="G1392" s="2">
        <v>397000000</v>
      </c>
      <c r="H1392">
        <v>0</v>
      </c>
      <c r="I1392" s="2">
        <v>1250000000</v>
      </c>
      <c r="J1392" t="s">
        <v>38</v>
      </c>
      <c r="K1392" t="s">
        <v>39</v>
      </c>
      <c r="L1392" s="37">
        <f t="shared" si="84"/>
        <v>0.35021014563581276</v>
      </c>
      <c r="M1392" s="2">
        <f t="shared" si="85"/>
        <v>3583000000</v>
      </c>
      <c r="N1392" s="37">
        <f t="shared" si="86"/>
        <v>0.18922881438764538</v>
      </c>
      <c r="O1392" s="2">
        <f t="shared" si="87"/>
        <v>1936000000</v>
      </c>
    </row>
    <row r="1393" spans="1:15" x14ac:dyDescent="0.3">
      <c r="A1393" t="s">
        <v>348</v>
      </c>
      <c r="B1393">
        <v>3</v>
      </c>
      <c r="C1393">
        <v>2014</v>
      </c>
      <c r="D1393" s="1">
        <v>42004</v>
      </c>
      <c r="E1393" s="2">
        <v>6011600000</v>
      </c>
      <c r="F1393" s="2">
        <v>3808500000</v>
      </c>
      <c r="G1393" s="2">
        <v>1198200000</v>
      </c>
      <c r="H1393">
        <v>0</v>
      </c>
      <c r="I1393" s="2">
        <v>76700000</v>
      </c>
      <c r="J1393" t="s">
        <v>21</v>
      </c>
      <c r="K1393" t="s">
        <v>195</v>
      </c>
      <c r="L1393" s="37">
        <f t="shared" si="84"/>
        <v>0.36647481535697646</v>
      </c>
      <c r="M1393" s="2">
        <f t="shared" si="85"/>
        <v>2203100000</v>
      </c>
      <c r="N1393" s="37">
        <f t="shared" si="86"/>
        <v>0.15440149045179319</v>
      </c>
      <c r="O1393" s="2">
        <f t="shared" si="87"/>
        <v>928200000</v>
      </c>
    </row>
    <row r="1394" spans="1:15" x14ac:dyDescent="0.3">
      <c r="A1394" t="s">
        <v>348</v>
      </c>
      <c r="B1394">
        <v>4</v>
      </c>
      <c r="C1394">
        <v>2015</v>
      </c>
      <c r="D1394" s="1">
        <v>42369</v>
      </c>
      <c r="E1394" s="2">
        <v>8680100000</v>
      </c>
      <c r="F1394" s="2">
        <v>5776800000</v>
      </c>
      <c r="G1394" s="2">
        <v>1622000000</v>
      </c>
      <c r="H1394">
        <v>0</v>
      </c>
      <c r="I1394" s="2">
        <v>164500000</v>
      </c>
      <c r="J1394" t="s">
        <v>21</v>
      </c>
      <c r="K1394" t="s">
        <v>195</v>
      </c>
      <c r="L1394" s="37">
        <f t="shared" si="84"/>
        <v>0.33447771339039878</v>
      </c>
      <c r="M1394" s="2">
        <f t="shared" si="85"/>
        <v>2903300000</v>
      </c>
      <c r="N1394" s="37">
        <f t="shared" si="86"/>
        <v>0.12866211218764761</v>
      </c>
      <c r="O1394" s="2">
        <f t="shared" si="87"/>
        <v>1116800000</v>
      </c>
    </row>
    <row r="1395" spans="1:15" x14ac:dyDescent="0.3">
      <c r="A1395" t="s">
        <v>353</v>
      </c>
      <c r="B1395">
        <v>1</v>
      </c>
      <c r="C1395">
        <v>2012</v>
      </c>
      <c r="D1395" s="1">
        <v>41274</v>
      </c>
      <c r="E1395" s="2">
        <v>22603400000</v>
      </c>
      <c r="F1395" s="2">
        <v>4796500000</v>
      </c>
      <c r="G1395" s="2">
        <v>6839500000</v>
      </c>
      <c r="H1395" s="2">
        <v>5278100000</v>
      </c>
      <c r="I1395">
        <v>0</v>
      </c>
      <c r="J1395" t="s">
        <v>21</v>
      </c>
      <c r="K1395" t="s">
        <v>22</v>
      </c>
      <c r="L1395" s="37">
        <f t="shared" si="84"/>
        <v>0.78779741100896328</v>
      </c>
      <c r="M1395" s="2">
        <f t="shared" si="85"/>
        <v>17806900000</v>
      </c>
      <c r="N1395" s="37">
        <f t="shared" si="86"/>
        <v>0.25170107152021376</v>
      </c>
      <c r="O1395" s="2">
        <f t="shared" si="87"/>
        <v>5689300000</v>
      </c>
    </row>
    <row r="1396" spans="1:15" x14ac:dyDescent="0.3">
      <c r="A1396" t="s">
        <v>353</v>
      </c>
      <c r="B1396">
        <v>2</v>
      </c>
      <c r="C1396">
        <v>2013</v>
      </c>
      <c r="D1396" s="1">
        <v>41639</v>
      </c>
      <c r="E1396" s="2">
        <v>23113100000</v>
      </c>
      <c r="F1396" s="2">
        <v>4908100000</v>
      </c>
      <c r="G1396" s="2">
        <v>6606700000</v>
      </c>
      <c r="H1396" s="2">
        <v>5531300000</v>
      </c>
      <c r="I1396">
        <v>0</v>
      </c>
      <c r="J1396" t="s">
        <v>21</v>
      </c>
      <c r="K1396" t="s">
        <v>22</v>
      </c>
      <c r="L1396" s="37">
        <f t="shared" si="84"/>
        <v>0.78764856293617036</v>
      </c>
      <c r="M1396" s="2">
        <f t="shared" si="85"/>
        <v>18205000000</v>
      </c>
      <c r="N1396" s="37">
        <f t="shared" si="86"/>
        <v>0.26249183363547079</v>
      </c>
      <c r="O1396" s="2">
        <f t="shared" si="87"/>
        <v>6067000000</v>
      </c>
    </row>
    <row r="1397" spans="1:15" x14ac:dyDescent="0.3">
      <c r="A1397" t="s">
        <v>484</v>
      </c>
      <c r="B1397">
        <v>1</v>
      </c>
      <c r="C1397">
        <v>2013</v>
      </c>
      <c r="D1397" s="1">
        <v>41453</v>
      </c>
      <c r="E1397" s="2">
        <v>14351000000</v>
      </c>
      <c r="F1397" s="2">
        <v>10411000000</v>
      </c>
      <c r="G1397" s="2">
        <v>635000000</v>
      </c>
      <c r="H1397" s="2">
        <v>1133000000</v>
      </c>
      <c r="I1397" s="2">
        <v>79000000</v>
      </c>
      <c r="J1397" t="s">
        <v>18</v>
      </c>
      <c r="K1397" t="s">
        <v>485</v>
      </c>
      <c r="L1397" s="37">
        <f t="shared" si="84"/>
        <v>0.2745453278517177</v>
      </c>
      <c r="M1397" s="2">
        <f t="shared" si="85"/>
        <v>3940000000</v>
      </c>
      <c r="N1397" s="37">
        <f t="shared" si="86"/>
        <v>0.14584349522681347</v>
      </c>
      <c r="O1397" s="2">
        <f t="shared" si="87"/>
        <v>2093000000</v>
      </c>
    </row>
    <row r="1398" spans="1:15" x14ac:dyDescent="0.3">
      <c r="A1398" t="s">
        <v>484</v>
      </c>
      <c r="B1398">
        <v>2</v>
      </c>
      <c r="C1398">
        <v>2014</v>
      </c>
      <c r="D1398" s="1">
        <v>41817</v>
      </c>
      <c r="E1398" s="2">
        <v>13724000000</v>
      </c>
      <c r="F1398" s="2">
        <v>9878000000</v>
      </c>
      <c r="G1398" s="2">
        <v>722000000</v>
      </c>
      <c r="H1398" s="2">
        <v>1226000000</v>
      </c>
      <c r="I1398" s="2">
        <v>98000000</v>
      </c>
      <c r="J1398" t="s">
        <v>18</v>
      </c>
      <c r="K1398" t="s">
        <v>485</v>
      </c>
      <c r="L1398" s="37">
        <f t="shared" si="84"/>
        <v>0.28023899737685809</v>
      </c>
      <c r="M1398" s="2">
        <f t="shared" si="85"/>
        <v>3846000000</v>
      </c>
      <c r="N1398" s="37">
        <f t="shared" si="86"/>
        <v>0.13115709705625181</v>
      </c>
      <c r="O1398" s="2">
        <f t="shared" si="87"/>
        <v>1800000000</v>
      </c>
    </row>
    <row r="1399" spans="1:15" x14ac:dyDescent="0.3">
      <c r="A1399" t="s">
        <v>484</v>
      </c>
      <c r="B1399">
        <v>3</v>
      </c>
      <c r="C1399">
        <v>2015</v>
      </c>
      <c r="D1399" s="1">
        <v>42188</v>
      </c>
      <c r="E1399" s="2">
        <v>13739000000</v>
      </c>
      <c r="F1399" s="2">
        <v>9930000000</v>
      </c>
      <c r="G1399" s="2">
        <v>237000000</v>
      </c>
      <c r="H1399" s="2">
        <v>1353000000</v>
      </c>
      <c r="I1399" s="2">
        <v>129000000</v>
      </c>
      <c r="J1399" t="s">
        <v>18</v>
      </c>
      <c r="K1399" t="s">
        <v>485</v>
      </c>
      <c r="L1399" s="37">
        <f t="shared" si="84"/>
        <v>0.27723997379721954</v>
      </c>
      <c r="M1399" s="2">
        <f t="shared" si="85"/>
        <v>3809000000</v>
      </c>
      <c r="N1399" s="37">
        <f t="shared" si="86"/>
        <v>0.1521216973578863</v>
      </c>
      <c r="O1399" s="2">
        <f t="shared" si="87"/>
        <v>2090000000</v>
      </c>
    </row>
    <row r="1400" spans="1:15" x14ac:dyDescent="0.3">
      <c r="A1400" t="s">
        <v>484</v>
      </c>
      <c r="B1400">
        <v>4</v>
      </c>
      <c r="C1400">
        <v>2016</v>
      </c>
      <c r="D1400" s="1">
        <v>42552</v>
      </c>
      <c r="E1400" s="2">
        <v>11160000000</v>
      </c>
      <c r="F1400" s="2">
        <v>8545000000</v>
      </c>
      <c r="G1400" s="2">
        <v>635000000</v>
      </c>
      <c r="H1400" s="2">
        <v>1237000000</v>
      </c>
      <c r="I1400" s="2">
        <v>123000000</v>
      </c>
      <c r="J1400" t="s">
        <v>18</v>
      </c>
      <c r="K1400" t="s">
        <v>485</v>
      </c>
      <c r="L1400" s="37">
        <f t="shared" si="84"/>
        <v>0.23431899641577059</v>
      </c>
      <c r="M1400" s="2">
        <f t="shared" si="85"/>
        <v>2615000000</v>
      </c>
      <c r="N1400" s="37">
        <f t="shared" si="86"/>
        <v>5.5555555555555552E-2</v>
      </c>
      <c r="O1400" s="2">
        <f t="shared" si="87"/>
        <v>620000000</v>
      </c>
    </row>
    <row r="1401" spans="1:15" x14ac:dyDescent="0.3">
      <c r="A1401" t="s">
        <v>486</v>
      </c>
      <c r="B1401">
        <v>1</v>
      </c>
      <c r="C1401">
        <v>2013</v>
      </c>
      <c r="D1401" s="1">
        <v>41333</v>
      </c>
      <c r="E1401" s="2">
        <v>2796100000</v>
      </c>
      <c r="F1401" s="2">
        <v>1687800000</v>
      </c>
      <c r="G1401" s="2">
        <v>585400000</v>
      </c>
      <c r="H1401">
        <v>0</v>
      </c>
      <c r="I1401">
        <v>0</v>
      </c>
      <c r="J1401" t="s">
        <v>32</v>
      </c>
      <c r="K1401" t="s">
        <v>487</v>
      </c>
      <c r="L1401" s="37">
        <f t="shared" si="84"/>
        <v>0.39637352026036266</v>
      </c>
      <c r="M1401" s="2">
        <f t="shared" si="85"/>
        <v>1108300000</v>
      </c>
      <c r="N1401" s="37">
        <f t="shared" si="86"/>
        <v>0.18701047888129896</v>
      </c>
      <c r="O1401" s="2">
        <f t="shared" si="87"/>
        <v>522900000</v>
      </c>
    </row>
    <row r="1402" spans="1:15" x14ac:dyDescent="0.3">
      <c r="A1402" t="s">
        <v>486</v>
      </c>
      <c r="B1402">
        <v>2</v>
      </c>
      <c r="C1402">
        <v>2014</v>
      </c>
      <c r="D1402" s="1">
        <v>41698</v>
      </c>
      <c r="E1402" s="2">
        <v>4867700000</v>
      </c>
      <c r="F1402" s="2">
        <v>2876000000</v>
      </c>
      <c r="G1402" s="2">
        <v>895100000</v>
      </c>
      <c r="H1402">
        <v>0</v>
      </c>
      <c r="I1402">
        <v>0</v>
      </c>
      <c r="J1402" t="s">
        <v>32</v>
      </c>
      <c r="K1402" t="s">
        <v>487</v>
      </c>
      <c r="L1402" s="37">
        <f t="shared" si="84"/>
        <v>0.40916654682909792</v>
      </c>
      <c r="M1402" s="2">
        <f t="shared" si="85"/>
        <v>1991700000</v>
      </c>
      <c r="N1402" s="37">
        <f t="shared" si="86"/>
        <v>0.22528093350042114</v>
      </c>
      <c r="O1402" s="2">
        <f t="shared" si="87"/>
        <v>1096600000</v>
      </c>
    </row>
    <row r="1403" spans="1:15" x14ac:dyDescent="0.3">
      <c r="A1403" t="s">
        <v>486</v>
      </c>
      <c r="B1403">
        <v>3</v>
      </c>
      <c r="C1403">
        <v>2015</v>
      </c>
      <c r="D1403" s="1">
        <v>42063</v>
      </c>
      <c r="E1403" s="2">
        <v>6028000000</v>
      </c>
      <c r="F1403" s="2">
        <v>3449400000</v>
      </c>
      <c r="G1403" s="2">
        <v>1078400000</v>
      </c>
      <c r="H1403">
        <v>0</v>
      </c>
      <c r="I1403">
        <v>0</v>
      </c>
      <c r="J1403" t="s">
        <v>32</v>
      </c>
      <c r="K1403" t="s">
        <v>487</v>
      </c>
      <c r="L1403" s="37">
        <f t="shared" si="84"/>
        <v>0.42777040477770401</v>
      </c>
      <c r="M1403" s="2">
        <f t="shared" si="85"/>
        <v>2578600000</v>
      </c>
      <c r="N1403" s="37">
        <f t="shared" si="86"/>
        <v>0.24887193098871932</v>
      </c>
      <c r="O1403" s="2">
        <f t="shared" si="87"/>
        <v>1500200000</v>
      </c>
    </row>
    <row r="1404" spans="1:15" x14ac:dyDescent="0.3">
      <c r="A1404" t="s">
        <v>486</v>
      </c>
      <c r="B1404">
        <v>4</v>
      </c>
      <c r="C1404">
        <v>2016</v>
      </c>
      <c r="D1404" s="1">
        <v>42429</v>
      </c>
      <c r="E1404" s="2">
        <v>6548400000</v>
      </c>
      <c r="F1404" s="2">
        <v>3606100000</v>
      </c>
      <c r="G1404" s="2">
        <v>1177200000</v>
      </c>
      <c r="H1404">
        <v>0</v>
      </c>
      <c r="I1404">
        <v>0</v>
      </c>
      <c r="J1404" t="s">
        <v>32</v>
      </c>
      <c r="K1404" t="s">
        <v>487</v>
      </c>
      <c r="L1404" s="37">
        <f t="shared" si="84"/>
        <v>0.4493158634170179</v>
      </c>
      <c r="M1404" s="2">
        <f t="shared" si="85"/>
        <v>2942300000</v>
      </c>
      <c r="N1404" s="37">
        <f t="shared" si="86"/>
        <v>0.26954675951377438</v>
      </c>
      <c r="O1404" s="2">
        <f t="shared" si="87"/>
        <v>1765100000</v>
      </c>
    </row>
    <row r="1405" spans="1:15" x14ac:dyDescent="0.3">
      <c r="A1405" t="s">
        <v>488</v>
      </c>
      <c r="B1405">
        <v>1</v>
      </c>
      <c r="C1405">
        <v>2013</v>
      </c>
      <c r="D1405" s="1">
        <v>41636</v>
      </c>
      <c r="E1405" s="2">
        <v>10889500000</v>
      </c>
      <c r="F1405" s="2">
        <v>6985800000</v>
      </c>
      <c r="G1405" s="2">
        <v>2960300000</v>
      </c>
      <c r="H1405">
        <v>0</v>
      </c>
      <c r="I1405">
        <v>0</v>
      </c>
      <c r="J1405" t="s">
        <v>15</v>
      </c>
      <c r="K1405" t="s">
        <v>476</v>
      </c>
      <c r="L1405" s="37">
        <f t="shared" si="84"/>
        <v>0.35848294228385147</v>
      </c>
      <c r="M1405" s="2">
        <f t="shared" si="85"/>
        <v>3903700000</v>
      </c>
      <c r="N1405" s="37">
        <f t="shared" si="86"/>
        <v>8.6633913402819229E-2</v>
      </c>
      <c r="O1405" s="2">
        <f t="shared" si="87"/>
        <v>943400000</v>
      </c>
    </row>
    <row r="1406" spans="1:15" x14ac:dyDescent="0.3">
      <c r="A1406" t="s">
        <v>488</v>
      </c>
      <c r="B1406">
        <v>2</v>
      </c>
      <c r="C1406">
        <v>2015</v>
      </c>
      <c r="D1406" s="1">
        <v>42007</v>
      </c>
      <c r="E1406" s="2">
        <v>11338600000</v>
      </c>
      <c r="F1406" s="2">
        <v>7235900000</v>
      </c>
      <c r="G1406" s="2">
        <v>2814600000</v>
      </c>
      <c r="H1406">
        <v>0</v>
      </c>
      <c r="I1406">
        <v>0</v>
      </c>
      <c r="J1406" t="s">
        <v>15</v>
      </c>
      <c r="K1406" t="s">
        <v>476</v>
      </c>
      <c r="L1406" s="37">
        <f t="shared" si="84"/>
        <v>0.36183479441906408</v>
      </c>
      <c r="M1406" s="2">
        <f t="shared" si="85"/>
        <v>4102700000</v>
      </c>
      <c r="N1406" s="37">
        <f t="shared" si="86"/>
        <v>0.113603090328612</v>
      </c>
      <c r="O1406" s="2">
        <f t="shared" si="87"/>
        <v>1288100000</v>
      </c>
    </row>
    <row r="1407" spans="1:15" x14ac:dyDescent="0.3">
      <c r="A1407" t="s">
        <v>488</v>
      </c>
      <c r="B1407">
        <v>3</v>
      </c>
      <c r="C1407">
        <v>2016</v>
      </c>
      <c r="D1407" s="1">
        <v>42371</v>
      </c>
      <c r="E1407" s="2">
        <v>11171800000</v>
      </c>
      <c r="F1407" s="2">
        <v>7099800000</v>
      </c>
      <c r="G1407" s="2">
        <v>2681100000</v>
      </c>
      <c r="H1407">
        <v>0</v>
      </c>
      <c r="I1407">
        <v>0</v>
      </c>
      <c r="J1407" t="s">
        <v>15</v>
      </c>
      <c r="K1407" t="s">
        <v>476</v>
      </c>
      <c r="L1407" s="37">
        <f t="shared" si="84"/>
        <v>0.36448916020694966</v>
      </c>
      <c r="M1407" s="2">
        <f t="shared" si="85"/>
        <v>4072000000</v>
      </c>
      <c r="N1407" s="37">
        <f t="shared" si="86"/>
        <v>0.12450097567088562</v>
      </c>
      <c r="O1407" s="2">
        <f t="shared" si="87"/>
        <v>1390900000</v>
      </c>
    </row>
    <row r="1408" spans="1:15" x14ac:dyDescent="0.3">
      <c r="A1408" t="s">
        <v>488</v>
      </c>
      <c r="B1408">
        <v>4</v>
      </c>
      <c r="C1408">
        <v>2016</v>
      </c>
      <c r="D1408" s="1">
        <v>42735</v>
      </c>
      <c r="E1408" s="2">
        <v>11406900000</v>
      </c>
      <c r="F1408" s="2">
        <v>7139700000</v>
      </c>
      <c r="G1408" s="2">
        <v>2798900000</v>
      </c>
      <c r="H1408">
        <v>0</v>
      </c>
      <c r="I1408">
        <v>0</v>
      </c>
      <c r="J1408" t="s">
        <v>15</v>
      </c>
      <c r="K1408" t="s">
        <v>476</v>
      </c>
      <c r="L1408" s="37">
        <f t="shared" si="84"/>
        <v>0.37408936696210193</v>
      </c>
      <c r="M1408" s="2">
        <f t="shared" si="85"/>
        <v>4267200000</v>
      </c>
      <c r="N1408" s="37">
        <f t="shared" si="86"/>
        <v>0.12872033593702056</v>
      </c>
      <c r="O1408" s="2">
        <f t="shared" si="87"/>
        <v>1468300000</v>
      </c>
    </row>
    <row r="1409" spans="1:15" x14ac:dyDescent="0.3">
      <c r="A1409" t="s">
        <v>489</v>
      </c>
      <c r="B1409">
        <v>1</v>
      </c>
      <c r="C1409">
        <v>2013</v>
      </c>
      <c r="D1409" s="1">
        <v>41544</v>
      </c>
      <c r="E1409" s="2">
        <v>1792000000</v>
      </c>
      <c r="F1409" s="2">
        <v>1025400000</v>
      </c>
      <c r="G1409" s="2">
        <v>159700000</v>
      </c>
      <c r="H1409" s="2">
        <v>226300000</v>
      </c>
      <c r="I1409" s="2">
        <v>29100000</v>
      </c>
      <c r="J1409" t="s">
        <v>18</v>
      </c>
      <c r="K1409" t="s">
        <v>30</v>
      </c>
      <c r="L1409" s="37">
        <f t="shared" si="84"/>
        <v>0.42779017857142854</v>
      </c>
      <c r="M1409" s="2">
        <f t="shared" si="85"/>
        <v>766600000</v>
      </c>
      <c r="N1409" s="37">
        <f t="shared" si="86"/>
        <v>0.19614955357142858</v>
      </c>
      <c r="O1409" s="2">
        <f t="shared" si="87"/>
        <v>351500000</v>
      </c>
    </row>
    <row r="1410" spans="1:15" x14ac:dyDescent="0.3">
      <c r="A1410" t="s">
        <v>489</v>
      </c>
      <c r="B1410">
        <v>2</v>
      </c>
      <c r="C1410">
        <v>2014</v>
      </c>
      <c r="D1410" s="1">
        <v>41915</v>
      </c>
      <c r="E1410" s="2">
        <v>2291500000</v>
      </c>
      <c r="F1410" s="2">
        <v>1268800000</v>
      </c>
      <c r="G1410" s="2">
        <v>179100000</v>
      </c>
      <c r="H1410" s="2">
        <v>252200000</v>
      </c>
      <c r="I1410" s="2">
        <v>25900000</v>
      </c>
      <c r="J1410" t="s">
        <v>18</v>
      </c>
      <c r="K1410" t="s">
        <v>30</v>
      </c>
      <c r="L1410" s="37">
        <f t="shared" ref="L1410:L1473" si="88">1-(F1410/E1410)</f>
        <v>0.44630154920357845</v>
      </c>
      <c r="M1410" s="2">
        <f t="shared" ref="M1410:M1473" si="89">E1410-F1410</f>
        <v>1022700000</v>
      </c>
      <c r="N1410" s="37">
        <f t="shared" ref="N1410:N1473" si="90">O1410/E1410</f>
        <v>0.24678158411520837</v>
      </c>
      <c r="O1410" s="2">
        <f t="shared" ref="O1410:O1473" si="91">M1410-SUM(G1410:I1410)</f>
        <v>565500000</v>
      </c>
    </row>
    <row r="1411" spans="1:15" x14ac:dyDescent="0.3">
      <c r="A1411" t="s">
        <v>489</v>
      </c>
      <c r="B1411">
        <v>3</v>
      </c>
      <c r="C1411">
        <v>2015</v>
      </c>
      <c r="D1411" s="1">
        <v>42279</v>
      </c>
      <c r="E1411" s="2">
        <v>3258400000</v>
      </c>
      <c r="F1411" s="2">
        <v>1703900000</v>
      </c>
      <c r="G1411" s="2">
        <v>191300000</v>
      </c>
      <c r="H1411" s="2">
        <v>303200000</v>
      </c>
      <c r="I1411" s="2">
        <v>33500000</v>
      </c>
      <c r="J1411" t="s">
        <v>18</v>
      </c>
      <c r="K1411" t="s">
        <v>30</v>
      </c>
      <c r="L1411" s="37">
        <f t="shared" si="88"/>
        <v>0.47707463785907189</v>
      </c>
      <c r="M1411" s="2">
        <f t="shared" si="89"/>
        <v>1554500000</v>
      </c>
      <c r="N1411" s="37">
        <f t="shared" si="90"/>
        <v>0.31503191750552417</v>
      </c>
      <c r="O1411" s="2">
        <f t="shared" si="91"/>
        <v>1026500000</v>
      </c>
    </row>
    <row r="1412" spans="1:15" x14ac:dyDescent="0.3">
      <c r="A1412" t="s">
        <v>489</v>
      </c>
      <c r="B1412">
        <v>4</v>
      </c>
      <c r="C1412">
        <v>2016</v>
      </c>
      <c r="D1412" s="1">
        <v>42643</v>
      </c>
      <c r="E1412" s="2">
        <v>3289000000</v>
      </c>
      <c r="F1412" s="2">
        <v>1623800000</v>
      </c>
      <c r="G1412" s="2">
        <v>195900000</v>
      </c>
      <c r="H1412" s="2">
        <v>312400000</v>
      </c>
      <c r="I1412" s="2">
        <v>33400000</v>
      </c>
      <c r="J1412" t="s">
        <v>18</v>
      </c>
      <c r="K1412" t="s">
        <v>30</v>
      </c>
      <c r="L1412" s="37">
        <f t="shared" si="88"/>
        <v>0.50629370629370629</v>
      </c>
      <c r="M1412" s="2">
        <f t="shared" si="89"/>
        <v>1665200000</v>
      </c>
      <c r="N1412" s="37">
        <f t="shared" si="90"/>
        <v>0.34159318941927636</v>
      </c>
      <c r="O1412" s="2">
        <f t="shared" si="91"/>
        <v>1123500000</v>
      </c>
    </row>
    <row r="1413" spans="1:15" x14ac:dyDescent="0.3">
      <c r="A1413" t="s">
        <v>490</v>
      </c>
      <c r="B1413">
        <v>1</v>
      </c>
      <c r="C1413">
        <v>2012</v>
      </c>
      <c r="D1413" s="1">
        <v>41274</v>
      </c>
      <c r="E1413" s="2">
        <v>2730000000</v>
      </c>
      <c r="F1413" s="2">
        <v>245000000</v>
      </c>
      <c r="G1413" s="2">
        <v>835000000</v>
      </c>
      <c r="H1413">
        <v>0</v>
      </c>
      <c r="I1413" s="2">
        <v>811000000</v>
      </c>
      <c r="J1413" t="s">
        <v>79</v>
      </c>
      <c r="K1413" t="s">
        <v>80</v>
      </c>
      <c r="L1413" s="37">
        <f t="shared" si="88"/>
        <v>0.91025641025641024</v>
      </c>
      <c r="M1413" s="2">
        <f t="shared" si="89"/>
        <v>2485000000</v>
      </c>
      <c r="N1413" s="37">
        <f t="shared" si="90"/>
        <v>0.30732600732600734</v>
      </c>
      <c r="O1413" s="2">
        <f t="shared" si="91"/>
        <v>839000000</v>
      </c>
    </row>
    <row r="1414" spans="1:15" x14ac:dyDescent="0.3">
      <c r="A1414" t="s">
        <v>490</v>
      </c>
      <c r="B1414">
        <v>2</v>
      </c>
      <c r="C1414">
        <v>2013</v>
      </c>
      <c r="D1414" s="1">
        <v>41639</v>
      </c>
      <c r="E1414" s="2">
        <v>3371000000</v>
      </c>
      <c r="F1414" s="2">
        <v>328000000</v>
      </c>
      <c r="G1414" s="2">
        <v>1052000000</v>
      </c>
      <c r="H1414">
        <v>0</v>
      </c>
      <c r="I1414" s="2">
        <v>787000000</v>
      </c>
      <c r="J1414" t="s">
        <v>79</v>
      </c>
      <c r="K1414" t="s">
        <v>80</v>
      </c>
      <c r="L1414" s="37">
        <f t="shared" si="88"/>
        <v>0.90269949569860575</v>
      </c>
      <c r="M1414" s="2">
        <f t="shared" si="89"/>
        <v>3043000000</v>
      </c>
      <c r="N1414" s="37">
        <f t="shared" si="90"/>
        <v>0.3571640462770691</v>
      </c>
      <c r="O1414" s="2">
        <f t="shared" si="91"/>
        <v>1204000000</v>
      </c>
    </row>
    <row r="1415" spans="1:15" x14ac:dyDescent="0.3">
      <c r="A1415" t="s">
        <v>490</v>
      </c>
      <c r="B1415">
        <v>3</v>
      </c>
      <c r="C1415">
        <v>2014</v>
      </c>
      <c r="D1415" s="1">
        <v>42004</v>
      </c>
      <c r="E1415" s="2">
        <v>4038000000</v>
      </c>
      <c r="F1415" s="2">
        <v>427000000</v>
      </c>
      <c r="G1415" s="2">
        <v>1296000000</v>
      </c>
      <c r="H1415">
        <v>0</v>
      </c>
      <c r="I1415" s="2">
        <v>942000000</v>
      </c>
      <c r="J1415" t="s">
        <v>79</v>
      </c>
      <c r="K1415" t="s">
        <v>80</v>
      </c>
      <c r="L1415" s="37">
        <f t="shared" si="88"/>
        <v>0.89425458147597825</v>
      </c>
      <c r="M1415" s="2">
        <f t="shared" si="89"/>
        <v>3611000000</v>
      </c>
      <c r="N1415" s="37">
        <f t="shared" si="90"/>
        <v>0.34001981178801388</v>
      </c>
      <c r="O1415" s="2">
        <f t="shared" si="91"/>
        <v>1373000000</v>
      </c>
    </row>
    <row r="1416" spans="1:15" x14ac:dyDescent="0.3">
      <c r="A1416" t="s">
        <v>490</v>
      </c>
      <c r="B1416">
        <v>4</v>
      </c>
      <c r="C1416">
        <v>2015</v>
      </c>
      <c r="D1416" s="1">
        <v>42369</v>
      </c>
      <c r="E1416" s="2">
        <v>3133000000</v>
      </c>
      <c r="F1416" s="2">
        <v>689000000</v>
      </c>
      <c r="G1416" s="2">
        <v>1208000000</v>
      </c>
      <c r="H1416">
        <v>0</v>
      </c>
      <c r="I1416" s="2">
        <v>1091000000</v>
      </c>
      <c r="J1416" t="s">
        <v>79</v>
      </c>
      <c r="K1416" t="s">
        <v>80</v>
      </c>
      <c r="L1416" s="37">
        <f t="shared" si="88"/>
        <v>0.78008298755186722</v>
      </c>
      <c r="M1416" s="2">
        <f t="shared" si="89"/>
        <v>2444000000</v>
      </c>
      <c r="N1416" s="37">
        <f t="shared" si="90"/>
        <v>4.6281519310564956E-2</v>
      </c>
      <c r="O1416" s="2">
        <f t="shared" si="91"/>
        <v>145000000</v>
      </c>
    </row>
    <row r="1417" spans="1:15" x14ac:dyDescent="0.3">
      <c r="A1417" t="s">
        <v>353</v>
      </c>
      <c r="B1417">
        <v>3</v>
      </c>
      <c r="C1417">
        <v>2014</v>
      </c>
      <c r="D1417" s="1">
        <v>42004</v>
      </c>
      <c r="E1417" s="2">
        <v>19615600000</v>
      </c>
      <c r="F1417" s="2">
        <v>4932500000</v>
      </c>
      <c r="G1417" s="2">
        <v>6280300000</v>
      </c>
      <c r="H1417" s="2">
        <v>4733600000</v>
      </c>
      <c r="I1417">
        <v>0</v>
      </c>
      <c r="J1417" t="s">
        <v>21</v>
      </c>
      <c r="K1417" t="s">
        <v>22</v>
      </c>
      <c r="L1417" s="37">
        <f t="shared" si="88"/>
        <v>0.74854197679398027</v>
      </c>
      <c r="M1417" s="2">
        <f t="shared" si="89"/>
        <v>14683100000</v>
      </c>
      <c r="N1417" s="37">
        <f t="shared" si="90"/>
        <v>0.18705520096249922</v>
      </c>
      <c r="O1417" s="2">
        <f t="shared" si="91"/>
        <v>3669200000</v>
      </c>
    </row>
    <row r="1418" spans="1:15" x14ac:dyDescent="0.3">
      <c r="A1418" t="s">
        <v>353</v>
      </c>
      <c r="B1418">
        <v>4</v>
      </c>
      <c r="C1418">
        <v>2015</v>
      </c>
      <c r="D1418" s="1">
        <v>42369</v>
      </c>
      <c r="E1418" s="2">
        <v>19958700000</v>
      </c>
      <c r="F1418" s="2">
        <v>5037200000</v>
      </c>
      <c r="G1418" s="2">
        <v>6432400000</v>
      </c>
      <c r="H1418" s="2">
        <v>4796400000</v>
      </c>
      <c r="I1418">
        <v>0</v>
      </c>
      <c r="J1418" t="s">
        <v>21</v>
      </c>
      <c r="K1418" t="s">
        <v>22</v>
      </c>
      <c r="L1418" s="37">
        <f t="shared" si="88"/>
        <v>0.74761883288991771</v>
      </c>
      <c r="M1418" s="2">
        <f t="shared" si="89"/>
        <v>14921500000</v>
      </c>
      <c r="N1418" s="37">
        <f t="shared" si="90"/>
        <v>0.18501706022937367</v>
      </c>
      <c r="O1418" s="2">
        <f t="shared" si="91"/>
        <v>3692700000</v>
      </c>
    </row>
    <row r="1419" spans="1:15" x14ac:dyDescent="0.3">
      <c r="A1419" t="s">
        <v>373</v>
      </c>
      <c r="B1419">
        <v>1</v>
      </c>
      <c r="C1419">
        <v>2013</v>
      </c>
      <c r="D1419" s="1">
        <v>41364</v>
      </c>
      <c r="E1419" s="2">
        <v>122196000000</v>
      </c>
      <c r="F1419" s="2">
        <v>115315000000</v>
      </c>
      <c r="G1419" s="2">
        <v>4110000000</v>
      </c>
      <c r="H1419" s="2">
        <v>433000000</v>
      </c>
      <c r="I1419">
        <v>0</v>
      </c>
      <c r="J1419" t="s">
        <v>21</v>
      </c>
      <c r="K1419" t="s">
        <v>24</v>
      </c>
      <c r="L1419" s="37">
        <f t="shared" si="88"/>
        <v>5.6311172215129823E-2</v>
      </c>
      <c r="M1419" s="2">
        <f t="shared" si="89"/>
        <v>6881000000</v>
      </c>
      <c r="N1419" s="37">
        <f t="shared" si="90"/>
        <v>1.9133195849291303E-2</v>
      </c>
      <c r="O1419" s="2">
        <f t="shared" si="91"/>
        <v>2338000000</v>
      </c>
    </row>
    <row r="1420" spans="1:15" x14ac:dyDescent="0.3">
      <c r="A1420" t="s">
        <v>373</v>
      </c>
      <c r="B1420">
        <v>2</v>
      </c>
      <c r="C1420">
        <v>2014</v>
      </c>
      <c r="D1420" s="1">
        <v>41729</v>
      </c>
      <c r="E1420" s="2">
        <v>137392000000</v>
      </c>
      <c r="F1420" s="2">
        <v>129040000000</v>
      </c>
      <c r="G1420" s="2">
        <v>5388000000</v>
      </c>
      <c r="H1420" s="2">
        <v>457000000</v>
      </c>
      <c r="I1420">
        <v>0</v>
      </c>
      <c r="J1420" t="s">
        <v>21</v>
      </c>
      <c r="K1420" t="s">
        <v>24</v>
      </c>
      <c r="L1420" s="37">
        <f t="shared" si="88"/>
        <v>6.0789565622452524E-2</v>
      </c>
      <c r="M1420" s="2">
        <f t="shared" si="89"/>
        <v>8352000000</v>
      </c>
      <c r="N1420" s="37">
        <f t="shared" si="90"/>
        <v>1.8247059508559451E-2</v>
      </c>
      <c r="O1420" s="2">
        <f t="shared" si="91"/>
        <v>2507000000</v>
      </c>
    </row>
    <row r="1421" spans="1:15" x14ac:dyDescent="0.3">
      <c r="A1421" t="s">
        <v>373</v>
      </c>
      <c r="B1421">
        <v>3</v>
      </c>
      <c r="C1421">
        <v>2015</v>
      </c>
      <c r="D1421" s="1">
        <v>42094</v>
      </c>
      <c r="E1421" s="2">
        <v>179045000000</v>
      </c>
      <c r="F1421" s="2">
        <v>167634000000</v>
      </c>
      <c r="G1421" s="2">
        <v>7901000000</v>
      </c>
      <c r="H1421" s="2">
        <v>392000000</v>
      </c>
      <c r="I1421">
        <v>0</v>
      </c>
      <c r="J1421" t="s">
        <v>21</v>
      </c>
      <c r="K1421" t="s">
        <v>24</v>
      </c>
      <c r="L1421" s="37">
        <f t="shared" si="88"/>
        <v>6.3732581194671734E-2</v>
      </c>
      <c r="M1421" s="2">
        <f t="shared" si="89"/>
        <v>11411000000</v>
      </c>
      <c r="N1421" s="37">
        <f t="shared" si="90"/>
        <v>1.7414616437208524E-2</v>
      </c>
      <c r="O1421" s="2">
        <f t="shared" si="91"/>
        <v>3118000000</v>
      </c>
    </row>
    <row r="1422" spans="1:15" x14ac:dyDescent="0.3">
      <c r="A1422" t="s">
        <v>373</v>
      </c>
      <c r="B1422">
        <v>4</v>
      </c>
      <c r="C1422">
        <v>2016</v>
      </c>
      <c r="D1422" s="1">
        <v>42460</v>
      </c>
      <c r="E1422" s="2">
        <v>190884000000</v>
      </c>
      <c r="F1422" s="2">
        <v>179468000000</v>
      </c>
      <c r="G1422" s="2">
        <v>7276000000</v>
      </c>
      <c r="H1422" s="2">
        <v>392000000</v>
      </c>
      <c r="I1422">
        <v>0</v>
      </c>
      <c r="J1422" t="s">
        <v>21</v>
      </c>
      <c r="K1422" t="s">
        <v>24</v>
      </c>
      <c r="L1422" s="37">
        <f t="shared" si="88"/>
        <v>5.980595544938283E-2</v>
      </c>
      <c r="M1422" s="2">
        <f t="shared" si="89"/>
        <v>11416000000</v>
      </c>
      <c r="N1422" s="37">
        <f t="shared" si="90"/>
        <v>1.9634961547327173E-2</v>
      </c>
      <c r="O1422" s="2">
        <f t="shared" si="91"/>
        <v>3748000000</v>
      </c>
    </row>
    <row r="1423" spans="1:15" x14ac:dyDescent="0.3">
      <c r="A1423" t="s">
        <v>393</v>
      </c>
      <c r="B1423">
        <v>1</v>
      </c>
      <c r="C1423">
        <v>2012</v>
      </c>
      <c r="D1423" s="1">
        <v>41274</v>
      </c>
      <c r="E1423" s="2">
        <v>47267000000</v>
      </c>
      <c r="F1423" s="2">
        <v>16446000000</v>
      </c>
      <c r="G1423" s="2">
        <v>12776000000</v>
      </c>
      <c r="H1423" s="2">
        <v>8168000000</v>
      </c>
      <c r="I1423">
        <v>0</v>
      </c>
      <c r="J1423" t="s">
        <v>21</v>
      </c>
      <c r="K1423" t="s">
        <v>22</v>
      </c>
      <c r="L1423" s="37">
        <f t="shared" si="88"/>
        <v>0.65206169208961851</v>
      </c>
      <c r="M1423" s="2">
        <f t="shared" si="89"/>
        <v>30821000000</v>
      </c>
      <c r="N1423" s="37">
        <f t="shared" si="90"/>
        <v>0.20896185499397044</v>
      </c>
      <c r="O1423" s="2">
        <f t="shared" si="91"/>
        <v>9877000000</v>
      </c>
    </row>
    <row r="1424" spans="1:15" x14ac:dyDescent="0.3">
      <c r="A1424" t="s">
        <v>393</v>
      </c>
      <c r="B1424">
        <v>2</v>
      </c>
      <c r="C1424">
        <v>2013</v>
      </c>
      <c r="D1424" s="1">
        <v>41639</v>
      </c>
      <c r="E1424" s="2">
        <v>44033000000</v>
      </c>
      <c r="F1424" s="2">
        <v>16954000000</v>
      </c>
      <c r="G1424" s="2">
        <v>11911000000</v>
      </c>
      <c r="H1424" s="2">
        <v>7503000000</v>
      </c>
      <c r="I1424">
        <v>0</v>
      </c>
      <c r="J1424" t="s">
        <v>21</v>
      </c>
      <c r="K1424" t="s">
        <v>22</v>
      </c>
      <c r="L1424" s="37">
        <f t="shared" si="88"/>
        <v>0.6149705902391388</v>
      </c>
      <c r="M1424" s="2">
        <f t="shared" si="89"/>
        <v>27079000000</v>
      </c>
      <c r="N1424" s="37">
        <f t="shared" si="90"/>
        <v>0.17407398996207391</v>
      </c>
      <c r="O1424" s="2">
        <f t="shared" si="91"/>
        <v>7665000000</v>
      </c>
    </row>
    <row r="1425" spans="1:15" x14ac:dyDescent="0.3">
      <c r="A1425" t="s">
        <v>493</v>
      </c>
      <c r="B1425">
        <v>1</v>
      </c>
      <c r="C1425">
        <v>2013</v>
      </c>
      <c r="D1425" s="1">
        <v>41362</v>
      </c>
      <c r="E1425" s="2">
        <v>6906000000</v>
      </c>
      <c r="F1425" s="2">
        <v>1175000000</v>
      </c>
      <c r="G1425" s="2">
        <v>3236000000</v>
      </c>
      <c r="H1425" s="2">
        <v>1026000000</v>
      </c>
      <c r="I1425" s="2">
        <v>286000000</v>
      </c>
      <c r="J1425" t="s">
        <v>18</v>
      </c>
      <c r="K1425" t="s">
        <v>28</v>
      </c>
      <c r="L1425" s="37">
        <f t="shared" si="88"/>
        <v>0.82985809441065739</v>
      </c>
      <c r="M1425" s="2">
        <f t="shared" si="89"/>
        <v>5731000000</v>
      </c>
      <c r="N1425" s="37">
        <f t="shared" si="90"/>
        <v>0.17130031856356792</v>
      </c>
      <c r="O1425" s="2">
        <f t="shared" si="91"/>
        <v>1183000000</v>
      </c>
    </row>
    <row r="1426" spans="1:15" x14ac:dyDescent="0.3">
      <c r="A1426" t="s">
        <v>493</v>
      </c>
      <c r="B1426">
        <v>2</v>
      </c>
      <c r="C1426">
        <v>2014</v>
      </c>
      <c r="D1426" s="1">
        <v>41726</v>
      </c>
      <c r="E1426" s="2">
        <v>4183000000</v>
      </c>
      <c r="F1426" s="2">
        <v>791000000</v>
      </c>
      <c r="G1426" s="2">
        <v>2186000000</v>
      </c>
      <c r="H1426" s="2">
        <v>722000000</v>
      </c>
      <c r="I1426" s="2">
        <v>93000000</v>
      </c>
      <c r="J1426" t="s">
        <v>18</v>
      </c>
      <c r="K1426" t="s">
        <v>28</v>
      </c>
      <c r="L1426" s="37">
        <f t="shared" si="88"/>
        <v>0.81090126703322973</v>
      </c>
      <c r="M1426" s="2">
        <f t="shared" si="89"/>
        <v>3392000000</v>
      </c>
      <c r="N1426" s="37">
        <f t="shared" si="90"/>
        <v>9.3473583552474301E-2</v>
      </c>
      <c r="O1426" s="2">
        <f t="shared" si="91"/>
        <v>391000000</v>
      </c>
    </row>
    <row r="1427" spans="1:15" x14ac:dyDescent="0.3">
      <c r="A1427" t="s">
        <v>493</v>
      </c>
      <c r="B1427">
        <v>3</v>
      </c>
      <c r="C1427">
        <v>2015</v>
      </c>
      <c r="D1427" s="1">
        <v>42097</v>
      </c>
      <c r="E1427" s="2">
        <v>3956000000</v>
      </c>
      <c r="F1427" s="2">
        <v>727000000</v>
      </c>
      <c r="G1427" s="2">
        <v>2012000000</v>
      </c>
      <c r="H1427" s="2">
        <v>812000000</v>
      </c>
      <c r="I1427" s="2">
        <v>87000000</v>
      </c>
      <c r="J1427" t="s">
        <v>18</v>
      </c>
      <c r="K1427" t="s">
        <v>28</v>
      </c>
      <c r="L1427" s="37">
        <f t="shared" si="88"/>
        <v>0.8162285136501517</v>
      </c>
      <c r="M1427" s="2">
        <f t="shared" si="89"/>
        <v>3229000000</v>
      </c>
      <c r="N1427" s="37">
        <f t="shared" si="90"/>
        <v>8.0384226491405461E-2</v>
      </c>
      <c r="O1427" s="2">
        <f t="shared" si="91"/>
        <v>318000000</v>
      </c>
    </row>
    <row r="1428" spans="1:15" x14ac:dyDescent="0.3">
      <c r="A1428" t="s">
        <v>493</v>
      </c>
      <c r="B1428">
        <v>4</v>
      </c>
      <c r="C1428">
        <v>2016</v>
      </c>
      <c r="D1428" s="1">
        <v>42461</v>
      </c>
      <c r="E1428" s="2">
        <v>3600000000</v>
      </c>
      <c r="F1428" s="2">
        <v>615000000</v>
      </c>
      <c r="G1428" s="2">
        <v>1587000000</v>
      </c>
      <c r="H1428" s="2">
        <v>748000000</v>
      </c>
      <c r="I1428" s="2">
        <v>57000000</v>
      </c>
      <c r="J1428" t="s">
        <v>18</v>
      </c>
      <c r="K1428" t="s">
        <v>28</v>
      </c>
      <c r="L1428" s="37">
        <f t="shared" si="88"/>
        <v>0.82916666666666661</v>
      </c>
      <c r="M1428" s="2">
        <f t="shared" si="89"/>
        <v>2985000000</v>
      </c>
      <c r="N1428" s="37">
        <f t="shared" si="90"/>
        <v>0.16472222222222221</v>
      </c>
      <c r="O1428" s="2">
        <f t="shared" si="91"/>
        <v>593000000</v>
      </c>
    </row>
    <row r="1429" spans="1:15" x14ac:dyDescent="0.3">
      <c r="A1429" t="s">
        <v>494</v>
      </c>
      <c r="B1429">
        <v>1</v>
      </c>
      <c r="C1429">
        <v>2013</v>
      </c>
      <c r="D1429" s="1">
        <v>41454</v>
      </c>
      <c r="E1429" s="2">
        <v>44411233000</v>
      </c>
      <c r="F1429" s="2">
        <v>36414626000</v>
      </c>
      <c r="G1429" s="2">
        <v>6338129000</v>
      </c>
      <c r="H1429">
        <v>0</v>
      </c>
      <c r="I1429">
        <v>0</v>
      </c>
      <c r="J1429" t="s">
        <v>32</v>
      </c>
      <c r="K1429" t="s">
        <v>495</v>
      </c>
      <c r="L1429" s="37">
        <f t="shared" si="88"/>
        <v>0.18005820734587574</v>
      </c>
      <c r="M1429" s="2">
        <f t="shared" si="89"/>
        <v>7996607000</v>
      </c>
      <c r="N1429" s="37">
        <f t="shared" si="90"/>
        <v>3.7343660330259237E-2</v>
      </c>
      <c r="O1429" s="2">
        <f t="shared" si="91"/>
        <v>1658478000</v>
      </c>
    </row>
    <row r="1430" spans="1:15" x14ac:dyDescent="0.3">
      <c r="A1430" t="s">
        <v>494</v>
      </c>
      <c r="B1430">
        <v>2</v>
      </c>
      <c r="C1430">
        <v>2014</v>
      </c>
      <c r="D1430" s="1">
        <v>41818</v>
      </c>
      <c r="E1430" s="2">
        <v>46516712000</v>
      </c>
      <c r="F1430" s="2">
        <v>38335677000</v>
      </c>
      <c r="G1430">
        <v>0</v>
      </c>
      <c r="H1430">
        <v>0</v>
      </c>
      <c r="I1430">
        <v>0</v>
      </c>
      <c r="J1430" t="s">
        <v>32</v>
      </c>
      <c r="K1430" t="s">
        <v>495</v>
      </c>
      <c r="L1430" s="37">
        <f t="shared" si="88"/>
        <v>0.17587302817103667</v>
      </c>
      <c r="M1430" s="2">
        <f t="shared" si="89"/>
        <v>8181035000</v>
      </c>
      <c r="N1430" s="37">
        <f t="shared" si="90"/>
        <v>0.17587302817103667</v>
      </c>
      <c r="O1430" s="2">
        <f t="shared" si="91"/>
        <v>8181035000</v>
      </c>
    </row>
    <row r="1431" spans="1:15" x14ac:dyDescent="0.3">
      <c r="A1431" t="s">
        <v>494</v>
      </c>
      <c r="B1431">
        <v>3</v>
      </c>
      <c r="C1431">
        <v>2015</v>
      </c>
      <c r="D1431" s="1">
        <v>42182</v>
      </c>
      <c r="E1431" s="2">
        <v>48680752000</v>
      </c>
      <c r="F1431" s="2">
        <v>40129236000</v>
      </c>
      <c r="G1431">
        <v>0</v>
      </c>
      <c r="H1431">
        <v>0</v>
      </c>
      <c r="I1431">
        <v>0</v>
      </c>
      <c r="J1431" t="s">
        <v>32</v>
      </c>
      <c r="K1431" t="s">
        <v>495</v>
      </c>
      <c r="L1431" s="37">
        <f t="shared" si="88"/>
        <v>0.17566524033975484</v>
      </c>
      <c r="M1431" s="2">
        <f t="shared" si="89"/>
        <v>8551516000</v>
      </c>
      <c r="N1431" s="37">
        <f t="shared" si="90"/>
        <v>0.17566524033975481</v>
      </c>
      <c r="O1431" s="2">
        <f t="shared" si="91"/>
        <v>8551516000</v>
      </c>
    </row>
    <row r="1432" spans="1:15" x14ac:dyDescent="0.3">
      <c r="A1432" t="s">
        <v>494</v>
      </c>
      <c r="B1432">
        <v>4</v>
      </c>
      <c r="C1432">
        <v>2016</v>
      </c>
      <c r="D1432" s="1">
        <v>42553</v>
      </c>
      <c r="E1432" s="2">
        <v>50366919000</v>
      </c>
      <c r="F1432" s="2">
        <v>41326447000</v>
      </c>
      <c r="G1432">
        <v>0</v>
      </c>
      <c r="H1432">
        <v>0</v>
      </c>
      <c r="I1432">
        <v>0</v>
      </c>
      <c r="J1432" t="s">
        <v>32</v>
      </c>
      <c r="K1432" t="s">
        <v>495</v>
      </c>
      <c r="L1432" s="37">
        <f t="shared" si="88"/>
        <v>0.17949225760662468</v>
      </c>
      <c r="M1432" s="2">
        <f t="shared" si="89"/>
        <v>9040472000</v>
      </c>
      <c r="N1432" s="37">
        <f t="shared" si="90"/>
        <v>0.17949225760662471</v>
      </c>
      <c r="O1432" s="2">
        <f t="shared" si="91"/>
        <v>9040472000</v>
      </c>
    </row>
    <row r="1433" spans="1:15" x14ac:dyDescent="0.3">
      <c r="A1433" t="s">
        <v>496</v>
      </c>
      <c r="B1433">
        <v>1</v>
      </c>
      <c r="C1433">
        <v>2012</v>
      </c>
      <c r="D1433" s="1">
        <v>41274</v>
      </c>
      <c r="E1433" s="2">
        <v>127434000000</v>
      </c>
      <c r="F1433" s="2">
        <v>55228000000</v>
      </c>
      <c r="G1433" s="2">
        <v>41066000000</v>
      </c>
      <c r="H1433">
        <v>0</v>
      </c>
      <c r="I1433" s="2">
        <v>18143000000</v>
      </c>
      <c r="J1433" t="s">
        <v>178</v>
      </c>
      <c r="K1433" t="s">
        <v>179</v>
      </c>
      <c r="L1433" s="37">
        <f t="shared" si="88"/>
        <v>0.56661487515105857</v>
      </c>
      <c r="M1433" s="2">
        <f t="shared" si="89"/>
        <v>72206000000</v>
      </c>
      <c r="N1433" s="37">
        <f t="shared" si="90"/>
        <v>0.10199004975124377</v>
      </c>
      <c r="O1433" s="2">
        <f t="shared" si="91"/>
        <v>12997000000</v>
      </c>
    </row>
    <row r="1434" spans="1:15" x14ac:dyDescent="0.3">
      <c r="A1434" t="s">
        <v>496</v>
      </c>
      <c r="B1434">
        <v>2</v>
      </c>
      <c r="C1434">
        <v>2013</v>
      </c>
      <c r="D1434" s="1">
        <v>41639</v>
      </c>
      <c r="E1434" s="2">
        <v>128752000000</v>
      </c>
      <c r="F1434" s="2">
        <v>51191000000</v>
      </c>
      <c r="G1434" s="2">
        <v>28414000000</v>
      </c>
      <c r="H1434">
        <v>0</v>
      </c>
      <c r="I1434" s="2">
        <v>18395000000</v>
      </c>
      <c r="J1434" t="s">
        <v>178</v>
      </c>
      <c r="K1434" t="s">
        <v>179</v>
      </c>
      <c r="L1434" s="37">
        <f t="shared" si="88"/>
        <v>0.60240617621473835</v>
      </c>
      <c r="M1434" s="2">
        <f t="shared" si="89"/>
        <v>77561000000</v>
      </c>
      <c r="N1434" s="37">
        <f t="shared" si="90"/>
        <v>0.23884677519572511</v>
      </c>
      <c r="O1434" s="2">
        <f t="shared" si="91"/>
        <v>30752000000</v>
      </c>
    </row>
    <row r="1435" spans="1:15" x14ac:dyDescent="0.3">
      <c r="A1435" t="s">
        <v>496</v>
      </c>
      <c r="B1435">
        <v>3</v>
      </c>
      <c r="C1435">
        <v>2014</v>
      </c>
      <c r="D1435" s="1">
        <v>42004</v>
      </c>
      <c r="E1435" s="2">
        <v>132447000000</v>
      </c>
      <c r="F1435" s="2">
        <v>60145000000</v>
      </c>
      <c r="G1435" s="2">
        <v>41817000000</v>
      </c>
      <c r="H1435">
        <v>0</v>
      </c>
      <c r="I1435" s="2">
        <v>18273000000</v>
      </c>
      <c r="J1435" t="s">
        <v>178</v>
      </c>
      <c r="K1435" t="s">
        <v>179</v>
      </c>
      <c r="L1435" s="37">
        <f t="shared" si="88"/>
        <v>0.54589382922980512</v>
      </c>
      <c r="M1435" s="2">
        <f t="shared" si="89"/>
        <v>72302000000</v>
      </c>
      <c r="N1435" s="37">
        <f t="shared" si="90"/>
        <v>9.2202918903410425E-2</v>
      </c>
      <c r="O1435" s="2">
        <f t="shared" si="91"/>
        <v>12212000000</v>
      </c>
    </row>
    <row r="1436" spans="1:15" x14ac:dyDescent="0.3">
      <c r="A1436" t="s">
        <v>496</v>
      </c>
      <c r="B1436">
        <v>4</v>
      </c>
      <c r="C1436">
        <v>2015</v>
      </c>
      <c r="D1436" s="1">
        <v>42369</v>
      </c>
      <c r="E1436" s="2">
        <v>146801000000</v>
      </c>
      <c r="F1436" s="2">
        <v>67046000000</v>
      </c>
      <c r="G1436" s="2">
        <v>32954000000</v>
      </c>
      <c r="H1436">
        <v>0</v>
      </c>
      <c r="I1436" s="2">
        <v>22016000000</v>
      </c>
      <c r="J1436" t="s">
        <v>178</v>
      </c>
      <c r="K1436" t="s">
        <v>179</v>
      </c>
      <c r="L1436" s="37">
        <f t="shared" si="88"/>
        <v>0.54328648987404726</v>
      </c>
      <c r="M1436" s="2">
        <f t="shared" si="89"/>
        <v>79755000000</v>
      </c>
      <c r="N1436" s="37">
        <f t="shared" si="90"/>
        <v>0.16883399976839394</v>
      </c>
      <c r="O1436" s="2">
        <f t="shared" si="91"/>
        <v>24785000000</v>
      </c>
    </row>
    <row r="1437" spans="1:15" x14ac:dyDescent="0.3">
      <c r="A1437" t="s">
        <v>497</v>
      </c>
      <c r="B1437">
        <v>1</v>
      </c>
      <c r="C1437">
        <v>2013</v>
      </c>
      <c r="D1437" s="1">
        <v>41639</v>
      </c>
      <c r="E1437" s="2">
        <v>4206100000</v>
      </c>
      <c r="F1437" s="2">
        <v>2545600000</v>
      </c>
      <c r="G1437" s="2">
        <v>1193800000</v>
      </c>
      <c r="H1437">
        <v>0</v>
      </c>
      <c r="I1437">
        <v>0</v>
      </c>
      <c r="J1437" t="s">
        <v>32</v>
      </c>
      <c r="K1437" t="s">
        <v>498</v>
      </c>
      <c r="L1437" s="37">
        <f t="shared" si="88"/>
        <v>0.39478376643446422</v>
      </c>
      <c r="M1437" s="2">
        <f t="shared" si="89"/>
        <v>1660500000</v>
      </c>
      <c r="N1437" s="37">
        <f t="shared" si="90"/>
        <v>0.11095789448657901</v>
      </c>
      <c r="O1437" s="2">
        <f t="shared" si="91"/>
        <v>466700000</v>
      </c>
    </row>
    <row r="1438" spans="1:15" x14ac:dyDescent="0.3">
      <c r="A1438" t="s">
        <v>497</v>
      </c>
      <c r="B1438">
        <v>2</v>
      </c>
      <c r="C1438">
        <v>2014</v>
      </c>
      <c r="D1438" s="1">
        <v>42004</v>
      </c>
      <c r="E1438" s="2">
        <v>4146300000</v>
      </c>
      <c r="F1438" s="2">
        <v>2493300000</v>
      </c>
      <c r="G1438" s="2">
        <v>1163900000</v>
      </c>
      <c r="H1438">
        <v>0</v>
      </c>
      <c r="I1438">
        <v>0</v>
      </c>
      <c r="J1438" t="s">
        <v>32</v>
      </c>
      <c r="K1438" t="s">
        <v>498</v>
      </c>
      <c r="L1438" s="37">
        <f t="shared" si="88"/>
        <v>0.39866869256927862</v>
      </c>
      <c r="M1438" s="2">
        <f t="shared" si="89"/>
        <v>1653000000</v>
      </c>
      <c r="N1438" s="37">
        <f t="shared" si="90"/>
        <v>0.11796059137061959</v>
      </c>
      <c r="O1438" s="2">
        <f t="shared" si="91"/>
        <v>489100000</v>
      </c>
    </row>
    <row r="1439" spans="1:15" x14ac:dyDescent="0.3">
      <c r="A1439" t="s">
        <v>497</v>
      </c>
      <c r="B1439">
        <v>3</v>
      </c>
      <c r="C1439">
        <v>2015</v>
      </c>
      <c r="D1439" s="1">
        <v>42369</v>
      </c>
      <c r="E1439" s="2">
        <v>3567500000</v>
      </c>
      <c r="F1439" s="2">
        <v>2163500000</v>
      </c>
      <c r="G1439" s="2">
        <v>1051800000</v>
      </c>
      <c r="H1439">
        <v>0</v>
      </c>
      <c r="I1439">
        <v>0</v>
      </c>
      <c r="J1439" t="s">
        <v>32</v>
      </c>
      <c r="K1439" t="s">
        <v>498</v>
      </c>
      <c r="L1439" s="37">
        <f t="shared" si="88"/>
        <v>0.39355290819901889</v>
      </c>
      <c r="M1439" s="2">
        <f t="shared" si="89"/>
        <v>1404000000</v>
      </c>
      <c r="N1439" s="37">
        <f t="shared" si="90"/>
        <v>9.8724597056762439E-2</v>
      </c>
      <c r="O1439" s="2">
        <f t="shared" si="91"/>
        <v>352200000</v>
      </c>
    </row>
    <row r="1440" spans="1:15" x14ac:dyDescent="0.3">
      <c r="A1440" t="s">
        <v>497</v>
      </c>
      <c r="B1440">
        <v>4</v>
      </c>
      <c r="C1440">
        <v>2016</v>
      </c>
      <c r="D1440" s="1">
        <v>42735</v>
      </c>
      <c r="E1440" s="2">
        <v>4885000000</v>
      </c>
      <c r="F1440" s="2">
        <v>3003100000</v>
      </c>
      <c r="G1440" s="2">
        <v>1597300000</v>
      </c>
      <c r="H1440">
        <v>0</v>
      </c>
      <c r="I1440">
        <v>0</v>
      </c>
      <c r="J1440" t="s">
        <v>32</v>
      </c>
      <c r="K1440" t="s">
        <v>498</v>
      </c>
      <c r="L1440" s="37">
        <f t="shared" si="88"/>
        <v>0.38524053224155574</v>
      </c>
      <c r="M1440" s="2">
        <f t="shared" si="89"/>
        <v>1881900000</v>
      </c>
      <c r="N1440" s="37">
        <f t="shared" si="90"/>
        <v>5.8259979529170933E-2</v>
      </c>
      <c r="O1440" s="2">
        <f t="shared" si="91"/>
        <v>284600000</v>
      </c>
    </row>
    <row r="1441" spans="1:15" x14ac:dyDescent="0.3">
      <c r="A1441" t="s">
        <v>499</v>
      </c>
      <c r="B1441">
        <v>1</v>
      </c>
      <c r="C1441">
        <v>2012</v>
      </c>
      <c r="D1441" s="1">
        <v>41274</v>
      </c>
      <c r="E1441" s="2">
        <v>2665000000</v>
      </c>
      <c r="F1441" s="2">
        <v>1174000000</v>
      </c>
      <c r="G1441" s="2">
        <v>728000000</v>
      </c>
      <c r="H1441" s="2">
        <v>183000000</v>
      </c>
      <c r="I1441">
        <v>0</v>
      </c>
      <c r="J1441" t="s">
        <v>18</v>
      </c>
      <c r="K1441" t="s">
        <v>28</v>
      </c>
      <c r="L1441" s="37">
        <f t="shared" si="88"/>
        <v>0.55947467166979359</v>
      </c>
      <c r="M1441" s="2">
        <f t="shared" si="89"/>
        <v>1491000000</v>
      </c>
      <c r="N1441" s="37">
        <f t="shared" si="90"/>
        <v>0.2176360225140713</v>
      </c>
      <c r="O1441" s="2">
        <f t="shared" si="91"/>
        <v>580000000</v>
      </c>
    </row>
    <row r="1442" spans="1:15" x14ac:dyDescent="0.3">
      <c r="A1442" t="s">
        <v>499</v>
      </c>
      <c r="B1442">
        <v>2</v>
      </c>
      <c r="C1442">
        <v>2013</v>
      </c>
      <c r="D1442" s="1">
        <v>41639</v>
      </c>
      <c r="E1442" s="2">
        <v>2692000000</v>
      </c>
      <c r="F1442" s="2">
        <v>1219000000</v>
      </c>
      <c r="G1442" s="2">
        <v>757000000</v>
      </c>
      <c r="H1442" s="2">
        <v>184000000</v>
      </c>
      <c r="I1442">
        <v>0</v>
      </c>
      <c r="J1442" t="s">
        <v>18</v>
      </c>
      <c r="K1442" t="s">
        <v>28</v>
      </c>
      <c r="L1442" s="37">
        <f t="shared" si="88"/>
        <v>0.54717682020802383</v>
      </c>
      <c r="M1442" s="2">
        <f t="shared" si="89"/>
        <v>1473000000</v>
      </c>
      <c r="N1442" s="37">
        <f t="shared" si="90"/>
        <v>0.1976225854383358</v>
      </c>
      <c r="O1442" s="2">
        <f t="shared" si="91"/>
        <v>532000000</v>
      </c>
    </row>
    <row r="1443" spans="1:15" x14ac:dyDescent="0.3">
      <c r="A1443" t="s">
        <v>499</v>
      </c>
      <c r="B1443">
        <v>3</v>
      </c>
      <c r="C1443">
        <v>2014</v>
      </c>
      <c r="D1443" s="1">
        <v>42004</v>
      </c>
      <c r="E1443" s="2">
        <v>2732000000</v>
      </c>
      <c r="F1443" s="2">
        <v>1253000000</v>
      </c>
      <c r="G1443" s="2">
        <v>770000000</v>
      </c>
      <c r="H1443" s="2">
        <v>206000000</v>
      </c>
      <c r="I1443">
        <v>0</v>
      </c>
      <c r="J1443" t="s">
        <v>18</v>
      </c>
      <c r="K1443" t="s">
        <v>28</v>
      </c>
      <c r="L1443" s="37">
        <f t="shared" si="88"/>
        <v>0.54136163982430452</v>
      </c>
      <c r="M1443" s="2">
        <f t="shared" si="89"/>
        <v>1479000000</v>
      </c>
      <c r="N1443" s="37">
        <f t="shared" si="90"/>
        <v>0.18411420204978038</v>
      </c>
      <c r="O1443" s="2">
        <f t="shared" si="91"/>
        <v>503000000</v>
      </c>
    </row>
    <row r="1444" spans="1:15" x14ac:dyDescent="0.3">
      <c r="A1444" t="s">
        <v>499</v>
      </c>
      <c r="B1444">
        <v>4</v>
      </c>
      <c r="C1444">
        <v>2015</v>
      </c>
      <c r="D1444" s="1">
        <v>42369</v>
      </c>
      <c r="E1444" s="2">
        <v>2530000000</v>
      </c>
      <c r="F1444" s="2">
        <v>1254000000</v>
      </c>
      <c r="G1444" s="2">
        <v>765000000</v>
      </c>
      <c r="H1444" s="2">
        <v>228000000</v>
      </c>
      <c r="I1444">
        <v>0</v>
      </c>
      <c r="J1444" t="s">
        <v>18</v>
      </c>
      <c r="K1444" t="s">
        <v>28</v>
      </c>
      <c r="L1444" s="37">
        <f t="shared" si="88"/>
        <v>0.5043478260869565</v>
      </c>
      <c r="M1444" s="2">
        <f t="shared" si="89"/>
        <v>1276000000</v>
      </c>
      <c r="N1444" s="37">
        <f t="shared" si="90"/>
        <v>0.11185770750988143</v>
      </c>
      <c r="O1444" s="2">
        <f t="shared" si="91"/>
        <v>283000000</v>
      </c>
    </row>
    <row r="1445" spans="1:15" x14ac:dyDescent="0.3">
      <c r="A1445" t="s">
        <v>500</v>
      </c>
      <c r="B1445">
        <v>1</v>
      </c>
      <c r="C1445">
        <v>2013</v>
      </c>
      <c r="D1445" s="1">
        <v>41547</v>
      </c>
      <c r="E1445" s="2">
        <v>1924400000</v>
      </c>
      <c r="F1445" s="2">
        <v>874838000</v>
      </c>
      <c r="G1445" s="2">
        <v>254468000</v>
      </c>
      <c r="H1445">
        <v>0</v>
      </c>
      <c r="I1445" s="2">
        <v>45639000</v>
      </c>
      <c r="J1445" t="s">
        <v>12</v>
      </c>
      <c r="K1445" t="s">
        <v>87</v>
      </c>
      <c r="L1445" s="37">
        <f t="shared" si="88"/>
        <v>0.54539700685928083</v>
      </c>
      <c r="M1445" s="2">
        <f t="shared" si="89"/>
        <v>1049562000</v>
      </c>
      <c r="N1445" s="37">
        <f t="shared" si="90"/>
        <v>0.3894486593223862</v>
      </c>
      <c r="O1445" s="2">
        <f t="shared" si="91"/>
        <v>749455000</v>
      </c>
    </row>
    <row r="1446" spans="1:15" x14ac:dyDescent="0.3">
      <c r="A1446" t="s">
        <v>500</v>
      </c>
      <c r="B1446">
        <v>2</v>
      </c>
      <c r="C1446">
        <v>2014</v>
      </c>
      <c r="D1446" s="1">
        <v>41912</v>
      </c>
      <c r="E1446" s="2">
        <v>2372906000</v>
      </c>
      <c r="F1446" s="2">
        <v>1105032000</v>
      </c>
      <c r="G1446" s="2">
        <v>276446000</v>
      </c>
      <c r="H1446">
        <v>0</v>
      </c>
      <c r="I1446" s="2">
        <v>63608000</v>
      </c>
      <c r="J1446" t="s">
        <v>12</v>
      </c>
      <c r="K1446" t="s">
        <v>87</v>
      </c>
      <c r="L1446" s="37">
        <f t="shared" si="88"/>
        <v>0.53431277935156296</v>
      </c>
      <c r="M1446" s="2">
        <f t="shared" si="89"/>
        <v>1267874000</v>
      </c>
      <c r="N1446" s="37">
        <f t="shared" si="90"/>
        <v>0.39100579626837306</v>
      </c>
      <c r="O1446" s="2">
        <f t="shared" si="91"/>
        <v>927820000</v>
      </c>
    </row>
    <row r="1447" spans="1:15" x14ac:dyDescent="0.3">
      <c r="A1447" t="s">
        <v>500</v>
      </c>
      <c r="B1447">
        <v>3</v>
      </c>
      <c r="C1447">
        <v>2015</v>
      </c>
      <c r="D1447" s="1">
        <v>42277</v>
      </c>
      <c r="E1447" s="2">
        <v>2707115000</v>
      </c>
      <c r="F1447" s="2">
        <v>1257270000</v>
      </c>
      <c r="G1447" s="2">
        <v>321624000</v>
      </c>
      <c r="H1447">
        <v>0</v>
      </c>
      <c r="I1447" s="2">
        <v>54219000</v>
      </c>
      <c r="J1447" t="s">
        <v>12</v>
      </c>
      <c r="K1447" t="s">
        <v>87</v>
      </c>
      <c r="L1447" s="37">
        <f t="shared" si="88"/>
        <v>0.5355683079588418</v>
      </c>
      <c r="M1447" s="2">
        <f t="shared" si="89"/>
        <v>1449845000</v>
      </c>
      <c r="N1447" s="37">
        <f t="shared" si="90"/>
        <v>0.39673305345358434</v>
      </c>
      <c r="O1447" s="2">
        <f t="shared" si="91"/>
        <v>1074002000</v>
      </c>
    </row>
    <row r="1448" spans="1:15" x14ac:dyDescent="0.3">
      <c r="A1448" t="s">
        <v>500</v>
      </c>
      <c r="B1448">
        <v>4</v>
      </c>
      <c r="C1448">
        <v>2016</v>
      </c>
      <c r="D1448" s="1">
        <v>42643</v>
      </c>
      <c r="E1448" s="2">
        <v>3171411000</v>
      </c>
      <c r="F1448" s="2">
        <v>1443348000</v>
      </c>
      <c r="G1448" s="2">
        <v>382858000</v>
      </c>
      <c r="H1448">
        <v>0</v>
      </c>
      <c r="I1448" s="2">
        <v>77445000</v>
      </c>
      <c r="J1448" t="s">
        <v>12</v>
      </c>
      <c r="K1448" t="s">
        <v>87</v>
      </c>
      <c r="L1448" s="37">
        <f t="shared" si="88"/>
        <v>0.54488774870239154</v>
      </c>
      <c r="M1448" s="2">
        <f t="shared" si="89"/>
        <v>1728063000</v>
      </c>
      <c r="N1448" s="37">
        <f t="shared" si="90"/>
        <v>0.39974635895505189</v>
      </c>
      <c r="O1448" s="2">
        <f t="shared" si="91"/>
        <v>1267760000</v>
      </c>
    </row>
    <row r="1449" spans="1:15" x14ac:dyDescent="0.3">
      <c r="A1449" t="s">
        <v>501</v>
      </c>
      <c r="B1449">
        <v>1</v>
      </c>
      <c r="C1449">
        <v>2013</v>
      </c>
      <c r="D1449" s="1">
        <v>41544</v>
      </c>
      <c r="E1449" s="2">
        <v>11390000000</v>
      </c>
      <c r="F1449" s="2">
        <v>7739000000</v>
      </c>
      <c r="G1449" s="2">
        <v>1440000000</v>
      </c>
      <c r="H1449" s="2">
        <v>590000000</v>
      </c>
      <c r="I1449">
        <v>0</v>
      </c>
      <c r="J1449" t="s">
        <v>18</v>
      </c>
      <c r="K1449" t="s">
        <v>502</v>
      </c>
      <c r="L1449" s="37">
        <f t="shared" si="88"/>
        <v>0.32054433713784025</v>
      </c>
      <c r="M1449" s="2">
        <f t="shared" si="89"/>
        <v>3651000000</v>
      </c>
      <c r="N1449" s="37">
        <f t="shared" si="90"/>
        <v>0.14231782265144863</v>
      </c>
      <c r="O1449" s="2">
        <f t="shared" si="91"/>
        <v>1621000000</v>
      </c>
    </row>
    <row r="1450" spans="1:15" x14ac:dyDescent="0.3">
      <c r="A1450" t="s">
        <v>501</v>
      </c>
      <c r="B1450">
        <v>2</v>
      </c>
      <c r="C1450">
        <v>2014</v>
      </c>
      <c r="D1450" s="1">
        <v>41908</v>
      </c>
      <c r="E1450" s="2">
        <v>11973000000</v>
      </c>
      <c r="F1450" s="2">
        <v>8001000000</v>
      </c>
      <c r="G1450" s="2">
        <v>1534000000</v>
      </c>
      <c r="H1450" s="2">
        <v>583000000</v>
      </c>
      <c r="I1450">
        <v>0</v>
      </c>
      <c r="J1450" t="s">
        <v>18</v>
      </c>
      <c r="K1450" t="s">
        <v>502</v>
      </c>
      <c r="L1450" s="37">
        <f t="shared" si="88"/>
        <v>0.33174642946629918</v>
      </c>
      <c r="M1450" s="2">
        <f t="shared" si="89"/>
        <v>3972000000</v>
      </c>
      <c r="N1450" s="37">
        <f t="shared" si="90"/>
        <v>0.15493193017622986</v>
      </c>
      <c r="O1450" s="2">
        <f t="shared" si="91"/>
        <v>1855000000</v>
      </c>
    </row>
    <row r="1451" spans="1:15" x14ac:dyDescent="0.3">
      <c r="A1451" t="s">
        <v>501</v>
      </c>
      <c r="B1451">
        <v>3</v>
      </c>
      <c r="C1451">
        <v>2015</v>
      </c>
      <c r="D1451" s="1">
        <v>42272</v>
      </c>
      <c r="E1451" s="2">
        <v>12233000000</v>
      </c>
      <c r="F1451" s="2">
        <v>8146000000</v>
      </c>
      <c r="G1451" s="2">
        <v>1504000000</v>
      </c>
      <c r="H1451" s="2">
        <v>627000000</v>
      </c>
      <c r="I1451">
        <v>0</v>
      </c>
      <c r="J1451" t="s">
        <v>18</v>
      </c>
      <c r="K1451" t="s">
        <v>502</v>
      </c>
      <c r="L1451" s="37">
        <f t="shared" si="88"/>
        <v>0.33409629690182296</v>
      </c>
      <c r="M1451" s="2">
        <f t="shared" si="89"/>
        <v>4087000000</v>
      </c>
      <c r="N1451" s="37">
        <f t="shared" si="90"/>
        <v>0.15989536499632143</v>
      </c>
      <c r="O1451" s="2">
        <f t="shared" si="91"/>
        <v>1956000000</v>
      </c>
    </row>
    <row r="1452" spans="1:15" x14ac:dyDescent="0.3">
      <c r="A1452" t="s">
        <v>501</v>
      </c>
      <c r="B1452">
        <v>4</v>
      </c>
      <c r="C1452">
        <v>2016</v>
      </c>
      <c r="D1452" s="1">
        <v>42643</v>
      </c>
      <c r="E1452" s="2">
        <v>12238000000</v>
      </c>
      <c r="F1452" s="2">
        <v>8205000000</v>
      </c>
      <c r="G1452" s="2">
        <v>1463000000</v>
      </c>
      <c r="H1452" s="2">
        <v>644000000</v>
      </c>
      <c r="I1452">
        <v>0</v>
      </c>
      <c r="J1452" t="s">
        <v>18</v>
      </c>
      <c r="K1452" t="s">
        <v>502</v>
      </c>
      <c r="L1452" s="37">
        <f t="shared" si="88"/>
        <v>0.32954731165223072</v>
      </c>
      <c r="M1452" s="2">
        <f t="shared" si="89"/>
        <v>4033000000</v>
      </c>
      <c r="N1452" s="37">
        <f t="shared" si="90"/>
        <v>0.15737865664324235</v>
      </c>
      <c r="O1452" s="2">
        <f t="shared" si="91"/>
        <v>1926000000</v>
      </c>
    </row>
    <row r="1453" spans="1:15" x14ac:dyDescent="0.3">
      <c r="A1453" t="s">
        <v>503</v>
      </c>
      <c r="B1453">
        <v>1</v>
      </c>
      <c r="C1453">
        <v>2012</v>
      </c>
      <c r="D1453" s="1">
        <v>41273</v>
      </c>
      <c r="E1453" s="2">
        <v>5353197000</v>
      </c>
      <c r="F1453" s="2">
        <v>2943847000</v>
      </c>
      <c r="G1453" s="2">
        <v>1303427000</v>
      </c>
      <c r="H1453">
        <v>0</v>
      </c>
      <c r="I1453" s="2">
        <v>194039000</v>
      </c>
      <c r="J1453" t="s">
        <v>15</v>
      </c>
      <c r="K1453" t="s">
        <v>504</v>
      </c>
      <c r="L1453" s="37">
        <f t="shared" si="88"/>
        <v>0.45007684193202679</v>
      </c>
      <c r="M1453" s="2">
        <f t="shared" si="89"/>
        <v>2409350000</v>
      </c>
      <c r="N1453" s="37">
        <f t="shared" si="90"/>
        <v>0.17034381510712196</v>
      </c>
      <c r="O1453" s="2">
        <f t="shared" si="91"/>
        <v>911884000</v>
      </c>
    </row>
    <row r="1454" spans="1:15" x14ac:dyDescent="0.3">
      <c r="A1454" t="s">
        <v>503</v>
      </c>
      <c r="B1454">
        <v>2</v>
      </c>
      <c r="C1454">
        <v>2013</v>
      </c>
      <c r="D1454" s="1">
        <v>41637</v>
      </c>
      <c r="E1454" s="2">
        <v>1603123000</v>
      </c>
      <c r="F1454" s="2">
        <v>662769000</v>
      </c>
      <c r="G1454" s="2">
        <v>531932000</v>
      </c>
      <c r="H1454">
        <v>0</v>
      </c>
      <c r="I1454" s="2">
        <v>74833000</v>
      </c>
      <c r="J1454" t="s">
        <v>15</v>
      </c>
      <c r="K1454" t="s">
        <v>504</v>
      </c>
      <c r="L1454" s="37">
        <f t="shared" si="88"/>
        <v>0.58657632633303869</v>
      </c>
      <c r="M1454" s="2">
        <f t="shared" si="89"/>
        <v>940354000</v>
      </c>
      <c r="N1454" s="37">
        <f t="shared" si="90"/>
        <v>0.2080869652546935</v>
      </c>
      <c r="O1454" s="2">
        <f t="shared" si="91"/>
        <v>333589000</v>
      </c>
    </row>
    <row r="1455" spans="1:15" x14ac:dyDescent="0.3">
      <c r="A1455" t="s">
        <v>503</v>
      </c>
      <c r="B1455">
        <v>3</v>
      </c>
      <c r="C1455">
        <v>2014</v>
      </c>
      <c r="D1455" s="1">
        <v>42004</v>
      </c>
      <c r="E1455" s="2">
        <v>2626141000</v>
      </c>
      <c r="F1455" s="2">
        <v>954990000</v>
      </c>
      <c r="G1455" s="2">
        <v>766854000</v>
      </c>
      <c r="H1455">
        <v>0</v>
      </c>
      <c r="I1455" s="2">
        <v>151837000</v>
      </c>
      <c r="J1455" t="s">
        <v>15</v>
      </c>
      <c r="K1455" t="s">
        <v>504</v>
      </c>
      <c r="L1455" s="37">
        <f t="shared" si="88"/>
        <v>0.63635235122561973</v>
      </c>
      <c r="M1455" s="2">
        <f t="shared" si="89"/>
        <v>1671151000</v>
      </c>
      <c r="N1455" s="37">
        <f t="shared" si="90"/>
        <v>0.28652688488546502</v>
      </c>
      <c r="O1455" s="2">
        <f t="shared" si="91"/>
        <v>752460000</v>
      </c>
    </row>
    <row r="1456" spans="1:15" x14ac:dyDescent="0.3">
      <c r="A1456" t="s">
        <v>503</v>
      </c>
      <c r="B1456">
        <v>4</v>
      </c>
      <c r="C1456">
        <v>2015</v>
      </c>
      <c r="D1456" s="1">
        <v>42369</v>
      </c>
      <c r="E1456" s="2">
        <v>3050945000</v>
      </c>
      <c r="F1456" s="2">
        <v>923336000</v>
      </c>
      <c r="G1456" s="2">
        <v>1068221000</v>
      </c>
      <c r="H1456">
        <v>0</v>
      </c>
      <c r="I1456" s="2">
        <v>205087000</v>
      </c>
      <c r="J1456" t="s">
        <v>15</v>
      </c>
      <c r="K1456" t="s">
        <v>504</v>
      </c>
      <c r="L1456" s="37">
        <f t="shared" si="88"/>
        <v>0.69736065383020673</v>
      </c>
      <c r="M1456" s="2">
        <f t="shared" si="89"/>
        <v>2127609000</v>
      </c>
      <c r="N1456" s="37">
        <f t="shared" si="90"/>
        <v>0.28001193072965919</v>
      </c>
      <c r="O1456" s="2">
        <f t="shared" si="91"/>
        <v>854301000</v>
      </c>
    </row>
    <row r="1457" spans="1:15" x14ac:dyDescent="0.3">
      <c r="A1457" t="s">
        <v>505</v>
      </c>
      <c r="B1457">
        <v>1</v>
      </c>
      <c r="C1457">
        <v>2013</v>
      </c>
      <c r="D1457" s="1">
        <v>41307</v>
      </c>
      <c r="E1457" s="2">
        <v>73301000000</v>
      </c>
      <c r="F1457" s="2">
        <v>50568000000</v>
      </c>
      <c r="G1457" s="2">
        <v>15110000000</v>
      </c>
      <c r="H1457">
        <v>0</v>
      </c>
      <c r="I1457" s="2">
        <v>2044000000</v>
      </c>
      <c r="J1457" t="s">
        <v>15</v>
      </c>
      <c r="K1457" t="s">
        <v>193</v>
      </c>
      <c r="L1457" s="37">
        <f t="shared" si="88"/>
        <v>0.31013219464945907</v>
      </c>
      <c r="M1457" s="2">
        <f t="shared" si="89"/>
        <v>22733000000</v>
      </c>
      <c r="N1457" s="37">
        <f t="shared" si="90"/>
        <v>7.6110830684438135E-2</v>
      </c>
      <c r="O1457" s="2">
        <f t="shared" si="91"/>
        <v>5579000000</v>
      </c>
    </row>
    <row r="1458" spans="1:15" x14ac:dyDescent="0.3">
      <c r="A1458" t="s">
        <v>505</v>
      </c>
      <c r="B1458">
        <v>2</v>
      </c>
      <c r="C1458">
        <v>2014</v>
      </c>
      <c r="D1458" s="1">
        <v>41671</v>
      </c>
      <c r="E1458" s="2">
        <v>71279000000</v>
      </c>
      <c r="F1458" s="2">
        <v>50039000000</v>
      </c>
      <c r="G1458" s="2">
        <v>14465000000</v>
      </c>
      <c r="H1458">
        <v>0</v>
      </c>
      <c r="I1458" s="2">
        <v>1996000000</v>
      </c>
      <c r="J1458" t="s">
        <v>15</v>
      </c>
      <c r="K1458" t="s">
        <v>193</v>
      </c>
      <c r="L1458" s="37">
        <f t="shared" si="88"/>
        <v>0.2979839784508761</v>
      </c>
      <c r="M1458" s="2">
        <f t="shared" si="89"/>
        <v>21240000000</v>
      </c>
      <c r="N1458" s="37">
        <f t="shared" si="90"/>
        <v>6.7046395151447127E-2</v>
      </c>
      <c r="O1458" s="2">
        <f t="shared" si="91"/>
        <v>4779000000</v>
      </c>
    </row>
    <row r="1459" spans="1:15" x14ac:dyDescent="0.3">
      <c r="A1459" t="s">
        <v>505</v>
      </c>
      <c r="B1459">
        <v>3</v>
      </c>
      <c r="C1459">
        <v>2015</v>
      </c>
      <c r="D1459" s="1">
        <v>42035</v>
      </c>
      <c r="E1459" s="2">
        <v>72618000000</v>
      </c>
      <c r="F1459" s="2">
        <v>51278000000</v>
      </c>
      <c r="G1459" s="2">
        <v>14676000000</v>
      </c>
      <c r="H1459">
        <v>0</v>
      </c>
      <c r="I1459" s="2">
        <v>2129000000</v>
      </c>
      <c r="J1459" t="s">
        <v>15</v>
      </c>
      <c r="K1459" t="s">
        <v>193</v>
      </c>
      <c r="L1459" s="37">
        <f t="shared" si="88"/>
        <v>0.29386653446803823</v>
      </c>
      <c r="M1459" s="2">
        <f t="shared" si="89"/>
        <v>21340000000</v>
      </c>
      <c r="N1459" s="37">
        <f t="shared" si="90"/>
        <v>6.2450081247073727E-2</v>
      </c>
      <c r="O1459" s="2">
        <f t="shared" si="91"/>
        <v>4535000000</v>
      </c>
    </row>
    <row r="1460" spans="1:15" x14ac:dyDescent="0.3">
      <c r="A1460" t="s">
        <v>505</v>
      </c>
      <c r="B1460">
        <v>4</v>
      </c>
      <c r="C1460">
        <v>2016</v>
      </c>
      <c r="D1460" s="1">
        <v>42399</v>
      </c>
      <c r="E1460" s="2">
        <v>73785000000</v>
      </c>
      <c r="F1460" s="2">
        <v>51997000000</v>
      </c>
      <c r="G1460" s="2">
        <v>14665000000</v>
      </c>
      <c r="H1460">
        <v>0</v>
      </c>
      <c r="I1460" s="2">
        <v>2213000000</v>
      </c>
      <c r="J1460" t="s">
        <v>15</v>
      </c>
      <c r="K1460" t="s">
        <v>193</v>
      </c>
      <c r="L1460" s="37">
        <f t="shared" si="88"/>
        <v>0.29529037067154573</v>
      </c>
      <c r="M1460" s="2">
        <f t="shared" si="89"/>
        <v>21788000000</v>
      </c>
      <c r="N1460" s="37">
        <f t="shared" si="90"/>
        <v>6.6544690655282235E-2</v>
      </c>
      <c r="O1460" s="2">
        <f t="shared" si="91"/>
        <v>4910000000</v>
      </c>
    </row>
    <row r="1461" spans="1:15" x14ac:dyDescent="0.3">
      <c r="A1461" t="s">
        <v>506</v>
      </c>
      <c r="B1461">
        <v>1</v>
      </c>
      <c r="C1461">
        <v>2013</v>
      </c>
      <c r="D1461" s="1">
        <v>41305</v>
      </c>
      <c r="E1461" s="2">
        <v>3794249000</v>
      </c>
      <c r="F1461" s="2">
        <v>1630965000</v>
      </c>
      <c r="G1461" s="2">
        <v>1466067000</v>
      </c>
      <c r="H1461">
        <v>0</v>
      </c>
      <c r="I1461">
        <v>0</v>
      </c>
      <c r="J1461" t="s">
        <v>15</v>
      </c>
      <c r="K1461" t="s">
        <v>285</v>
      </c>
      <c r="L1461" s="37">
        <f t="shared" si="88"/>
        <v>0.57014813735208203</v>
      </c>
      <c r="M1461" s="2">
        <f t="shared" si="89"/>
        <v>2163284000</v>
      </c>
      <c r="N1461" s="37">
        <f t="shared" si="90"/>
        <v>0.18375625848488067</v>
      </c>
      <c r="O1461" s="2">
        <f t="shared" si="91"/>
        <v>697217000</v>
      </c>
    </row>
    <row r="1462" spans="1:15" x14ac:dyDescent="0.3">
      <c r="A1462" t="s">
        <v>506</v>
      </c>
      <c r="B1462">
        <v>2</v>
      </c>
      <c r="C1462">
        <v>2014</v>
      </c>
      <c r="D1462" s="1">
        <v>41670</v>
      </c>
      <c r="E1462" s="2">
        <v>4031100000</v>
      </c>
      <c r="F1462" s="2">
        <v>1690700000</v>
      </c>
      <c r="G1462" s="2">
        <v>2036100000</v>
      </c>
      <c r="H1462">
        <v>0</v>
      </c>
      <c r="I1462">
        <v>0</v>
      </c>
      <c r="J1462" t="s">
        <v>15</v>
      </c>
      <c r="K1462" t="s">
        <v>285</v>
      </c>
      <c r="L1462" s="37">
        <f t="shared" si="88"/>
        <v>0.58058594428319821</v>
      </c>
      <c r="M1462" s="2">
        <f t="shared" si="89"/>
        <v>2340400000</v>
      </c>
      <c r="N1462" s="37">
        <f t="shared" si="90"/>
        <v>7.5488080176626726E-2</v>
      </c>
      <c r="O1462" s="2">
        <f t="shared" si="91"/>
        <v>304300000</v>
      </c>
    </row>
    <row r="1463" spans="1:15" x14ac:dyDescent="0.3">
      <c r="A1463" t="s">
        <v>506</v>
      </c>
      <c r="B1463">
        <v>3</v>
      </c>
      <c r="C1463">
        <v>2015</v>
      </c>
      <c r="D1463" s="1">
        <v>42035</v>
      </c>
      <c r="E1463" s="2">
        <v>4249900000</v>
      </c>
      <c r="F1463" s="2">
        <v>1712700000</v>
      </c>
      <c r="G1463" s="2">
        <v>1645800000</v>
      </c>
      <c r="H1463">
        <v>0</v>
      </c>
      <c r="I1463">
        <v>0</v>
      </c>
      <c r="J1463" t="s">
        <v>15</v>
      </c>
      <c r="K1463" t="s">
        <v>285</v>
      </c>
      <c r="L1463" s="37">
        <f t="shared" si="88"/>
        <v>0.59700228240664488</v>
      </c>
      <c r="M1463" s="2">
        <f t="shared" si="89"/>
        <v>2537200000</v>
      </c>
      <c r="N1463" s="37">
        <f t="shared" si="90"/>
        <v>0.20974611167321583</v>
      </c>
      <c r="O1463" s="2">
        <f t="shared" si="91"/>
        <v>891400000</v>
      </c>
    </row>
    <row r="1464" spans="1:15" x14ac:dyDescent="0.3">
      <c r="A1464" t="s">
        <v>506</v>
      </c>
      <c r="B1464">
        <v>4</v>
      </c>
      <c r="C1464">
        <v>2016</v>
      </c>
      <c r="D1464" s="1">
        <v>42400</v>
      </c>
      <c r="E1464" s="2">
        <v>4104900000</v>
      </c>
      <c r="F1464" s="2">
        <v>1613600000</v>
      </c>
      <c r="G1464" s="2">
        <v>1731200000</v>
      </c>
      <c r="H1464">
        <v>0</v>
      </c>
      <c r="I1464">
        <v>0</v>
      </c>
      <c r="J1464" t="s">
        <v>15</v>
      </c>
      <c r="K1464" t="s">
        <v>285</v>
      </c>
      <c r="L1464" s="37">
        <f t="shared" si="88"/>
        <v>0.60690881629272331</v>
      </c>
      <c r="M1464" s="2">
        <f t="shared" si="89"/>
        <v>2491300000</v>
      </c>
      <c r="N1464" s="37">
        <f t="shared" si="90"/>
        <v>0.18516894443226389</v>
      </c>
      <c r="O1464" s="2">
        <f t="shared" si="91"/>
        <v>760100000</v>
      </c>
    </row>
    <row r="1465" spans="1:15" x14ac:dyDescent="0.3">
      <c r="A1465" t="s">
        <v>507</v>
      </c>
      <c r="B1465">
        <v>1</v>
      </c>
      <c r="C1465">
        <v>2013</v>
      </c>
      <c r="D1465" s="1">
        <v>41307</v>
      </c>
      <c r="E1465" s="2">
        <v>25878372000</v>
      </c>
      <c r="F1465" s="2">
        <v>18521400000</v>
      </c>
      <c r="G1465" s="2">
        <v>4250446000</v>
      </c>
      <c r="H1465">
        <v>0</v>
      </c>
      <c r="I1465">
        <v>0</v>
      </c>
      <c r="J1465" t="s">
        <v>15</v>
      </c>
      <c r="K1465" t="s">
        <v>253</v>
      </c>
      <c r="L1465" s="37">
        <f t="shared" si="88"/>
        <v>0.28429037189820128</v>
      </c>
      <c r="M1465" s="2">
        <f t="shared" si="89"/>
        <v>7356972000</v>
      </c>
      <c r="N1465" s="37">
        <f t="shared" si="90"/>
        <v>0.1200433319375732</v>
      </c>
      <c r="O1465" s="2">
        <f t="shared" si="91"/>
        <v>3106526000</v>
      </c>
    </row>
    <row r="1466" spans="1:15" x14ac:dyDescent="0.3">
      <c r="A1466" t="s">
        <v>507</v>
      </c>
      <c r="B1466">
        <v>2</v>
      </c>
      <c r="C1466">
        <v>2014</v>
      </c>
      <c r="D1466" s="1">
        <v>41671</v>
      </c>
      <c r="E1466" s="2">
        <v>27422696000</v>
      </c>
      <c r="F1466" s="2">
        <v>19605037000</v>
      </c>
      <c r="G1466" s="2">
        <v>4467089000</v>
      </c>
      <c r="H1466">
        <v>0</v>
      </c>
      <c r="I1466">
        <v>0</v>
      </c>
      <c r="J1466" t="s">
        <v>15</v>
      </c>
      <c r="K1466" t="s">
        <v>253</v>
      </c>
      <c r="L1466" s="37">
        <f t="shared" si="88"/>
        <v>0.2850798841951937</v>
      </c>
      <c r="M1466" s="2">
        <f t="shared" si="89"/>
        <v>7817659000</v>
      </c>
      <c r="N1466" s="37">
        <f t="shared" si="90"/>
        <v>0.12218237039859246</v>
      </c>
      <c r="O1466" s="2">
        <f t="shared" si="91"/>
        <v>3350570000</v>
      </c>
    </row>
    <row r="1467" spans="1:15" x14ac:dyDescent="0.3">
      <c r="A1467" t="s">
        <v>507</v>
      </c>
      <c r="B1467">
        <v>3</v>
      </c>
      <c r="C1467">
        <v>2015</v>
      </c>
      <c r="D1467" s="1">
        <v>42035</v>
      </c>
      <c r="E1467" s="2">
        <v>29078407000</v>
      </c>
      <c r="F1467" s="2">
        <v>20776522000</v>
      </c>
      <c r="G1467" s="2">
        <v>4695384000</v>
      </c>
      <c r="H1467">
        <v>0</v>
      </c>
      <c r="I1467">
        <v>0</v>
      </c>
      <c r="J1467" t="s">
        <v>15</v>
      </c>
      <c r="K1467" t="s">
        <v>253</v>
      </c>
      <c r="L1467" s="37">
        <f t="shared" si="88"/>
        <v>0.28549999317362884</v>
      </c>
      <c r="M1467" s="2">
        <f t="shared" si="89"/>
        <v>8301885000</v>
      </c>
      <c r="N1467" s="37">
        <f t="shared" si="90"/>
        <v>0.1240267735436814</v>
      </c>
      <c r="O1467" s="2">
        <f t="shared" si="91"/>
        <v>3606501000</v>
      </c>
    </row>
    <row r="1468" spans="1:15" x14ac:dyDescent="0.3">
      <c r="A1468" t="s">
        <v>507</v>
      </c>
      <c r="B1468">
        <v>4</v>
      </c>
      <c r="C1468">
        <v>2016</v>
      </c>
      <c r="D1468" s="1">
        <v>42399</v>
      </c>
      <c r="E1468" s="2">
        <v>30944938000</v>
      </c>
      <c r="F1468" s="2">
        <v>22034523000</v>
      </c>
      <c r="G1468" s="2">
        <v>5205715000</v>
      </c>
      <c r="H1468">
        <v>0</v>
      </c>
      <c r="I1468">
        <v>0</v>
      </c>
      <c r="J1468" t="s">
        <v>15</v>
      </c>
      <c r="K1468" t="s">
        <v>253</v>
      </c>
      <c r="L1468" s="37">
        <f t="shared" si="88"/>
        <v>0.28794418654191523</v>
      </c>
      <c r="M1468" s="2">
        <f t="shared" si="89"/>
        <v>8910415000</v>
      </c>
      <c r="N1468" s="37">
        <f t="shared" si="90"/>
        <v>0.11971909589865716</v>
      </c>
      <c r="O1468" s="2">
        <f t="shared" si="91"/>
        <v>3704700000</v>
      </c>
    </row>
    <row r="1469" spans="1:15" x14ac:dyDescent="0.3">
      <c r="A1469" t="s">
        <v>393</v>
      </c>
      <c r="B1469">
        <v>3</v>
      </c>
      <c r="C1469">
        <v>2014</v>
      </c>
      <c r="D1469" s="1">
        <v>42004</v>
      </c>
      <c r="E1469" s="2">
        <v>42237000000</v>
      </c>
      <c r="F1469" s="2">
        <v>16768000000</v>
      </c>
      <c r="G1469" s="2">
        <v>11606000000</v>
      </c>
      <c r="H1469" s="2">
        <v>7180000000</v>
      </c>
      <c r="I1469">
        <v>0</v>
      </c>
      <c r="J1469" t="s">
        <v>21</v>
      </c>
      <c r="K1469" t="s">
        <v>22</v>
      </c>
      <c r="L1469" s="37">
        <f t="shared" si="88"/>
        <v>0.60300210715723179</v>
      </c>
      <c r="M1469" s="2">
        <f t="shared" si="89"/>
        <v>25469000000</v>
      </c>
      <c r="N1469" s="37">
        <f t="shared" si="90"/>
        <v>0.15822619977744631</v>
      </c>
      <c r="O1469" s="2">
        <f t="shared" si="91"/>
        <v>6683000000</v>
      </c>
    </row>
    <row r="1470" spans="1:15" x14ac:dyDescent="0.3">
      <c r="A1470" t="s">
        <v>393</v>
      </c>
      <c r="B1470">
        <v>4</v>
      </c>
      <c r="C1470">
        <v>2015</v>
      </c>
      <c r="D1470" s="1">
        <v>42369</v>
      </c>
      <c r="E1470" s="2">
        <v>39498000000</v>
      </c>
      <c r="F1470" s="2">
        <v>14934000000</v>
      </c>
      <c r="G1470" s="2">
        <v>10313000000</v>
      </c>
      <c r="H1470" s="2">
        <v>6704000000</v>
      </c>
      <c r="I1470">
        <v>0</v>
      </c>
      <c r="J1470" t="s">
        <v>21</v>
      </c>
      <c r="K1470" t="s">
        <v>22</v>
      </c>
      <c r="L1470" s="37">
        <f t="shared" si="88"/>
        <v>0.62190490657754816</v>
      </c>
      <c r="M1470" s="2">
        <f t="shared" si="89"/>
        <v>24564000000</v>
      </c>
      <c r="N1470" s="37">
        <f t="shared" si="90"/>
        <v>0.19107296571978327</v>
      </c>
      <c r="O1470" s="2">
        <f t="shared" si="91"/>
        <v>7547000000</v>
      </c>
    </row>
    <row r="1471" spans="1:15" x14ac:dyDescent="0.3">
      <c r="A1471" t="s">
        <v>398</v>
      </c>
      <c r="B1471">
        <v>1</v>
      </c>
      <c r="C1471">
        <v>2013</v>
      </c>
      <c r="D1471" s="1">
        <v>41639</v>
      </c>
      <c r="E1471" s="2">
        <v>2378972000</v>
      </c>
      <c r="F1471" s="2">
        <v>1097041000</v>
      </c>
      <c r="G1471" s="2">
        <v>692693000</v>
      </c>
      <c r="H1471" s="2">
        <v>116346000</v>
      </c>
      <c r="I1471" s="2">
        <v>24539000</v>
      </c>
      <c r="J1471" t="s">
        <v>21</v>
      </c>
      <c r="K1471" t="s">
        <v>314</v>
      </c>
      <c r="L1471" s="37">
        <f t="shared" si="88"/>
        <v>0.53885922154611321</v>
      </c>
      <c r="M1471" s="2">
        <f t="shared" si="89"/>
        <v>1281931000</v>
      </c>
      <c r="N1471" s="37">
        <f t="shared" si="90"/>
        <v>0.18846501766309146</v>
      </c>
      <c r="O1471" s="2">
        <f t="shared" si="91"/>
        <v>448353000</v>
      </c>
    </row>
    <row r="1472" spans="1:15" x14ac:dyDescent="0.3">
      <c r="A1472" t="s">
        <v>398</v>
      </c>
      <c r="B1472">
        <v>2</v>
      </c>
      <c r="C1472">
        <v>2014</v>
      </c>
      <c r="D1472" s="1">
        <v>42004</v>
      </c>
      <c r="E1472" s="2">
        <v>2485983000</v>
      </c>
      <c r="F1472" s="2">
        <v>1127233000</v>
      </c>
      <c r="G1472" s="2">
        <v>728582000</v>
      </c>
      <c r="H1472" s="2">
        <v>123297000</v>
      </c>
      <c r="I1472" s="2">
        <v>29185000</v>
      </c>
      <c r="J1472" t="s">
        <v>21</v>
      </c>
      <c r="K1472" t="s">
        <v>314</v>
      </c>
      <c r="L1472" s="37">
        <f t="shared" si="88"/>
        <v>0.54656447771364491</v>
      </c>
      <c r="M1472" s="2">
        <f t="shared" si="89"/>
        <v>1358750000</v>
      </c>
      <c r="N1472" s="37">
        <f t="shared" si="90"/>
        <v>0.19215175646816571</v>
      </c>
      <c r="O1472" s="2">
        <f t="shared" si="91"/>
        <v>477686000</v>
      </c>
    </row>
    <row r="1473" spans="1:15" x14ac:dyDescent="0.3">
      <c r="A1473" t="s">
        <v>398</v>
      </c>
      <c r="B1473">
        <v>3</v>
      </c>
      <c r="C1473">
        <v>2015</v>
      </c>
      <c r="D1473" s="1">
        <v>42369</v>
      </c>
      <c r="E1473" s="2">
        <v>2395447000</v>
      </c>
      <c r="F1473" s="2">
        <v>1043454000</v>
      </c>
      <c r="G1473" s="2">
        <v>700810000</v>
      </c>
      <c r="H1473" s="2">
        <v>119076000</v>
      </c>
      <c r="I1473" s="2">
        <v>30951000</v>
      </c>
      <c r="J1473" t="s">
        <v>21</v>
      </c>
      <c r="K1473" t="s">
        <v>314</v>
      </c>
      <c r="L1473" s="37">
        <f t="shared" si="88"/>
        <v>0.56440113264872904</v>
      </c>
      <c r="M1473" s="2">
        <f t="shared" si="89"/>
        <v>1351993000</v>
      </c>
      <c r="N1473" s="37">
        <f t="shared" si="90"/>
        <v>0.20921189239419616</v>
      </c>
      <c r="O1473" s="2">
        <f t="shared" si="91"/>
        <v>501156000</v>
      </c>
    </row>
    <row r="1474" spans="1:15" x14ac:dyDescent="0.3">
      <c r="A1474" t="s">
        <v>398</v>
      </c>
      <c r="B1474">
        <v>4</v>
      </c>
      <c r="C1474">
        <v>2016</v>
      </c>
      <c r="D1474" s="1">
        <v>42735</v>
      </c>
      <c r="E1474" s="2">
        <v>2508257000</v>
      </c>
      <c r="F1474" s="2">
        <v>1072670000</v>
      </c>
      <c r="G1474" s="2">
        <v>732622000</v>
      </c>
      <c r="H1474" s="2">
        <v>119968000</v>
      </c>
      <c r="I1474" s="2">
        <v>36052000</v>
      </c>
      <c r="J1474" t="s">
        <v>21</v>
      </c>
      <c r="K1474" t="s">
        <v>314</v>
      </c>
      <c r="L1474" s="37">
        <f t="shared" ref="L1474:L1537" si="92">1-(F1474/E1474)</f>
        <v>0.57234446071514999</v>
      </c>
      <c r="M1474" s="2">
        <f t="shared" ref="M1474:M1537" si="93">E1474-F1474</f>
        <v>1435587000</v>
      </c>
      <c r="N1474" s="37">
        <f t="shared" ref="N1474:N1537" si="94">O1474/E1474</f>
        <v>0.21805779870244557</v>
      </c>
      <c r="O1474" s="2">
        <f t="shared" ref="O1474:O1537" si="95">M1474-SUM(G1474:I1474)</f>
        <v>546945000</v>
      </c>
    </row>
    <row r="1475" spans="1:15" x14ac:dyDescent="0.3">
      <c r="A1475" t="s">
        <v>401</v>
      </c>
      <c r="B1475">
        <v>1</v>
      </c>
      <c r="C1475">
        <v>2014</v>
      </c>
      <c r="D1475" s="1">
        <v>42004</v>
      </c>
      <c r="E1475" s="2">
        <v>7719600000</v>
      </c>
      <c r="F1475" s="2">
        <v>4191600000</v>
      </c>
      <c r="G1475" s="2">
        <v>1545700000</v>
      </c>
      <c r="H1475" s="2">
        <v>581800000</v>
      </c>
      <c r="I1475">
        <v>0</v>
      </c>
      <c r="J1475" t="s">
        <v>21</v>
      </c>
      <c r="K1475" t="s">
        <v>22</v>
      </c>
      <c r="L1475" s="37">
        <f t="shared" si="92"/>
        <v>0.45701849836779107</v>
      </c>
      <c r="M1475" s="2">
        <f t="shared" si="93"/>
        <v>3528000000</v>
      </c>
      <c r="N1475" s="37">
        <f t="shared" si="94"/>
        <v>0.18142131716669258</v>
      </c>
      <c r="O1475" s="2">
        <f t="shared" si="95"/>
        <v>1400500000</v>
      </c>
    </row>
    <row r="1476" spans="1:15" x14ac:dyDescent="0.3">
      <c r="A1476" t="s">
        <v>401</v>
      </c>
      <c r="B1476">
        <v>2</v>
      </c>
      <c r="C1476">
        <v>2015</v>
      </c>
      <c r="D1476" s="1">
        <v>42369</v>
      </c>
      <c r="E1476" s="2">
        <v>9429300000</v>
      </c>
      <c r="F1476" s="2">
        <v>5213200000</v>
      </c>
      <c r="G1476" s="2">
        <v>2180700000</v>
      </c>
      <c r="H1476" s="2">
        <v>671900000</v>
      </c>
      <c r="I1476">
        <v>0</v>
      </c>
      <c r="J1476" t="s">
        <v>21</v>
      </c>
      <c r="K1476" t="s">
        <v>22</v>
      </c>
      <c r="L1476" s="37">
        <f t="shared" si="92"/>
        <v>0.44712757044531404</v>
      </c>
      <c r="M1476" s="2">
        <f t="shared" si="93"/>
        <v>4216100000</v>
      </c>
      <c r="N1476" s="37">
        <f t="shared" si="94"/>
        <v>0.14460246253698578</v>
      </c>
      <c r="O1476" s="2">
        <f t="shared" si="95"/>
        <v>1363500000</v>
      </c>
    </row>
    <row r="1477" spans="1:15" x14ac:dyDescent="0.3">
      <c r="A1477" t="s">
        <v>510</v>
      </c>
      <c r="B1477">
        <v>1</v>
      </c>
      <c r="C1477">
        <v>2012</v>
      </c>
      <c r="D1477" s="1">
        <v>41274</v>
      </c>
      <c r="E1477" s="2">
        <v>763000000</v>
      </c>
      <c r="F1477" s="2">
        <v>12000000</v>
      </c>
      <c r="G1477" s="2">
        <v>429000000</v>
      </c>
      <c r="H1477">
        <v>0</v>
      </c>
      <c r="I1477" s="2">
        <v>26000000</v>
      </c>
      <c r="J1477" t="s">
        <v>15</v>
      </c>
      <c r="K1477" t="s">
        <v>73</v>
      </c>
      <c r="L1477" s="37">
        <f t="shared" si="92"/>
        <v>0.98427260812581918</v>
      </c>
      <c r="M1477" s="2">
        <f t="shared" si="93"/>
        <v>751000000</v>
      </c>
      <c r="N1477" s="37">
        <f t="shared" si="94"/>
        <v>0.38794233289646135</v>
      </c>
      <c r="O1477" s="2">
        <f t="shared" si="95"/>
        <v>296000000</v>
      </c>
    </row>
    <row r="1478" spans="1:15" x14ac:dyDescent="0.3">
      <c r="A1478" t="s">
        <v>510</v>
      </c>
      <c r="B1478">
        <v>2</v>
      </c>
      <c r="C1478">
        <v>2013</v>
      </c>
      <c r="D1478" s="1">
        <v>41639</v>
      </c>
      <c r="E1478" s="2">
        <v>945000000</v>
      </c>
      <c r="F1478" s="2">
        <v>18000000</v>
      </c>
      <c r="G1478" s="2">
        <v>597000000</v>
      </c>
      <c r="H1478">
        <v>0</v>
      </c>
      <c r="I1478" s="2">
        <v>36000000</v>
      </c>
      <c r="J1478" t="s">
        <v>15</v>
      </c>
      <c r="K1478" t="s">
        <v>73</v>
      </c>
      <c r="L1478" s="37">
        <f t="shared" si="92"/>
        <v>0.98095238095238091</v>
      </c>
      <c r="M1478" s="2">
        <f t="shared" si="93"/>
        <v>927000000</v>
      </c>
      <c r="N1478" s="37">
        <f t="shared" si="94"/>
        <v>0.31111111111111112</v>
      </c>
      <c r="O1478" s="2">
        <f t="shared" si="95"/>
        <v>294000000</v>
      </c>
    </row>
    <row r="1479" spans="1:15" x14ac:dyDescent="0.3">
      <c r="A1479" t="s">
        <v>510</v>
      </c>
      <c r="B1479">
        <v>3</v>
      </c>
      <c r="C1479">
        <v>2014</v>
      </c>
      <c r="D1479" s="1">
        <v>42004</v>
      </c>
      <c r="E1479" s="2">
        <v>1246000000</v>
      </c>
      <c r="F1479" s="2">
        <v>40000000</v>
      </c>
      <c r="G1479" s="2">
        <v>801000000</v>
      </c>
      <c r="H1479">
        <v>0</v>
      </c>
      <c r="I1479" s="2">
        <v>65000000</v>
      </c>
      <c r="J1479" t="s">
        <v>15</v>
      </c>
      <c r="K1479" t="s">
        <v>73</v>
      </c>
      <c r="L1479" s="37">
        <f t="shared" si="92"/>
        <v>0.9678972712680578</v>
      </c>
      <c r="M1479" s="2">
        <f t="shared" si="93"/>
        <v>1206000000</v>
      </c>
      <c r="N1479" s="37">
        <f t="shared" si="94"/>
        <v>0.27287319422150885</v>
      </c>
      <c r="O1479" s="2">
        <f t="shared" si="95"/>
        <v>340000000</v>
      </c>
    </row>
    <row r="1480" spans="1:15" x14ac:dyDescent="0.3">
      <c r="A1480" t="s">
        <v>510</v>
      </c>
      <c r="B1480">
        <v>4</v>
      </c>
      <c r="C1480">
        <v>2015</v>
      </c>
      <c r="D1480" s="1">
        <v>42369</v>
      </c>
      <c r="E1480" s="2">
        <v>1492000000</v>
      </c>
      <c r="F1480" s="2">
        <v>58000000</v>
      </c>
      <c r="G1480" s="2">
        <v>1109000000</v>
      </c>
      <c r="H1480">
        <v>0</v>
      </c>
      <c r="I1480" s="2">
        <v>93000000</v>
      </c>
      <c r="J1480" t="s">
        <v>15</v>
      </c>
      <c r="K1480" t="s">
        <v>73</v>
      </c>
      <c r="L1480" s="37">
        <f t="shared" si="92"/>
        <v>0.96112600536193027</v>
      </c>
      <c r="M1480" s="2">
        <f t="shared" si="93"/>
        <v>1434000000</v>
      </c>
      <c r="N1480" s="37">
        <f t="shared" si="94"/>
        <v>0.15549597855227881</v>
      </c>
      <c r="O1480" s="2">
        <f t="shared" si="95"/>
        <v>232000000</v>
      </c>
    </row>
    <row r="1481" spans="1:15" x14ac:dyDescent="0.3">
      <c r="A1481" t="s">
        <v>431</v>
      </c>
      <c r="B1481">
        <v>1</v>
      </c>
      <c r="C1481">
        <v>2013</v>
      </c>
      <c r="D1481" s="1">
        <v>41391</v>
      </c>
      <c r="E1481" s="2">
        <v>3637212000</v>
      </c>
      <c r="F1481" s="2">
        <v>2446443000</v>
      </c>
      <c r="G1481">
        <v>0</v>
      </c>
      <c r="H1481">
        <v>0</v>
      </c>
      <c r="I1481">
        <v>0</v>
      </c>
      <c r="J1481" t="s">
        <v>21</v>
      </c>
      <c r="K1481" t="s">
        <v>162</v>
      </c>
      <c r="L1481" s="37">
        <f t="shared" si="92"/>
        <v>0.32738509605708987</v>
      </c>
      <c r="M1481" s="2">
        <f t="shared" si="93"/>
        <v>1190769000</v>
      </c>
      <c r="N1481" s="37">
        <f t="shared" si="94"/>
        <v>0.32738509605708987</v>
      </c>
      <c r="O1481" s="2">
        <f t="shared" si="95"/>
        <v>1190769000</v>
      </c>
    </row>
    <row r="1482" spans="1:15" x14ac:dyDescent="0.3">
      <c r="A1482" t="s">
        <v>431</v>
      </c>
      <c r="B1482">
        <v>2</v>
      </c>
      <c r="C1482">
        <v>2014</v>
      </c>
      <c r="D1482" s="1">
        <v>41755</v>
      </c>
      <c r="E1482" s="2">
        <v>3585141000</v>
      </c>
      <c r="F1482" s="2">
        <v>2566444000</v>
      </c>
      <c r="G1482">
        <v>0</v>
      </c>
      <c r="H1482">
        <v>0</v>
      </c>
      <c r="I1482">
        <v>0</v>
      </c>
      <c r="J1482" t="s">
        <v>21</v>
      </c>
      <c r="K1482" t="s">
        <v>162</v>
      </c>
      <c r="L1482" s="37">
        <f t="shared" si="92"/>
        <v>0.2841441940498296</v>
      </c>
      <c r="M1482" s="2">
        <f t="shared" si="93"/>
        <v>1018697000</v>
      </c>
      <c r="N1482" s="37">
        <f t="shared" si="94"/>
        <v>0.28414419404982955</v>
      </c>
      <c r="O1482" s="2">
        <f t="shared" si="95"/>
        <v>1018697000</v>
      </c>
    </row>
    <row r="1483" spans="1:15" x14ac:dyDescent="0.3">
      <c r="A1483" t="s">
        <v>431</v>
      </c>
      <c r="B1483">
        <v>3</v>
      </c>
      <c r="C1483">
        <v>2015</v>
      </c>
      <c r="D1483" s="1">
        <v>42119</v>
      </c>
      <c r="E1483" s="2">
        <v>3910865000</v>
      </c>
      <c r="F1483" s="2">
        <v>2850316000</v>
      </c>
      <c r="G1483">
        <v>0</v>
      </c>
      <c r="H1483">
        <v>0</v>
      </c>
      <c r="I1483">
        <v>0</v>
      </c>
      <c r="J1483" t="s">
        <v>21</v>
      </c>
      <c r="K1483" t="s">
        <v>162</v>
      </c>
      <c r="L1483" s="37">
        <f t="shared" si="92"/>
        <v>0.27118016091069364</v>
      </c>
      <c r="M1483" s="2">
        <f t="shared" si="93"/>
        <v>1060549000</v>
      </c>
      <c r="N1483" s="37">
        <f t="shared" si="94"/>
        <v>0.27118016091069369</v>
      </c>
      <c r="O1483" s="2">
        <f t="shared" si="95"/>
        <v>1060549000</v>
      </c>
    </row>
    <row r="1484" spans="1:15" x14ac:dyDescent="0.3">
      <c r="A1484" t="s">
        <v>431</v>
      </c>
      <c r="B1484">
        <v>4</v>
      </c>
      <c r="C1484">
        <v>2016</v>
      </c>
      <c r="D1484" s="1">
        <v>42490</v>
      </c>
      <c r="E1484" s="2">
        <v>5386703000</v>
      </c>
      <c r="F1484" s="2">
        <v>4063955000</v>
      </c>
      <c r="G1484">
        <v>0</v>
      </c>
      <c r="H1484">
        <v>0</v>
      </c>
      <c r="I1484">
        <v>0</v>
      </c>
      <c r="J1484" t="s">
        <v>21</v>
      </c>
      <c r="K1484" t="s">
        <v>162</v>
      </c>
      <c r="L1484" s="37">
        <f t="shared" si="92"/>
        <v>0.24555799716449933</v>
      </c>
      <c r="M1484" s="2">
        <f t="shared" si="93"/>
        <v>1322748000</v>
      </c>
      <c r="N1484" s="37">
        <f t="shared" si="94"/>
        <v>0.24555799716449933</v>
      </c>
      <c r="O1484" s="2">
        <f t="shared" si="95"/>
        <v>1322748000</v>
      </c>
    </row>
    <row r="1485" spans="1:15" x14ac:dyDescent="0.3">
      <c r="A1485" t="s">
        <v>512</v>
      </c>
      <c r="B1485">
        <v>1</v>
      </c>
      <c r="C1485">
        <v>2012</v>
      </c>
      <c r="D1485" s="1">
        <v>41272</v>
      </c>
      <c r="E1485" s="2">
        <v>4664120000</v>
      </c>
      <c r="F1485" s="2">
        <v>3098066000</v>
      </c>
      <c r="G1485" s="2">
        <v>1040287000</v>
      </c>
      <c r="H1485">
        <v>0</v>
      </c>
      <c r="I1485" s="2">
        <v>88975000</v>
      </c>
      <c r="J1485" t="s">
        <v>15</v>
      </c>
      <c r="K1485" t="s">
        <v>513</v>
      </c>
      <c r="L1485" s="37">
        <f t="shared" si="92"/>
        <v>0.33576623242969739</v>
      </c>
      <c r="M1485" s="2">
        <f t="shared" si="93"/>
        <v>1566054000</v>
      </c>
      <c r="N1485" s="37">
        <f t="shared" si="94"/>
        <v>9.3649391525089401E-2</v>
      </c>
      <c r="O1485" s="2">
        <f t="shared" si="95"/>
        <v>436792000</v>
      </c>
    </row>
    <row r="1486" spans="1:15" x14ac:dyDescent="0.3">
      <c r="A1486" t="s">
        <v>512</v>
      </c>
      <c r="B1486">
        <v>2</v>
      </c>
      <c r="C1486">
        <v>2013</v>
      </c>
      <c r="D1486" s="1">
        <v>41636</v>
      </c>
      <c r="E1486" s="2">
        <v>5164784000</v>
      </c>
      <c r="F1486" s="2">
        <v>3411175000</v>
      </c>
      <c r="G1486" s="2">
        <v>1138934000</v>
      </c>
      <c r="H1486">
        <v>0</v>
      </c>
      <c r="I1486" s="2">
        <v>100025000</v>
      </c>
      <c r="J1486" t="s">
        <v>15</v>
      </c>
      <c r="K1486" t="s">
        <v>513</v>
      </c>
      <c r="L1486" s="37">
        <f t="shared" si="92"/>
        <v>0.33953191459700927</v>
      </c>
      <c r="M1486" s="2">
        <f t="shared" si="93"/>
        <v>1753609000</v>
      </c>
      <c r="N1486" s="37">
        <f t="shared" si="94"/>
        <v>9.9645987131310815E-2</v>
      </c>
      <c r="O1486" s="2">
        <f t="shared" si="95"/>
        <v>514650000</v>
      </c>
    </row>
    <row r="1487" spans="1:15" x14ac:dyDescent="0.3">
      <c r="A1487" t="s">
        <v>512</v>
      </c>
      <c r="B1487">
        <v>3</v>
      </c>
      <c r="C1487">
        <v>2014</v>
      </c>
      <c r="D1487" s="1">
        <v>42000</v>
      </c>
      <c r="E1487" s="2">
        <v>5711715000</v>
      </c>
      <c r="F1487" s="2">
        <v>3761300000</v>
      </c>
      <c r="G1487" s="2">
        <v>1246308000</v>
      </c>
      <c r="H1487">
        <v>0</v>
      </c>
      <c r="I1487" s="2">
        <v>114635000</v>
      </c>
      <c r="J1487" t="s">
        <v>15</v>
      </c>
      <c r="K1487" t="s">
        <v>513</v>
      </c>
      <c r="L1487" s="37">
        <f t="shared" si="92"/>
        <v>0.34147624662645104</v>
      </c>
      <c r="M1487" s="2">
        <f t="shared" si="93"/>
        <v>1950415000</v>
      </c>
      <c r="N1487" s="37">
        <f t="shared" si="94"/>
        <v>0.10320402891250702</v>
      </c>
      <c r="O1487" s="2">
        <f t="shared" si="95"/>
        <v>589472000</v>
      </c>
    </row>
    <row r="1488" spans="1:15" x14ac:dyDescent="0.3">
      <c r="A1488" t="s">
        <v>512</v>
      </c>
      <c r="B1488">
        <v>4</v>
      </c>
      <c r="C1488">
        <v>2015</v>
      </c>
      <c r="D1488" s="1">
        <v>42364</v>
      </c>
      <c r="E1488" s="2">
        <v>6226507000</v>
      </c>
      <c r="F1488" s="2">
        <v>4083333000</v>
      </c>
      <c r="G1488" s="2">
        <v>1369097000</v>
      </c>
      <c r="H1488">
        <v>0</v>
      </c>
      <c r="I1488" s="2">
        <v>123569000</v>
      </c>
      <c r="J1488" t="s">
        <v>15</v>
      </c>
      <c r="K1488" t="s">
        <v>513</v>
      </c>
      <c r="L1488" s="37">
        <f t="shared" si="92"/>
        <v>0.34420165270833225</v>
      </c>
      <c r="M1488" s="2">
        <f t="shared" si="93"/>
        <v>2143174000</v>
      </c>
      <c r="N1488" s="37">
        <f t="shared" si="94"/>
        <v>0.10447398517338854</v>
      </c>
      <c r="O1488" s="2">
        <f t="shared" si="95"/>
        <v>650508000</v>
      </c>
    </row>
    <row r="1489" spans="1:15" x14ac:dyDescent="0.3">
      <c r="A1489" t="s">
        <v>514</v>
      </c>
      <c r="B1489">
        <v>1</v>
      </c>
      <c r="C1489">
        <v>2013</v>
      </c>
      <c r="D1489" s="1">
        <v>41550</v>
      </c>
      <c r="E1489" s="2">
        <v>34374000000</v>
      </c>
      <c r="F1489" s="2">
        <v>32016000000</v>
      </c>
      <c r="G1489" s="2">
        <v>983000000</v>
      </c>
      <c r="H1489">
        <v>0</v>
      </c>
      <c r="I1489">
        <v>0</v>
      </c>
      <c r="J1489" t="s">
        <v>32</v>
      </c>
      <c r="K1489" t="s">
        <v>120</v>
      </c>
      <c r="L1489" s="37">
        <f t="shared" si="92"/>
        <v>6.8598359224995686E-2</v>
      </c>
      <c r="M1489" s="2">
        <f t="shared" si="93"/>
        <v>2358000000</v>
      </c>
      <c r="N1489" s="37">
        <f t="shared" si="94"/>
        <v>4.0001163670215861E-2</v>
      </c>
      <c r="O1489" s="2">
        <f t="shared" si="95"/>
        <v>1375000000</v>
      </c>
    </row>
    <row r="1490" spans="1:15" x14ac:dyDescent="0.3">
      <c r="A1490" t="s">
        <v>514</v>
      </c>
      <c r="B1490">
        <v>2</v>
      </c>
      <c r="C1490">
        <v>2014</v>
      </c>
      <c r="D1490" s="1">
        <v>41915</v>
      </c>
      <c r="E1490" s="2">
        <v>37580000000</v>
      </c>
      <c r="F1490" s="2">
        <v>34895000000</v>
      </c>
      <c r="G1490" s="2">
        <v>1255000000</v>
      </c>
      <c r="H1490">
        <v>0</v>
      </c>
      <c r="I1490">
        <v>0</v>
      </c>
      <c r="J1490" t="s">
        <v>32</v>
      </c>
      <c r="K1490" t="s">
        <v>120</v>
      </c>
      <c r="L1490" s="37">
        <f t="shared" si="92"/>
        <v>7.1447578499201692E-2</v>
      </c>
      <c r="M1490" s="2">
        <f t="shared" si="93"/>
        <v>2685000000</v>
      </c>
      <c r="N1490" s="37">
        <f t="shared" si="94"/>
        <v>3.8052155401809472E-2</v>
      </c>
      <c r="O1490" s="2">
        <f t="shared" si="95"/>
        <v>1430000000</v>
      </c>
    </row>
    <row r="1491" spans="1:15" x14ac:dyDescent="0.3">
      <c r="A1491" t="s">
        <v>514</v>
      </c>
      <c r="B1491">
        <v>3</v>
      </c>
      <c r="C1491">
        <v>2015</v>
      </c>
      <c r="D1491" s="1">
        <v>42280</v>
      </c>
      <c r="E1491" s="2">
        <v>41373000000</v>
      </c>
      <c r="F1491" s="2">
        <v>37456000000</v>
      </c>
      <c r="G1491" s="2">
        <v>1748000000</v>
      </c>
      <c r="H1491">
        <v>0</v>
      </c>
      <c r="I1491">
        <v>0</v>
      </c>
      <c r="J1491" t="s">
        <v>32</v>
      </c>
      <c r="K1491" t="s">
        <v>120</v>
      </c>
      <c r="L1491" s="37">
        <f t="shared" si="92"/>
        <v>9.4675271312208431E-2</v>
      </c>
      <c r="M1491" s="2">
        <f t="shared" si="93"/>
        <v>3917000000</v>
      </c>
      <c r="N1491" s="37">
        <f t="shared" si="94"/>
        <v>5.2425494887970416E-2</v>
      </c>
      <c r="O1491" s="2">
        <f t="shared" si="95"/>
        <v>2169000000</v>
      </c>
    </row>
    <row r="1492" spans="1:15" x14ac:dyDescent="0.3">
      <c r="A1492" t="s">
        <v>514</v>
      </c>
      <c r="B1492">
        <v>4</v>
      </c>
      <c r="C1492">
        <v>2016</v>
      </c>
      <c r="D1492" s="1">
        <v>42644</v>
      </c>
      <c r="E1492" s="2">
        <v>36881000000</v>
      </c>
      <c r="F1492" s="2">
        <v>32184000000</v>
      </c>
      <c r="G1492" s="2">
        <v>1864000000</v>
      </c>
      <c r="H1492">
        <v>0</v>
      </c>
      <c r="I1492">
        <v>0</v>
      </c>
      <c r="J1492" t="s">
        <v>32</v>
      </c>
      <c r="K1492" t="s">
        <v>120</v>
      </c>
      <c r="L1492" s="37">
        <f t="shared" si="92"/>
        <v>0.12735554892763212</v>
      </c>
      <c r="M1492" s="2">
        <f t="shared" si="93"/>
        <v>4697000000</v>
      </c>
      <c r="N1492" s="37">
        <f t="shared" si="94"/>
        <v>7.6814619994034869E-2</v>
      </c>
      <c r="O1492" s="2">
        <f t="shared" si="95"/>
        <v>2833000000</v>
      </c>
    </row>
    <row r="1493" spans="1:15" x14ac:dyDescent="0.3">
      <c r="A1493" t="s">
        <v>515</v>
      </c>
      <c r="B1493">
        <v>1</v>
      </c>
      <c r="C1493">
        <v>2012</v>
      </c>
      <c r="D1493" s="1">
        <v>41274</v>
      </c>
      <c r="E1493" s="2">
        <v>29809000000</v>
      </c>
      <c r="F1493" s="2">
        <v>26045000000</v>
      </c>
      <c r="G1493" s="2">
        <v>1702000000</v>
      </c>
      <c r="H1493">
        <v>0</v>
      </c>
      <c r="I1493" s="2">
        <v>418000000</v>
      </c>
      <c r="J1493" t="s">
        <v>79</v>
      </c>
      <c r="K1493" t="s">
        <v>337</v>
      </c>
      <c r="L1493" s="37">
        <f t="shared" si="92"/>
        <v>0.12627058941930291</v>
      </c>
      <c r="M1493" s="2">
        <f t="shared" si="93"/>
        <v>3764000000</v>
      </c>
      <c r="N1493" s="37">
        <f t="shared" si="94"/>
        <v>5.5151128853701901E-2</v>
      </c>
      <c r="O1493" s="2">
        <f t="shared" si="95"/>
        <v>1644000000</v>
      </c>
    </row>
    <row r="1494" spans="1:15" x14ac:dyDescent="0.3">
      <c r="A1494" t="s">
        <v>515</v>
      </c>
      <c r="B1494">
        <v>2</v>
      </c>
      <c r="C1494">
        <v>2013</v>
      </c>
      <c r="D1494" s="1">
        <v>41639</v>
      </c>
      <c r="E1494" s="2">
        <v>37601000000</v>
      </c>
      <c r="F1494" s="2">
        <v>34085000000</v>
      </c>
      <c r="G1494" s="2">
        <v>2248000000</v>
      </c>
      <c r="H1494">
        <v>0</v>
      </c>
      <c r="I1494" s="2">
        <v>489000000</v>
      </c>
      <c r="J1494" t="s">
        <v>79</v>
      </c>
      <c r="K1494" t="s">
        <v>337</v>
      </c>
      <c r="L1494" s="37">
        <f t="shared" si="92"/>
        <v>9.3508151378952742E-2</v>
      </c>
      <c r="M1494" s="2">
        <f t="shared" si="93"/>
        <v>3516000000</v>
      </c>
      <c r="N1494" s="37">
        <f t="shared" si="94"/>
        <v>2.0717534108135423E-2</v>
      </c>
      <c r="O1494" s="2">
        <f t="shared" si="95"/>
        <v>779000000</v>
      </c>
    </row>
    <row r="1495" spans="1:15" x14ac:dyDescent="0.3">
      <c r="A1495" t="s">
        <v>515</v>
      </c>
      <c r="B1495">
        <v>3</v>
      </c>
      <c r="C1495">
        <v>2014</v>
      </c>
      <c r="D1495" s="1">
        <v>42004</v>
      </c>
      <c r="E1495" s="2">
        <v>40633000000</v>
      </c>
      <c r="F1495" s="2">
        <v>35673000000</v>
      </c>
      <c r="G1495" s="2">
        <v>2762000000</v>
      </c>
      <c r="H1495">
        <v>0</v>
      </c>
      <c r="I1495" s="2">
        <v>562000000</v>
      </c>
      <c r="J1495" t="s">
        <v>79</v>
      </c>
      <c r="K1495" t="s">
        <v>337</v>
      </c>
      <c r="L1495" s="37">
        <f t="shared" si="92"/>
        <v>0.12206826963305684</v>
      </c>
      <c r="M1495" s="2">
        <f t="shared" si="93"/>
        <v>4960000000</v>
      </c>
      <c r="N1495" s="37">
        <f t="shared" si="94"/>
        <v>4.0262840548322791E-2</v>
      </c>
      <c r="O1495" s="2">
        <f t="shared" si="95"/>
        <v>1636000000</v>
      </c>
    </row>
    <row r="1496" spans="1:15" x14ac:dyDescent="0.3">
      <c r="A1496" t="s">
        <v>515</v>
      </c>
      <c r="B1496">
        <v>4</v>
      </c>
      <c r="C1496">
        <v>2015</v>
      </c>
      <c r="D1496" s="1">
        <v>42369</v>
      </c>
      <c r="E1496" s="2">
        <v>28711000000</v>
      </c>
      <c r="F1496" s="2">
        <v>22466000000</v>
      </c>
      <c r="G1496" s="2">
        <v>2620000000</v>
      </c>
      <c r="H1496">
        <v>0</v>
      </c>
      <c r="I1496" s="2">
        <v>756000000</v>
      </c>
      <c r="J1496" t="s">
        <v>79</v>
      </c>
      <c r="K1496" t="s">
        <v>337</v>
      </c>
      <c r="L1496" s="37">
        <f t="shared" si="92"/>
        <v>0.21751245167357458</v>
      </c>
      <c r="M1496" s="2">
        <f t="shared" si="93"/>
        <v>6245000000</v>
      </c>
      <c r="N1496" s="37">
        <f t="shared" si="94"/>
        <v>9.9926857302079342E-2</v>
      </c>
      <c r="O1496" s="2">
        <f t="shared" si="95"/>
        <v>2869000000</v>
      </c>
    </row>
    <row r="1497" spans="1:15" x14ac:dyDescent="0.3">
      <c r="A1497" t="s">
        <v>516</v>
      </c>
      <c r="B1497">
        <v>1</v>
      </c>
      <c r="C1497">
        <v>2012</v>
      </c>
      <c r="D1497" s="1">
        <v>41274</v>
      </c>
      <c r="E1497" s="2">
        <v>1793557000</v>
      </c>
      <c r="F1497" s="2">
        <v>1189341000</v>
      </c>
      <c r="G1497" s="2">
        <v>247597000</v>
      </c>
      <c r="H1497">
        <v>0</v>
      </c>
      <c r="I1497">
        <v>0</v>
      </c>
      <c r="J1497" t="s">
        <v>18</v>
      </c>
      <c r="K1497" t="s">
        <v>53</v>
      </c>
      <c r="L1497" s="37">
        <f t="shared" si="92"/>
        <v>0.33688140382491327</v>
      </c>
      <c r="M1497" s="2">
        <f t="shared" si="93"/>
        <v>604216000</v>
      </c>
      <c r="N1497" s="37">
        <f t="shared" si="94"/>
        <v>0.19883337970301473</v>
      </c>
      <c r="O1497" s="2">
        <f t="shared" si="95"/>
        <v>356619000</v>
      </c>
    </row>
    <row r="1498" spans="1:15" x14ac:dyDescent="0.3">
      <c r="A1498" t="s">
        <v>516</v>
      </c>
      <c r="B1498">
        <v>2</v>
      </c>
      <c r="C1498">
        <v>2013</v>
      </c>
      <c r="D1498" s="1">
        <v>41639</v>
      </c>
      <c r="E1498" s="2">
        <v>2064305000</v>
      </c>
      <c r="F1498" s="2">
        <v>1369438000</v>
      </c>
      <c r="G1498" s="2">
        <v>312367000</v>
      </c>
      <c r="H1498">
        <v>0</v>
      </c>
      <c r="I1498">
        <v>0</v>
      </c>
      <c r="J1498" t="s">
        <v>18</v>
      </c>
      <c r="K1498" t="s">
        <v>53</v>
      </c>
      <c r="L1498" s="37">
        <f t="shared" si="92"/>
        <v>0.33661062682113352</v>
      </c>
      <c r="M1498" s="2">
        <f t="shared" si="93"/>
        <v>694867000</v>
      </c>
      <c r="N1498" s="37">
        <f t="shared" si="94"/>
        <v>0.18529238654171742</v>
      </c>
      <c r="O1498" s="2">
        <f t="shared" si="95"/>
        <v>382500000</v>
      </c>
    </row>
    <row r="1499" spans="1:15" x14ac:dyDescent="0.3">
      <c r="A1499" t="s">
        <v>516</v>
      </c>
      <c r="B1499">
        <v>3</v>
      </c>
      <c r="C1499">
        <v>2014</v>
      </c>
      <c r="D1499" s="1">
        <v>42004</v>
      </c>
      <c r="E1499" s="2">
        <v>2446877000</v>
      </c>
      <c r="F1499" s="2">
        <v>1668892000</v>
      </c>
      <c r="G1499" s="2">
        <v>346345000</v>
      </c>
      <c r="H1499">
        <v>0</v>
      </c>
      <c r="I1499">
        <v>0</v>
      </c>
      <c r="J1499" t="s">
        <v>18</v>
      </c>
      <c r="K1499" t="s">
        <v>53</v>
      </c>
      <c r="L1499" s="37">
        <f t="shared" si="92"/>
        <v>0.31795018711606671</v>
      </c>
      <c r="M1499" s="2">
        <f t="shared" si="93"/>
        <v>777985000</v>
      </c>
      <c r="N1499" s="37">
        <f t="shared" si="94"/>
        <v>0.17640445351360121</v>
      </c>
      <c r="O1499" s="2">
        <f t="shared" si="95"/>
        <v>431640000</v>
      </c>
    </row>
    <row r="1500" spans="1:15" x14ac:dyDescent="0.3">
      <c r="A1500" t="s">
        <v>516</v>
      </c>
      <c r="B1500">
        <v>4</v>
      </c>
      <c r="C1500">
        <v>2015</v>
      </c>
      <c r="D1500" s="1">
        <v>42369</v>
      </c>
      <c r="E1500" s="2">
        <v>2779541000</v>
      </c>
      <c r="F1500" s="2">
        <v>1855181000</v>
      </c>
      <c r="G1500" s="2">
        <v>390253000</v>
      </c>
      <c r="H1500">
        <v>0</v>
      </c>
      <c r="I1500">
        <v>0</v>
      </c>
      <c r="J1500" t="s">
        <v>18</v>
      </c>
      <c r="K1500" t="s">
        <v>53</v>
      </c>
      <c r="L1500" s="37">
        <f t="shared" si="92"/>
        <v>0.33255850516326257</v>
      </c>
      <c r="M1500" s="2">
        <f t="shared" si="93"/>
        <v>924360000</v>
      </c>
      <c r="N1500" s="37">
        <f t="shared" si="94"/>
        <v>0.1921565467104101</v>
      </c>
      <c r="O1500" s="2">
        <f t="shared" si="95"/>
        <v>534107000</v>
      </c>
    </row>
    <row r="1501" spans="1:15" x14ac:dyDescent="0.3">
      <c r="A1501" t="s">
        <v>517</v>
      </c>
      <c r="B1501">
        <v>1</v>
      </c>
      <c r="C1501">
        <v>2012</v>
      </c>
      <c r="D1501" s="1">
        <v>41274</v>
      </c>
      <c r="E1501" s="2">
        <v>12825000000</v>
      </c>
      <c r="F1501" s="2">
        <v>6457000000</v>
      </c>
      <c r="G1501" s="2">
        <v>1804000000</v>
      </c>
      <c r="H1501" s="2">
        <v>1877000000</v>
      </c>
      <c r="I1501">
        <v>0</v>
      </c>
      <c r="J1501" t="s">
        <v>18</v>
      </c>
      <c r="K1501" t="s">
        <v>30</v>
      </c>
      <c r="L1501" s="37">
        <f t="shared" si="92"/>
        <v>0.49653021442495127</v>
      </c>
      <c r="M1501" s="2">
        <f t="shared" si="93"/>
        <v>6368000000</v>
      </c>
      <c r="N1501" s="37">
        <f t="shared" si="94"/>
        <v>0.20951267056530215</v>
      </c>
      <c r="O1501" s="2">
        <f t="shared" si="95"/>
        <v>2687000000</v>
      </c>
    </row>
    <row r="1502" spans="1:15" x14ac:dyDescent="0.3">
      <c r="A1502" t="s">
        <v>517</v>
      </c>
      <c r="B1502">
        <v>2</v>
      </c>
      <c r="C1502">
        <v>2013</v>
      </c>
      <c r="D1502" s="1">
        <v>41639</v>
      </c>
      <c r="E1502" s="2">
        <v>12205000000</v>
      </c>
      <c r="F1502" s="2">
        <v>5841000000</v>
      </c>
      <c r="G1502" s="2">
        <v>1858000000</v>
      </c>
      <c r="H1502" s="2">
        <v>1522000000</v>
      </c>
      <c r="I1502">
        <v>0</v>
      </c>
      <c r="J1502" t="s">
        <v>18</v>
      </c>
      <c r="K1502" t="s">
        <v>30</v>
      </c>
      <c r="L1502" s="37">
        <f t="shared" si="92"/>
        <v>0.52142564522736579</v>
      </c>
      <c r="M1502" s="2">
        <f t="shared" si="93"/>
        <v>6364000000</v>
      </c>
      <c r="N1502" s="37">
        <f t="shared" si="94"/>
        <v>0.24448996312986482</v>
      </c>
      <c r="O1502" s="2">
        <f t="shared" si="95"/>
        <v>2984000000</v>
      </c>
    </row>
    <row r="1503" spans="1:15" x14ac:dyDescent="0.3">
      <c r="A1503" t="s">
        <v>517</v>
      </c>
      <c r="B1503">
        <v>3</v>
      </c>
      <c r="C1503">
        <v>2014</v>
      </c>
      <c r="D1503" s="1">
        <v>42004</v>
      </c>
      <c r="E1503" s="2">
        <v>13045000000</v>
      </c>
      <c r="F1503" s="2">
        <v>5618000000</v>
      </c>
      <c r="G1503" s="2">
        <v>1843000000</v>
      </c>
      <c r="H1503" s="2">
        <v>1358000000</v>
      </c>
      <c r="I1503">
        <v>0</v>
      </c>
      <c r="J1503" t="s">
        <v>18</v>
      </c>
      <c r="K1503" t="s">
        <v>30</v>
      </c>
      <c r="L1503" s="37">
        <f t="shared" si="92"/>
        <v>0.56933691069375247</v>
      </c>
      <c r="M1503" s="2">
        <f t="shared" si="93"/>
        <v>7427000000</v>
      </c>
      <c r="N1503" s="37">
        <f t="shared" si="94"/>
        <v>0.32395553852050596</v>
      </c>
      <c r="O1503" s="2">
        <f t="shared" si="95"/>
        <v>4226000000</v>
      </c>
    </row>
    <row r="1504" spans="1:15" x14ac:dyDescent="0.3">
      <c r="A1504" t="s">
        <v>517</v>
      </c>
      <c r="B1504">
        <v>4</v>
      </c>
      <c r="C1504">
        <v>2015</v>
      </c>
      <c r="D1504" s="1">
        <v>42369</v>
      </c>
      <c r="E1504" s="2">
        <v>13000000000</v>
      </c>
      <c r="F1504" s="2">
        <v>5440000000</v>
      </c>
      <c r="G1504" s="2">
        <v>1748000000</v>
      </c>
      <c r="H1504" s="2">
        <v>1280000000</v>
      </c>
      <c r="I1504">
        <v>0</v>
      </c>
      <c r="J1504" t="s">
        <v>18</v>
      </c>
      <c r="K1504" t="s">
        <v>30</v>
      </c>
      <c r="L1504" s="37">
        <f t="shared" si="92"/>
        <v>0.58153846153846156</v>
      </c>
      <c r="M1504" s="2">
        <f t="shared" si="93"/>
        <v>7560000000</v>
      </c>
      <c r="N1504" s="37">
        <f t="shared" si="94"/>
        <v>0.3486153846153846</v>
      </c>
      <c r="O1504" s="2">
        <f t="shared" si="95"/>
        <v>4532000000</v>
      </c>
    </row>
    <row r="1505" spans="1:15" x14ac:dyDescent="0.3">
      <c r="A1505" t="s">
        <v>518</v>
      </c>
      <c r="B1505">
        <v>1</v>
      </c>
      <c r="C1505">
        <v>2012</v>
      </c>
      <c r="D1505" s="1">
        <v>41272</v>
      </c>
      <c r="E1505" s="2">
        <v>12237000000</v>
      </c>
      <c r="F1505" s="2">
        <v>10019000000</v>
      </c>
      <c r="G1505" s="2">
        <v>1165000000</v>
      </c>
      <c r="H1505">
        <v>0</v>
      </c>
      <c r="I1505">
        <v>0</v>
      </c>
      <c r="J1505" t="s">
        <v>12</v>
      </c>
      <c r="K1505" t="s">
        <v>160</v>
      </c>
      <c r="L1505" s="37">
        <f t="shared" si="92"/>
        <v>0.18125357522268526</v>
      </c>
      <c r="M1505" s="2">
        <f t="shared" si="93"/>
        <v>2218000000</v>
      </c>
      <c r="N1505" s="37">
        <f t="shared" si="94"/>
        <v>8.6050502574160331E-2</v>
      </c>
      <c r="O1505" s="2">
        <f t="shared" si="95"/>
        <v>1053000000</v>
      </c>
    </row>
    <row r="1506" spans="1:15" x14ac:dyDescent="0.3">
      <c r="A1506" t="s">
        <v>518</v>
      </c>
      <c r="B1506">
        <v>2</v>
      </c>
      <c r="C1506">
        <v>2013</v>
      </c>
      <c r="D1506" s="1">
        <v>41636</v>
      </c>
      <c r="E1506" s="2">
        <v>12104000000</v>
      </c>
      <c r="F1506" s="2">
        <v>10131000000</v>
      </c>
      <c r="G1506" s="2">
        <v>1126000000</v>
      </c>
      <c r="H1506">
        <v>0</v>
      </c>
      <c r="I1506">
        <v>0</v>
      </c>
      <c r="J1506" t="s">
        <v>12</v>
      </c>
      <c r="K1506" t="s">
        <v>160</v>
      </c>
      <c r="L1506" s="37">
        <f t="shared" si="92"/>
        <v>0.16300396563119635</v>
      </c>
      <c r="M1506" s="2">
        <f t="shared" si="93"/>
        <v>1973000000</v>
      </c>
      <c r="N1506" s="37">
        <f t="shared" si="94"/>
        <v>6.9976867151354927E-2</v>
      </c>
      <c r="O1506" s="2">
        <f t="shared" si="95"/>
        <v>847000000</v>
      </c>
    </row>
    <row r="1507" spans="1:15" x14ac:dyDescent="0.3">
      <c r="A1507" t="s">
        <v>518</v>
      </c>
      <c r="B1507">
        <v>3</v>
      </c>
      <c r="C1507">
        <v>2015</v>
      </c>
      <c r="D1507" s="1">
        <v>42007</v>
      </c>
      <c r="E1507" s="2">
        <v>13878000000</v>
      </c>
      <c r="F1507" s="2">
        <v>11421000000</v>
      </c>
      <c r="G1507" s="2">
        <v>1361000000</v>
      </c>
      <c r="H1507">
        <v>0</v>
      </c>
      <c r="I1507">
        <v>0</v>
      </c>
      <c r="J1507" t="s">
        <v>12</v>
      </c>
      <c r="K1507" t="s">
        <v>160</v>
      </c>
      <c r="L1507" s="37">
        <f t="shared" si="92"/>
        <v>0.17704280155642027</v>
      </c>
      <c r="M1507" s="2">
        <f t="shared" si="93"/>
        <v>2457000000</v>
      </c>
      <c r="N1507" s="37">
        <f t="shared" si="94"/>
        <v>7.8973915549791038E-2</v>
      </c>
      <c r="O1507" s="2">
        <f t="shared" si="95"/>
        <v>1096000000</v>
      </c>
    </row>
    <row r="1508" spans="1:15" x14ac:dyDescent="0.3">
      <c r="A1508" t="s">
        <v>518</v>
      </c>
      <c r="B1508">
        <v>4</v>
      </c>
      <c r="C1508">
        <v>2016</v>
      </c>
      <c r="D1508" s="1">
        <v>42371</v>
      </c>
      <c r="E1508" s="2">
        <v>13423000000</v>
      </c>
      <c r="F1508" s="2">
        <v>10979000000</v>
      </c>
      <c r="G1508" s="2">
        <v>1304000000</v>
      </c>
      <c r="H1508">
        <v>0</v>
      </c>
      <c r="I1508">
        <v>0</v>
      </c>
      <c r="J1508" t="s">
        <v>12</v>
      </c>
      <c r="K1508" t="s">
        <v>160</v>
      </c>
      <c r="L1508" s="37">
        <f t="shared" si="92"/>
        <v>0.18207554198018328</v>
      </c>
      <c r="M1508" s="2">
        <f t="shared" si="93"/>
        <v>2444000000</v>
      </c>
      <c r="N1508" s="37">
        <f t="shared" si="94"/>
        <v>8.4928853460478279E-2</v>
      </c>
      <c r="O1508" s="2">
        <f t="shared" si="95"/>
        <v>1140000000</v>
      </c>
    </row>
    <row r="1509" spans="1:15" x14ac:dyDescent="0.3">
      <c r="A1509" t="s">
        <v>519</v>
      </c>
      <c r="B1509">
        <v>1</v>
      </c>
      <c r="C1509">
        <v>2012</v>
      </c>
      <c r="D1509" s="1">
        <v>41274</v>
      </c>
      <c r="E1509" s="2">
        <v>1834921000</v>
      </c>
      <c r="F1509" s="2">
        <v>955624000</v>
      </c>
      <c r="G1509" s="2">
        <v>670602000</v>
      </c>
      <c r="H1509">
        <v>0</v>
      </c>
      <c r="I1509">
        <v>0</v>
      </c>
      <c r="J1509" t="s">
        <v>15</v>
      </c>
      <c r="K1509" t="s">
        <v>285</v>
      </c>
      <c r="L1509" s="37">
        <f t="shared" si="92"/>
        <v>0.47920155690626465</v>
      </c>
      <c r="M1509" s="2">
        <f t="shared" si="93"/>
        <v>879297000</v>
      </c>
      <c r="N1509" s="37">
        <f t="shared" si="94"/>
        <v>0.11373514173089741</v>
      </c>
      <c r="O1509" s="2">
        <f t="shared" si="95"/>
        <v>208695000</v>
      </c>
    </row>
    <row r="1510" spans="1:15" x14ac:dyDescent="0.3">
      <c r="A1510" t="s">
        <v>519</v>
      </c>
      <c r="B1510">
        <v>2</v>
      </c>
      <c r="C1510">
        <v>2013</v>
      </c>
      <c r="D1510" s="1">
        <v>41639</v>
      </c>
      <c r="E1510" s="2">
        <v>2332051000</v>
      </c>
      <c r="F1510" s="2">
        <v>1195381000</v>
      </c>
      <c r="G1510" s="2">
        <v>871572000</v>
      </c>
      <c r="H1510">
        <v>0</v>
      </c>
      <c r="I1510">
        <v>0</v>
      </c>
      <c r="J1510" t="s">
        <v>15</v>
      </c>
      <c r="K1510" t="s">
        <v>285</v>
      </c>
      <c r="L1510" s="37">
        <f t="shared" si="92"/>
        <v>0.4874121535077921</v>
      </c>
      <c r="M1510" s="2">
        <f t="shared" si="93"/>
        <v>1136670000</v>
      </c>
      <c r="N1510" s="37">
        <f t="shared" si="94"/>
        <v>0.11367590159906452</v>
      </c>
      <c r="O1510" s="2">
        <f t="shared" si="95"/>
        <v>265098000</v>
      </c>
    </row>
    <row r="1511" spans="1:15" x14ac:dyDescent="0.3">
      <c r="A1511" t="s">
        <v>519</v>
      </c>
      <c r="B1511">
        <v>3</v>
      </c>
      <c r="C1511">
        <v>2014</v>
      </c>
      <c r="D1511" s="1">
        <v>42004</v>
      </c>
      <c r="E1511" s="2">
        <v>3084370000</v>
      </c>
      <c r="F1511" s="2">
        <v>1572164000</v>
      </c>
      <c r="G1511" s="2">
        <v>1158251000</v>
      </c>
      <c r="H1511">
        <v>0</v>
      </c>
      <c r="I1511">
        <v>0</v>
      </c>
      <c r="J1511" t="s">
        <v>15</v>
      </c>
      <c r="K1511" t="s">
        <v>285</v>
      </c>
      <c r="L1511" s="37">
        <f t="shared" si="92"/>
        <v>0.49028034898536821</v>
      </c>
      <c r="M1511" s="2">
        <f t="shared" si="93"/>
        <v>1512206000</v>
      </c>
      <c r="N1511" s="37">
        <f t="shared" si="94"/>
        <v>0.11475763283912112</v>
      </c>
      <c r="O1511" s="2">
        <f t="shared" si="95"/>
        <v>353955000</v>
      </c>
    </row>
    <row r="1512" spans="1:15" x14ac:dyDescent="0.3">
      <c r="A1512" t="s">
        <v>519</v>
      </c>
      <c r="B1512">
        <v>4</v>
      </c>
      <c r="C1512">
        <v>2015</v>
      </c>
      <c r="D1512" s="1">
        <v>42369</v>
      </c>
      <c r="E1512" s="2">
        <v>3963313000</v>
      </c>
      <c r="F1512" s="2">
        <v>2057766000</v>
      </c>
      <c r="G1512" s="2">
        <v>1497000000</v>
      </c>
      <c r="H1512">
        <v>0</v>
      </c>
      <c r="I1512">
        <v>0</v>
      </c>
      <c r="J1512" t="s">
        <v>15</v>
      </c>
      <c r="K1512" t="s">
        <v>285</v>
      </c>
      <c r="L1512" s="37">
        <f t="shared" si="92"/>
        <v>0.48079649525535828</v>
      </c>
      <c r="M1512" s="2">
        <f t="shared" si="93"/>
        <v>1905547000</v>
      </c>
      <c r="N1512" s="37">
        <f t="shared" si="94"/>
        <v>0.10308219411386384</v>
      </c>
      <c r="O1512" s="2">
        <f t="shared" si="95"/>
        <v>408547000</v>
      </c>
    </row>
    <row r="1513" spans="1:15" x14ac:dyDescent="0.3">
      <c r="A1513" t="s">
        <v>520</v>
      </c>
      <c r="B1513">
        <v>1</v>
      </c>
      <c r="C1513">
        <v>2012</v>
      </c>
      <c r="D1513" s="1">
        <v>41274</v>
      </c>
      <c r="E1513" s="2">
        <v>1834921000</v>
      </c>
      <c r="F1513" s="2">
        <v>955624000</v>
      </c>
      <c r="G1513" s="2">
        <v>670602000</v>
      </c>
      <c r="H1513">
        <v>0</v>
      </c>
      <c r="I1513">
        <v>0</v>
      </c>
      <c r="J1513" t="s">
        <v>15</v>
      </c>
      <c r="K1513" t="s">
        <v>285</v>
      </c>
      <c r="L1513" s="37">
        <f t="shared" si="92"/>
        <v>0.47920155690626465</v>
      </c>
      <c r="M1513" s="2">
        <f t="shared" si="93"/>
        <v>879297000</v>
      </c>
      <c r="N1513" s="37">
        <f t="shared" si="94"/>
        <v>0.11373514173089741</v>
      </c>
      <c r="O1513" s="2">
        <f t="shared" si="95"/>
        <v>208695000</v>
      </c>
    </row>
    <row r="1514" spans="1:15" x14ac:dyDescent="0.3">
      <c r="A1514" t="s">
        <v>520</v>
      </c>
      <c r="B1514">
        <v>2</v>
      </c>
      <c r="C1514">
        <v>2013</v>
      </c>
      <c r="D1514" s="1">
        <v>41639</v>
      </c>
      <c r="E1514" s="2">
        <v>2332051000</v>
      </c>
      <c r="F1514" s="2">
        <v>1195381000</v>
      </c>
      <c r="G1514" s="2">
        <v>871572000</v>
      </c>
      <c r="H1514">
        <v>0</v>
      </c>
      <c r="I1514">
        <v>0</v>
      </c>
      <c r="J1514" t="s">
        <v>15</v>
      </c>
      <c r="K1514" t="s">
        <v>285</v>
      </c>
      <c r="L1514" s="37">
        <f t="shared" si="92"/>
        <v>0.4874121535077921</v>
      </c>
      <c r="M1514" s="2">
        <f t="shared" si="93"/>
        <v>1136670000</v>
      </c>
      <c r="N1514" s="37">
        <f t="shared" si="94"/>
        <v>0.11367590159906452</v>
      </c>
      <c r="O1514" s="2">
        <f t="shared" si="95"/>
        <v>265098000</v>
      </c>
    </row>
    <row r="1515" spans="1:15" x14ac:dyDescent="0.3">
      <c r="A1515" t="s">
        <v>520</v>
      </c>
      <c r="B1515">
        <v>3</v>
      </c>
      <c r="C1515">
        <v>2014</v>
      </c>
      <c r="D1515" s="1">
        <v>42004</v>
      </c>
      <c r="E1515" s="2">
        <v>3084370000</v>
      </c>
      <c r="F1515" s="2">
        <v>1572164000</v>
      </c>
      <c r="G1515" s="2">
        <v>1158251000</v>
      </c>
      <c r="H1515">
        <v>0</v>
      </c>
      <c r="I1515">
        <v>0</v>
      </c>
      <c r="J1515" t="s">
        <v>15</v>
      </c>
      <c r="K1515" t="s">
        <v>285</v>
      </c>
      <c r="L1515" s="37">
        <f t="shared" si="92"/>
        <v>0.49028034898536821</v>
      </c>
      <c r="M1515" s="2">
        <f t="shared" si="93"/>
        <v>1512206000</v>
      </c>
      <c r="N1515" s="37">
        <f t="shared" si="94"/>
        <v>0.11475763283912112</v>
      </c>
      <c r="O1515" s="2">
        <f t="shared" si="95"/>
        <v>353955000</v>
      </c>
    </row>
    <row r="1516" spans="1:15" x14ac:dyDescent="0.3">
      <c r="A1516" t="s">
        <v>520</v>
      </c>
      <c r="B1516">
        <v>4</v>
      </c>
      <c r="C1516">
        <v>2015</v>
      </c>
      <c r="D1516" s="1">
        <v>42369</v>
      </c>
      <c r="E1516" s="2">
        <v>3963313000</v>
      </c>
      <c r="F1516" s="2">
        <v>2057766000</v>
      </c>
      <c r="G1516" s="2">
        <v>1497000000</v>
      </c>
      <c r="H1516">
        <v>0</v>
      </c>
      <c r="I1516">
        <v>0</v>
      </c>
      <c r="J1516" t="s">
        <v>15</v>
      </c>
      <c r="K1516" t="s">
        <v>285</v>
      </c>
      <c r="L1516" s="37">
        <f t="shared" si="92"/>
        <v>0.48079649525535828</v>
      </c>
      <c r="M1516" s="2">
        <f t="shared" si="93"/>
        <v>1905547000</v>
      </c>
      <c r="N1516" s="37">
        <f t="shared" si="94"/>
        <v>0.10308219411386384</v>
      </c>
      <c r="O1516" s="2">
        <f t="shared" si="95"/>
        <v>408547000</v>
      </c>
    </row>
    <row r="1517" spans="1:15" x14ac:dyDescent="0.3">
      <c r="A1517" t="s">
        <v>521</v>
      </c>
      <c r="B1517">
        <v>1</v>
      </c>
      <c r="C1517">
        <v>2012</v>
      </c>
      <c r="D1517" s="1">
        <v>41274</v>
      </c>
      <c r="E1517" s="2">
        <v>37152000000</v>
      </c>
      <c r="F1517" s="2">
        <v>17820000000</v>
      </c>
      <c r="G1517" s="2">
        <v>16448000000</v>
      </c>
      <c r="H1517">
        <v>0</v>
      </c>
      <c r="I1517" s="2">
        <v>1522000000</v>
      </c>
      <c r="J1517" t="s">
        <v>12</v>
      </c>
      <c r="K1517" t="s">
        <v>13</v>
      </c>
      <c r="L1517" s="37">
        <f t="shared" si="92"/>
        <v>0.52034883720930236</v>
      </c>
      <c r="M1517" s="2">
        <f t="shared" si="93"/>
        <v>19332000000</v>
      </c>
      <c r="N1517" s="37">
        <f t="shared" si="94"/>
        <v>3.6660206718346251E-2</v>
      </c>
      <c r="O1517" s="2">
        <f t="shared" si="95"/>
        <v>1362000000</v>
      </c>
    </row>
    <row r="1518" spans="1:15" x14ac:dyDescent="0.3">
      <c r="A1518" t="s">
        <v>521</v>
      </c>
      <c r="B1518">
        <v>2</v>
      </c>
      <c r="C1518">
        <v>2013</v>
      </c>
      <c r="D1518" s="1">
        <v>41639</v>
      </c>
      <c r="E1518" s="2">
        <v>38279000000</v>
      </c>
      <c r="F1518" s="2">
        <v>17192000000</v>
      </c>
      <c r="G1518" s="2">
        <v>17629000000</v>
      </c>
      <c r="H1518">
        <v>0</v>
      </c>
      <c r="I1518" s="2">
        <v>1689000000</v>
      </c>
      <c r="J1518" t="s">
        <v>12</v>
      </c>
      <c r="K1518" t="s">
        <v>13</v>
      </c>
      <c r="L1518" s="37">
        <f t="shared" si="92"/>
        <v>0.5508764596776301</v>
      </c>
      <c r="M1518" s="2">
        <f t="shared" si="93"/>
        <v>21087000000</v>
      </c>
      <c r="N1518" s="37">
        <f t="shared" si="94"/>
        <v>4.6213328456856238E-2</v>
      </c>
      <c r="O1518" s="2">
        <f t="shared" si="95"/>
        <v>1769000000</v>
      </c>
    </row>
    <row r="1519" spans="1:15" x14ac:dyDescent="0.3">
      <c r="A1519" t="s">
        <v>521</v>
      </c>
      <c r="B1519">
        <v>3</v>
      </c>
      <c r="C1519">
        <v>2014</v>
      </c>
      <c r="D1519" s="1">
        <v>42004</v>
      </c>
      <c r="E1519" s="2">
        <v>38901000000</v>
      </c>
      <c r="F1519" s="2">
        <v>16611000000</v>
      </c>
      <c r="G1519" s="2">
        <v>17795000000</v>
      </c>
      <c r="H1519">
        <v>0</v>
      </c>
      <c r="I1519" s="2">
        <v>1679000000</v>
      </c>
      <c r="J1519" t="s">
        <v>12</v>
      </c>
      <c r="K1519" t="s">
        <v>13</v>
      </c>
      <c r="L1519" s="37">
        <f t="shared" si="92"/>
        <v>0.57299298218554795</v>
      </c>
      <c r="M1519" s="2">
        <f t="shared" si="93"/>
        <v>22290000000</v>
      </c>
      <c r="N1519" s="37">
        <f t="shared" si="94"/>
        <v>7.2388884604508888E-2</v>
      </c>
      <c r="O1519" s="2">
        <f t="shared" si="95"/>
        <v>2816000000</v>
      </c>
    </row>
    <row r="1520" spans="1:15" x14ac:dyDescent="0.3">
      <c r="A1520" t="s">
        <v>521</v>
      </c>
      <c r="B1520">
        <v>4</v>
      </c>
      <c r="C1520">
        <v>2015</v>
      </c>
      <c r="D1520" s="1">
        <v>42369</v>
      </c>
      <c r="E1520" s="2">
        <v>37864000000</v>
      </c>
      <c r="F1520" s="2">
        <v>12130000000</v>
      </c>
      <c r="G1520" s="2">
        <v>18423000000</v>
      </c>
      <c r="H1520">
        <v>0</v>
      </c>
      <c r="I1520" s="2">
        <v>1819000000</v>
      </c>
      <c r="J1520" t="s">
        <v>12</v>
      </c>
      <c r="K1520" t="s">
        <v>13</v>
      </c>
      <c r="L1520" s="37">
        <f t="shared" si="92"/>
        <v>0.67964293260088737</v>
      </c>
      <c r="M1520" s="2">
        <f t="shared" si="93"/>
        <v>25734000000</v>
      </c>
      <c r="N1520" s="37">
        <f t="shared" si="94"/>
        <v>0.14504542573420665</v>
      </c>
      <c r="O1520" s="2">
        <f t="shared" si="95"/>
        <v>5492000000</v>
      </c>
    </row>
    <row r="1521" spans="1:15" x14ac:dyDescent="0.3">
      <c r="A1521" t="s">
        <v>522</v>
      </c>
      <c r="B1521">
        <v>1</v>
      </c>
      <c r="C1521">
        <v>2012</v>
      </c>
      <c r="D1521" s="1">
        <v>41274</v>
      </c>
      <c r="E1521" s="2">
        <v>716612000</v>
      </c>
      <c r="F1521" s="2">
        <v>245316000</v>
      </c>
      <c r="G1521" s="2">
        <v>58005000</v>
      </c>
      <c r="H1521">
        <v>0</v>
      </c>
      <c r="I1521" s="2">
        <v>346031000</v>
      </c>
      <c r="J1521" t="s">
        <v>48</v>
      </c>
      <c r="K1521" t="s">
        <v>230</v>
      </c>
      <c r="L1521" s="37">
        <f t="shared" si="92"/>
        <v>0.65767249222731405</v>
      </c>
      <c r="M1521" s="2">
        <f t="shared" si="93"/>
        <v>471296000</v>
      </c>
      <c r="N1521" s="37">
        <f t="shared" si="94"/>
        <v>9.3858322216206255E-2</v>
      </c>
      <c r="O1521" s="2">
        <f t="shared" si="95"/>
        <v>67260000</v>
      </c>
    </row>
    <row r="1522" spans="1:15" x14ac:dyDescent="0.3">
      <c r="A1522" t="s">
        <v>522</v>
      </c>
      <c r="B1522">
        <v>2</v>
      </c>
      <c r="C1522">
        <v>2013</v>
      </c>
      <c r="D1522" s="1">
        <v>41639</v>
      </c>
      <c r="E1522" s="2">
        <v>758926000</v>
      </c>
      <c r="F1522" s="2">
        <v>258612000</v>
      </c>
      <c r="G1522" s="2">
        <v>37121000</v>
      </c>
      <c r="H1522">
        <v>0</v>
      </c>
      <c r="I1522" s="2">
        <v>346273000</v>
      </c>
      <c r="J1522" t="s">
        <v>48</v>
      </c>
      <c r="K1522" t="s">
        <v>230</v>
      </c>
      <c r="L1522" s="37">
        <f t="shared" si="92"/>
        <v>0.6592395042467909</v>
      </c>
      <c r="M1522" s="2">
        <f t="shared" si="93"/>
        <v>500314000</v>
      </c>
      <c r="N1522" s="37">
        <f t="shared" si="94"/>
        <v>0.1540598161085534</v>
      </c>
      <c r="O1522" s="2">
        <f t="shared" si="95"/>
        <v>116920000</v>
      </c>
    </row>
    <row r="1523" spans="1:15" x14ac:dyDescent="0.3">
      <c r="A1523" t="s">
        <v>522</v>
      </c>
      <c r="B1523">
        <v>3</v>
      </c>
      <c r="C1523">
        <v>2014</v>
      </c>
      <c r="D1523" s="1">
        <v>42004</v>
      </c>
      <c r="E1523" s="2">
        <v>818046000</v>
      </c>
      <c r="F1523" s="2">
        <v>270741000</v>
      </c>
      <c r="G1523" s="2">
        <v>56612000</v>
      </c>
      <c r="H1523">
        <v>0</v>
      </c>
      <c r="I1523" s="2">
        <v>363929000</v>
      </c>
      <c r="J1523" t="s">
        <v>48</v>
      </c>
      <c r="K1523" t="s">
        <v>230</v>
      </c>
      <c r="L1523" s="37">
        <f t="shared" si="92"/>
        <v>0.66903939387271616</v>
      </c>
      <c r="M1523" s="2">
        <f t="shared" si="93"/>
        <v>547305000</v>
      </c>
      <c r="N1523" s="37">
        <f t="shared" si="94"/>
        <v>0.1549595010549529</v>
      </c>
      <c r="O1523" s="2">
        <f t="shared" si="95"/>
        <v>126764000</v>
      </c>
    </row>
    <row r="1524" spans="1:15" x14ac:dyDescent="0.3">
      <c r="A1524" t="s">
        <v>522</v>
      </c>
      <c r="B1524">
        <v>4</v>
      </c>
      <c r="C1524">
        <v>2015</v>
      </c>
      <c r="D1524" s="1">
        <v>42369</v>
      </c>
      <c r="E1524" s="2">
        <v>894638000</v>
      </c>
      <c r="F1524" s="2">
        <v>282037000</v>
      </c>
      <c r="G1524" s="2">
        <v>71733000</v>
      </c>
      <c r="H1524">
        <v>0</v>
      </c>
      <c r="I1524" s="2">
        <v>381277000</v>
      </c>
      <c r="J1524" t="s">
        <v>48</v>
      </c>
      <c r="K1524" t="s">
        <v>230</v>
      </c>
      <c r="L1524" s="37">
        <f t="shared" si="92"/>
        <v>0.68474735032493594</v>
      </c>
      <c r="M1524" s="2">
        <f t="shared" si="93"/>
        <v>612601000</v>
      </c>
      <c r="N1524" s="37">
        <f t="shared" si="94"/>
        <v>0.17838611818411471</v>
      </c>
      <c r="O1524" s="2">
        <f t="shared" si="95"/>
        <v>159591000</v>
      </c>
    </row>
    <row r="1525" spans="1:15" x14ac:dyDescent="0.3">
      <c r="A1525" t="s">
        <v>523</v>
      </c>
      <c r="B1525">
        <v>1</v>
      </c>
      <c r="C1525">
        <v>2013</v>
      </c>
      <c r="D1525" s="1">
        <v>41307</v>
      </c>
      <c r="E1525" s="2">
        <v>2220256000</v>
      </c>
      <c r="F1525" s="2">
        <v>1436582000</v>
      </c>
      <c r="G1525" s="2">
        <v>488880000</v>
      </c>
      <c r="H1525">
        <v>0</v>
      </c>
      <c r="I1525">
        <v>0</v>
      </c>
      <c r="J1525" t="s">
        <v>15</v>
      </c>
      <c r="K1525" t="s">
        <v>75</v>
      </c>
      <c r="L1525" s="37">
        <f t="shared" si="92"/>
        <v>0.35296560396638943</v>
      </c>
      <c r="M1525" s="2">
        <f t="shared" si="93"/>
        <v>783674000</v>
      </c>
      <c r="N1525" s="37">
        <f t="shared" si="94"/>
        <v>0.13277477912456942</v>
      </c>
      <c r="O1525" s="2">
        <f t="shared" si="95"/>
        <v>294794000</v>
      </c>
    </row>
    <row r="1526" spans="1:15" x14ac:dyDescent="0.3">
      <c r="A1526" t="s">
        <v>523</v>
      </c>
      <c r="B1526">
        <v>2</v>
      </c>
      <c r="C1526">
        <v>2014</v>
      </c>
      <c r="D1526" s="1">
        <v>41672</v>
      </c>
      <c r="E1526" s="2">
        <v>2670573000</v>
      </c>
      <c r="F1526" s="2">
        <v>1729325000</v>
      </c>
      <c r="G1526" s="2">
        <v>596390000</v>
      </c>
      <c r="H1526">
        <v>0</v>
      </c>
      <c r="I1526">
        <v>0</v>
      </c>
      <c r="J1526" t="s">
        <v>15</v>
      </c>
      <c r="K1526" t="s">
        <v>75</v>
      </c>
      <c r="L1526" s="37">
        <f t="shared" si="92"/>
        <v>0.35245170231257483</v>
      </c>
      <c r="M1526" s="2">
        <f t="shared" si="93"/>
        <v>941248000</v>
      </c>
      <c r="N1526" s="37">
        <f t="shared" si="94"/>
        <v>0.12913258690176227</v>
      </c>
      <c r="O1526" s="2">
        <f t="shared" si="95"/>
        <v>344858000</v>
      </c>
    </row>
    <row r="1527" spans="1:15" x14ac:dyDescent="0.3">
      <c r="A1527" t="s">
        <v>523</v>
      </c>
      <c r="B1527">
        <v>3</v>
      </c>
      <c r="C1527">
        <v>2015</v>
      </c>
      <c r="D1527" s="1">
        <v>42035</v>
      </c>
      <c r="E1527" s="2">
        <v>3241369000</v>
      </c>
      <c r="F1527" s="2">
        <v>2104582000</v>
      </c>
      <c r="G1527" s="2">
        <v>712006000</v>
      </c>
      <c r="H1527">
        <v>0</v>
      </c>
      <c r="I1527">
        <v>0</v>
      </c>
      <c r="J1527" t="s">
        <v>15</v>
      </c>
      <c r="K1527" t="s">
        <v>75</v>
      </c>
      <c r="L1527" s="37">
        <f t="shared" si="92"/>
        <v>0.35071199854135704</v>
      </c>
      <c r="M1527" s="2">
        <f t="shared" si="93"/>
        <v>1136787000</v>
      </c>
      <c r="N1527" s="37">
        <f t="shared" si="94"/>
        <v>0.13104987429694059</v>
      </c>
      <c r="O1527" s="2">
        <f t="shared" si="95"/>
        <v>424781000</v>
      </c>
    </row>
    <row r="1528" spans="1:15" x14ac:dyDescent="0.3">
      <c r="A1528" t="s">
        <v>523</v>
      </c>
      <c r="B1528">
        <v>4</v>
      </c>
      <c r="C1528">
        <v>2016</v>
      </c>
      <c r="D1528" s="1">
        <v>42400</v>
      </c>
      <c r="E1528" s="2">
        <v>3924116000</v>
      </c>
      <c r="F1528" s="2">
        <v>2539783000</v>
      </c>
      <c r="G1528" s="2">
        <v>863354000</v>
      </c>
      <c r="H1528">
        <v>0</v>
      </c>
      <c r="I1528">
        <v>0</v>
      </c>
      <c r="J1528" t="s">
        <v>15</v>
      </c>
      <c r="K1528" t="s">
        <v>75</v>
      </c>
      <c r="L1528" s="37">
        <f t="shared" si="92"/>
        <v>0.35277575892251911</v>
      </c>
      <c r="M1528" s="2">
        <f t="shared" si="93"/>
        <v>1384333000</v>
      </c>
      <c r="N1528" s="37">
        <f t="shared" si="94"/>
        <v>0.13276340454767394</v>
      </c>
      <c r="O1528" s="2">
        <f t="shared" si="95"/>
        <v>520979000</v>
      </c>
    </row>
    <row r="1529" spans="1:15" x14ac:dyDescent="0.3">
      <c r="A1529" t="s">
        <v>434</v>
      </c>
      <c r="B1529">
        <v>1</v>
      </c>
      <c r="C1529">
        <v>2012</v>
      </c>
      <c r="D1529" s="1">
        <v>41274</v>
      </c>
      <c r="E1529" s="2">
        <v>54657000000</v>
      </c>
      <c r="F1529" s="2">
        <v>9821000000</v>
      </c>
      <c r="G1529" s="2">
        <v>15171000000</v>
      </c>
      <c r="H1529" s="2">
        <v>7482000000</v>
      </c>
      <c r="I1529" s="2">
        <v>5109000000</v>
      </c>
      <c r="J1529" t="s">
        <v>21</v>
      </c>
      <c r="K1529" t="s">
        <v>22</v>
      </c>
      <c r="L1529" s="37">
        <f t="shared" si="92"/>
        <v>0.8203157875477981</v>
      </c>
      <c r="M1529" s="2">
        <f t="shared" si="93"/>
        <v>44836000000</v>
      </c>
      <c r="N1529" s="37">
        <f t="shared" si="94"/>
        <v>0.31238450701648462</v>
      </c>
      <c r="O1529" s="2">
        <f t="shared" si="95"/>
        <v>17074000000</v>
      </c>
    </row>
    <row r="1530" spans="1:15" x14ac:dyDescent="0.3">
      <c r="A1530" t="s">
        <v>434</v>
      </c>
      <c r="B1530">
        <v>2</v>
      </c>
      <c r="C1530">
        <v>2013</v>
      </c>
      <c r="D1530" s="1">
        <v>41639</v>
      </c>
      <c r="E1530" s="2">
        <v>51584000000</v>
      </c>
      <c r="F1530" s="2">
        <v>9586000000</v>
      </c>
      <c r="G1530" s="2">
        <v>14355000000</v>
      </c>
      <c r="H1530" s="2">
        <v>6678000000</v>
      </c>
      <c r="I1530" s="2">
        <v>4599000000</v>
      </c>
      <c r="J1530" t="s">
        <v>21</v>
      </c>
      <c r="K1530" t="s">
        <v>22</v>
      </c>
      <c r="L1530" s="37">
        <f t="shared" si="92"/>
        <v>0.81416718362282881</v>
      </c>
      <c r="M1530" s="2">
        <f t="shared" si="93"/>
        <v>41998000000</v>
      </c>
      <c r="N1530" s="37">
        <f t="shared" si="94"/>
        <v>0.31726892059553352</v>
      </c>
      <c r="O1530" s="2">
        <f t="shared" si="95"/>
        <v>16366000000</v>
      </c>
    </row>
    <row r="1531" spans="1:15" x14ac:dyDescent="0.3">
      <c r="A1531" t="s">
        <v>434</v>
      </c>
      <c r="B1531">
        <v>3</v>
      </c>
      <c r="C1531">
        <v>2014</v>
      </c>
      <c r="D1531" s="1">
        <v>42004</v>
      </c>
      <c r="E1531" s="2">
        <v>49605000000</v>
      </c>
      <c r="F1531" s="2">
        <v>9577000000</v>
      </c>
      <c r="G1531" s="2">
        <v>14097000000</v>
      </c>
      <c r="H1531" s="2">
        <v>8393000000</v>
      </c>
      <c r="I1531" s="2">
        <v>4039000000</v>
      </c>
      <c r="J1531" t="s">
        <v>21</v>
      </c>
      <c r="K1531" t="s">
        <v>22</v>
      </c>
      <c r="L1531" s="37">
        <f t="shared" si="92"/>
        <v>0.80693478479991931</v>
      </c>
      <c r="M1531" s="2">
        <f t="shared" si="93"/>
        <v>40028000000</v>
      </c>
      <c r="N1531" s="37">
        <f t="shared" si="94"/>
        <v>0.27212982562241711</v>
      </c>
      <c r="O1531" s="2">
        <f t="shared" si="95"/>
        <v>13499000000</v>
      </c>
    </row>
    <row r="1532" spans="1:15" x14ac:dyDescent="0.3">
      <c r="A1532" t="s">
        <v>434</v>
      </c>
      <c r="B1532">
        <v>4</v>
      </c>
      <c r="C1532">
        <v>2015</v>
      </c>
      <c r="D1532" s="1">
        <v>42369</v>
      </c>
      <c r="E1532" s="2">
        <v>48851000000</v>
      </c>
      <c r="F1532" s="2">
        <v>9648000000</v>
      </c>
      <c r="G1532" s="2">
        <v>14809000000</v>
      </c>
      <c r="H1532" s="2">
        <v>7690000000</v>
      </c>
      <c r="I1532" s="2">
        <v>3728000000</v>
      </c>
      <c r="J1532" t="s">
        <v>21</v>
      </c>
      <c r="K1532" t="s">
        <v>22</v>
      </c>
      <c r="L1532" s="37">
        <f t="shared" si="92"/>
        <v>0.80250148410472666</v>
      </c>
      <c r="M1532" s="2">
        <f t="shared" si="93"/>
        <v>39203000000</v>
      </c>
      <c r="N1532" s="37">
        <f t="shared" si="94"/>
        <v>0.2656240404495302</v>
      </c>
      <c r="O1532" s="2">
        <f t="shared" si="95"/>
        <v>12976000000</v>
      </c>
    </row>
    <row r="1533" spans="1:15" x14ac:dyDescent="0.3">
      <c r="A1533" t="s">
        <v>440</v>
      </c>
      <c r="B1533">
        <v>1</v>
      </c>
      <c r="C1533">
        <v>2012</v>
      </c>
      <c r="D1533" s="1">
        <v>41273</v>
      </c>
      <c r="E1533" s="2">
        <v>2105188000</v>
      </c>
      <c r="F1533" s="2">
        <v>1143659000</v>
      </c>
      <c r="G1533" s="2">
        <v>627370000</v>
      </c>
      <c r="H1533" s="2">
        <v>131835000</v>
      </c>
      <c r="I1533">
        <v>0</v>
      </c>
      <c r="J1533" t="s">
        <v>21</v>
      </c>
      <c r="K1533" t="s">
        <v>26</v>
      </c>
      <c r="L1533" s="37">
        <f t="shared" si="92"/>
        <v>0.4567425807101313</v>
      </c>
      <c r="M1533" s="2">
        <f t="shared" si="93"/>
        <v>961529000</v>
      </c>
      <c r="N1533" s="37">
        <f t="shared" si="94"/>
        <v>9.6107331031717827E-2</v>
      </c>
      <c r="O1533" s="2">
        <f t="shared" si="95"/>
        <v>202324000</v>
      </c>
    </row>
    <row r="1534" spans="1:15" x14ac:dyDescent="0.3">
      <c r="A1534" t="s">
        <v>440</v>
      </c>
      <c r="B1534">
        <v>2</v>
      </c>
      <c r="C1534">
        <v>2013</v>
      </c>
      <c r="D1534" s="1">
        <v>41637</v>
      </c>
      <c r="E1534" s="2">
        <v>2157586000</v>
      </c>
      <c r="F1534" s="2">
        <v>1181444000</v>
      </c>
      <c r="G1534" s="2">
        <v>581898000</v>
      </c>
      <c r="H1534" s="2">
        <v>132400000</v>
      </c>
      <c r="I1534">
        <v>0</v>
      </c>
      <c r="J1534" t="s">
        <v>21</v>
      </c>
      <c r="K1534" t="s">
        <v>26</v>
      </c>
      <c r="L1534" s="37">
        <f t="shared" si="92"/>
        <v>0.45242321742910829</v>
      </c>
      <c r="M1534" s="2">
        <f t="shared" si="93"/>
        <v>976142000</v>
      </c>
      <c r="N1534" s="37">
        <f t="shared" si="94"/>
        <v>0.12135970478117675</v>
      </c>
      <c r="O1534" s="2">
        <f t="shared" si="95"/>
        <v>261844000</v>
      </c>
    </row>
    <row r="1535" spans="1:15" x14ac:dyDescent="0.3">
      <c r="A1535" t="s">
        <v>440</v>
      </c>
      <c r="B1535">
        <v>3</v>
      </c>
      <c r="C1535">
        <v>2014</v>
      </c>
      <c r="D1535" s="1">
        <v>42001</v>
      </c>
      <c r="E1535" s="2">
        <v>2237219000</v>
      </c>
      <c r="F1535" s="2">
        <v>1232611000</v>
      </c>
      <c r="G1535" s="2">
        <v>659335000</v>
      </c>
      <c r="H1535" s="2">
        <v>121141000</v>
      </c>
      <c r="I1535">
        <v>0</v>
      </c>
      <c r="J1535" t="s">
        <v>21</v>
      </c>
      <c r="K1535" t="s">
        <v>26</v>
      </c>
      <c r="L1535" s="37">
        <f t="shared" si="92"/>
        <v>0.44904320944887377</v>
      </c>
      <c r="M1535" s="2">
        <f t="shared" si="93"/>
        <v>1004608000</v>
      </c>
      <c r="N1535" s="37">
        <f t="shared" si="94"/>
        <v>0.10018330793722027</v>
      </c>
      <c r="O1535" s="2">
        <f t="shared" si="95"/>
        <v>224132000</v>
      </c>
    </row>
    <row r="1536" spans="1:15" x14ac:dyDescent="0.3">
      <c r="A1536" t="s">
        <v>440</v>
      </c>
      <c r="B1536">
        <v>4</v>
      </c>
      <c r="C1536">
        <v>2016</v>
      </c>
      <c r="D1536" s="1">
        <v>42372</v>
      </c>
      <c r="E1536" s="2">
        <v>2262359000</v>
      </c>
      <c r="F1536" s="2">
        <v>1237859000</v>
      </c>
      <c r="G1536" s="2">
        <v>598848000</v>
      </c>
      <c r="H1536" s="2">
        <v>125928000</v>
      </c>
      <c r="I1536">
        <v>0</v>
      </c>
      <c r="J1536" t="s">
        <v>21</v>
      </c>
      <c r="K1536" t="s">
        <v>26</v>
      </c>
      <c r="L1536" s="37">
        <f t="shared" si="92"/>
        <v>0.45284590111472145</v>
      </c>
      <c r="M1536" s="2">
        <f t="shared" si="93"/>
        <v>1024500000</v>
      </c>
      <c r="N1536" s="37">
        <f t="shared" si="94"/>
        <v>0.13248295252875428</v>
      </c>
      <c r="O1536" s="2">
        <f t="shared" si="95"/>
        <v>299724000</v>
      </c>
    </row>
    <row r="1537" spans="1:15" x14ac:dyDescent="0.3">
      <c r="A1537" t="s">
        <v>526</v>
      </c>
      <c r="B1537">
        <v>1</v>
      </c>
      <c r="C1537">
        <v>2013</v>
      </c>
      <c r="D1537" s="1">
        <v>41639</v>
      </c>
      <c r="E1537" s="2">
        <v>21963000000</v>
      </c>
      <c r="F1537" s="2">
        <v>5849000000</v>
      </c>
      <c r="G1537" s="2">
        <v>6891000000</v>
      </c>
      <c r="H1537">
        <v>0</v>
      </c>
      <c r="I1537" s="2">
        <v>1777000000</v>
      </c>
      <c r="J1537" t="s">
        <v>12</v>
      </c>
      <c r="K1537" t="s">
        <v>174</v>
      </c>
      <c r="L1537" s="37">
        <f t="shared" si="92"/>
        <v>0.73368847607339616</v>
      </c>
      <c r="M1537" s="2">
        <f t="shared" si="93"/>
        <v>16114000000</v>
      </c>
      <c r="N1537" s="37">
        <f t="shared" si="94"/>
        <v>0.33902472339844286</v>
      </c>
      <c r="O1537" s="2">
        <f t="shared" si="95"/>
        <v>7446000000</v>
      </c>
    </row>
    <row r="1538" spans="1:15" x14ac:dyDescent="0.3">
      <c r="A1538" t="s">
        <v>526</v>
      </c>
      <c r="B1538">
        <v>2</v>
      </c>
      <c r="C1538">
        <v>2014</v>
      </c>
      <c r="D1538" s="1">
        <v>42004</v>
      </c>
      <c r="E1538" s="2">
        <v>23988000000</v>
      </c>
      <c r="F1538" s="2">
        <v>6097000000</v>
      </c>
      <c r="G1538" s="2">
        <v>7234000000</v>
      </c>
      <c r="H1538">
        <v>0</v>
      </c>
      <c r="I1538" s="2">
        <v>1904000000</v>
      </c>
      <c r="J1538" t="s">
        <v>12</v>
      </c>
      <c r="K1538" t="s">
        <v>174</v>
      </c>
      <c r="L1538" s="37">
        <f t="shared" ref="L1538:L1601" si="96">1-(F1538/E1538)</f>
        <v>0.74583124895781228</v>
      </c>
      <c r="M1538" s="2">
        <f t="shared" ref="M1538:M1601" si="97">E1538-F1538</f>
        <v>17891000000</v>
      </c>
      <c r="N1538" s="37">
        <f t="shared" ref="N1538:N1601" si="98">O1538/E1538</f>
        <v>0.36489077872269465</v>
      </c>
      <c r="O1538" s="2">
        <f t="shared" ref="O1538:O1601" si="99">M1538-SUM(G1538:I1538)</f>
        <v>8753000000</v>
      </c>
    </row>
    <row r="1539" spans="1:15" x14ac:dyDescent="0.3">
      <c r="A1539" t="s">
        <v>526</v>
      </c>
      <c r="B1539">
        <v>3</v>
      </c>
      <c r="C1539">
        <v>2015</v>
      </c>
      <c r="D1539" s="1">
        <v>42369</v>
      </c>
      <c r="E1539" s="2">
        <v>21813000000</v>
      </c>
      <c r="F1539" s="2">
        <v>4434000000</v>
      </c>
      <c r="G1539" s="2">
        <v>7315000000</v>
      </c>
      <c r="H1539">
        <v>0</v>
      </c>
      <c r="I1539" s="2">
        <v>2012000000</v>
      </c>
      <c r="J1539" t="s">
        <v>12</v>
      </c>
      <c r="K1539" t="s">
        <v>174</v>
      </c>
      <c r="L1539" s="37">
        <f t="shared" si="96"/>
        <v>0.7967267225966167</v>
      </c>
      <c r="M1539" s="2">
        <f t="shared" si="97"/>
        <v>17379000000</v>
      </c>
      <c r="N1539" s="37">
        <f t="shared" si="98"/>
        <v>0.36913767019667171</v>
      </c>
      <c r="O1539" s="2">
        <f t="shared" si="99"/>
        <v>8052000000</v>
      </c>
    </row>
    <row r="1540" spans="1:15" x14ac:dyDescent="0.3">
      <c r="A1540" t="s">
        <v>526</v>
      </c>
      <c r="B1540">
        <v>4</v>
      </c>
      <c r="C1540">
        <v>2016</v>
      </c>
      <c r="D1540" s="1">
        <v>42735</v>
      </c>
      <c r="E1540" s="2">
        <v>19941000000</v>
      </c>
      <c r="F1540" s="2">
        <v>3747000000</v>
      </c>
      <c r="G1540" s="2">
        <v>6884000000</v>
      </c>
      <c r="H1540">
        <v>0</v>
      </c>
      <c r="I1540" s="2">
        <v>2038000000</v>
      </c>
      <c r="J1540" t="s">
        <v>12</v>
      </c>
      <c r="K1540" t="s">
        <v>174</v>
      </c>
      <c r="L1540" s="37">
        <f t="shared" si="96"/>
        <v>0.81209568226267492</v>
      </c>
      <c r="M1540" s="2">
        <f t="shared" si="97"/>
        <v>16194000000</v>
      </c>
      <c r="N1540" s="37">
        <f t="shared" si="98"/>
        <v>0.3646757935910937</v>
      </c>
      <c r="O1540" s="2">
        <f t="shared" si="99"/>
        <v>7272000000</v>
      </c>
    </row>
    <row r="1541" spans="1:15" x14ac:dyDescent="0.3">
      <c r="A1541" t="s">
        <v>527</v>
      </c>
      <c r="B1541">
        <v>1</v>
      </c>
      <c r="C1541">
        <v>2012</v>
      </c>
      <c r="D1541" s="1">
        <v>41274</v>
      </c>
      <c r="E1541" s="2">
        <v>54127000000</v>
      </c>
      <c r="F1541" s="2">
        <v>13574000000</v>
      </c>
      <c r="G1541" s="2">
        <v>37352000000</v>
      </c>
      <c r="H1541">
        <v>0</v>
      </c>
      <c r="I1541" s="2">
        <v>1858000000</v>
      </c>
      <c r="J1541" t="s">
        <v>12</v>
      </c>
      <c r="K1541" t="s">
        <v>142</v>
      </c>
      <c r="L1541" s="37">
        <f t="shared" si="96"/>
        <v>0.74921942838139932</v>
      </c>
      <c r="M1541" s="2">
        <f t="shared" si="97"/>
        <v>40553000000</v>
      </c>
      <c r="N1541" s="37">
        <f t="shared" si="98"/>
        <v>2.4812016184159475E-2</v>
      </c>
      <c r="O1541" s="2">
        <f t="shared" si="99"/>
        <v>1343000000</v>
      </c>
    </row>
    <row r="1542" spans="1:15" x14ac:dyDescent="0.3">
      <c r="A1542" t="s">
        <v>527</v>
      </c>
      <c r="B1542">
        <v>2</v>
      </c>
      <c r="C1542">
        <v>2013</v>
      </c>
      <c r="D1542" s="1">
        <v>41639</v>
      </c>
      <c r="E1542" s="2">
        <v>55438000000</v>
      </c>
      <c r="F1542" s="2">
        <v>13703000000</v>
      </c>
      <c r="G1542" s="2">
        <v>32834000000</v>
      </c>
      <c r="H1542">
        <v>0</v>
      </c>
      <c r="I1542" s="2">
        <v>1867000000</v>
      </c>
      <c r="J1542" t="s">
        <v>12</v>
      </c>
      <c r="K1542" t="s">
        <v>142</v>
      </c>
      <c r="L1542" s="37">
        <f t="shared" si="96"/>
        <v>0.7528229734117392</v>
      </c>
      <c r="M1542" s="2">
        <f t="shared" si="97"/>
        <v>41735000000</v>
      </c>
      <c r="N1542" s="37">
        <f t="shared" si="98"/>
        <v>0.1268804790937624</v>
      </c>
      <c r="O1542" s="2">
        <f t="shared" si="99"/>
        <v>7034000000</v>
      </c>
    </row>
    <row r="1543" spans="1:15" x14ac:dyDescent="0.3">
      <c r="A1543" t="s">
        <v>527</v>
      </c>
      <c r="B1543">
        <v>3</v>
      </c>
      <c r="C1543">
        <v>2014</v>
      </c>
      <c r="D1543" s="1">
        <v>42004</v>
      </c>
      <c r="E1543" s="2">
        <v>58232000000</v>
      </c>
      <c r="F1543" s="2">
        <v>14758000000</v>
      </c>
      <c r="G1543" s="2">
        <v>36583000000</v>
      </c>
      <c r="H1543">
        <v>0</v>
      </c>
      <c r="I1543" s="2">
        <v>1923000000</v>
      </c>
      <c r="J1543" t="s">
        <v>12</v>
      </c>
      <c r="K1543" t="s">
        <v>142</v>
      </c>
      <c r="L1543" s="37">
        <f t="shared" si="96"/>
        <v>0.74656546228877585</v>
      </c>
      <c r="M1543" s="2">
        <f t="shared" si="97"/>
        <v>43474000000</v>
      </c>
      <c r="N1543" s="37">
        <f t="shared" si="98"/>
        <v>8.5313916746805885E-2</v>
      </c>
      <c r="O1543" s="2">
        <f t="shared" si="99"/>
        <v>4968000000</v>
      </c>
    </row>
    <row r="1544" spans="1:15" x14ac:dyDescent="0.3">
      <c r="A1544" t="s">
        <v>527</v>
      </c>
      <c r="B1544">
        <v>4</v>
      </c>
      <c r="C1544">
        <v>2015</v>
      </c>
      <c r="D1544" s="1">
        <v>42369</v>
      </c>
      <c r="E1544" s="2">
        <v>58363000000</v>
      </c>
      <c r="F1544" s="2">
        <v>12947000000</v>
      </c>
      <c r="G1544" s="2">
        <v>35664000000</v>
      </c>
      <c r="H1544">
        <v>0</v>
      </c>
      <c r="I1544" s="2">
        <v>2084000000</v>
      </c>
      <c r="J1544" t="s">
        <v>12</v>
      </c>
      <c r="K1544" t="s">
        <v>142</v>
      </c>
      <c r="L1544" s="37">
        <f t="shared" si="96"/>
        <v>0.77816424789678396</v>
      </c>
      <c r="M1544" s="2">
        <f t="shared" si="97"/>
        <v>45416000000</v>
      </c>
      <c r="N1544" s="37">
        <f t="shared" si="98"/>
        <v>0.13138461011257133</v>
      </c>
      <c r="O1544" s="2">
        <f t="shared" si="99"/>
        <v>7668000000</v>
      </c>
    </row>
    <row r="1545" spans="1:15" x14ac:dyDescent="0.3">
      <c r="A1545" t="s">
        <v>528</v>
      </c>
      <c r="B1545">
        <v>1</v>
      </c>
      <c r="C1545">
        <v>2013</v>
      </c>
      <c r="D1545" s="1">
        <v>41305</v>
      </c>
      <c r="E1545" s="2">
        <v>2794925000</v>
      </c>
      <c r="F1545" s="2">
        <v>1763394000</v>
      </c>
      <c r="G1545" s="2">
        <v>657246000</v>
      </c>
      <c r="H1545">
        <v>0</v>
      </c>
      <c r="I1545">
        <v>0</v>
      </c>
      <c r="J1545" t="s">
        <v>15</v>
      </c>
      <c r="K1545" t="s">
        <v>253</v>
      </c>
      <c r="L1545" s="37">
        <f t="shared" si="96"/>
        <v>0.36907287315402026</v>
      </c>
      <c r="M1545" s="2">
        <f t="shared" si="97"/>
        <v>1031531000</v>
      </c>
      <c r="N1545" s="37">
        <f t="shared" si="98"/>
        <v>0.13391593692138429</v>
      </c>
      <c r="O1545" s="2">
        <f t="shared" si="99"/>
        <v>374285000</v>
      </c>
    </row>
    <row r="1546" spans="1:15" x14ac:dyDescent="0.3">
      <c r="A1546" t="s">
        <v>528</v>
      </c>
      <c r="B1546">
        <v>2</v>
      </c>
      <c r="C1546">
        <v>2014</v>
      </c>
      <c r="D1546" s="1">
        <v>41670</v>
      </c>
      <c r="E1546" s="2">
        <v>3086608000</v>
      </c>
      <c r="F1546" s="2">
        <v>1925266000</v>
      </c>
      <c r="G1546" s="2">
        <v>734511000</v>
      </c>
      <c r="H1546">
        <v>0</v>
      </c>
      <c r="I1546">
        <v>0</v>
      </c>
      <c r="J1546" t="s">
        <v>15</v>
      </c>
      <c r="K1546" t="s">
        <v>253</v>
      </c>
      <c r="L1546" s="37">
        <f t="shared" si="96"/>
        <v>0.37625185964657648</v>
      </c>
      <c r="M1546" s="2">
        <f t="shared" si="97"/>
        <v>1161342000</v>
      </c>
      <c r="N1546" s="37">
        <f t="shared" si="98"/>
        <v>0.13828480973288476</v>
      </c>
      <c r="O1546" s="2">
        <f t="shared" si="99"/>
        <v>426831000</v>
      </c>
    </row>
    <row r="1547" spans="1:15" x14ac:dyDescent="0.3">
      <c r="A1547" t="s">
        <v>528</v>
      </c>
      <c r="B1547">
        <v>3</v>
      </c>
      <c r="C1547">
        <v>2015</v>
      </c>
      <c r="D1547" s="1">
        <v>42035</v>
      </c>
      <c r="E1547" s="2">
        <v>3323077000</v>
      </c>
      <c r="F1547" s="2">
        <v>2148147000</v>
      </c>
      <c r="G1547" s="2">
        <v>809545000</v>
      </c>
      <c r="H1547">
        <v>0</v>
      </c>
      <c r="I1547">
        <v>0</v>
      </c>
      <c r="J1547" t="s">
        <v>15</v>
      </c>
      <c r="K1547" t="s">
        <v>253</v>
      </c>
      <c r="L1547" s="37">
        <f t="shared" si="96"/>
        <v>0.35356688996372942</v>
      </c>
      <c r="M1547" s="2">
        <f t="shared" si="97"/>
        <v>1174930000</v>
      </c>
      <c r="N1547" s="37">
        <f t="shared" si="98"/>
        <v>0.1099538168992172</v>
      </c>
      <c r="O1547" s="2">
        <f t="shared" si="99"/>
        <v>365385000</v>
      </c>
    </row>
    <row r="1548" spans="1:15" x14ac:dyDescent="0.3">
      <c r="A1548" t="s">
        <v>528</v>
      </c>
      <c r="B1548">
        <v>4</v>
      </c>
      <c r="C1548">
        <v>2016</v>
      </c>
      <c r="D1548" s="1">
        <v>42400</v>
      </c>
      <c r="E1548" s="2">
        <v>3445134000</v>
      </c>
      <c r="F1548" s="2">
        <v>2243232000</v>
      </c>
      <c r="G1548" s="2">
        <v>848323000</v>
      </c>
      <c r="H1548">
        <v>0</v>
      </c>
      <c r="I1548">
        <v>0</v>
      </c>
      <c r="J1548" t="s">
        <v>15</v>
      </c>
      <c r="K1548" t="s">
        <v>253</v>
      </c>
      <c r="L1548" s="37">
        <f t="shared" si="96"/>
        <v>0.34886944890967952</v>
      </c>
      <c r="M1548" s="2">
        <f t="shared" si="97"/>
        <v>1201902000</v>
      </c>
      <c r="N1548" s="37">
        <f t="shared" si="98"/>
        <v>0.10263142159347068</v>
      </c>
      <c r="O1548" s="2">
        <f t="shared" si="99"/>
        <v>353579000</v>
      </c>
    </row>
    <row r="1549" spans="1:15" x14ac:dyDescent="0.3">
      <c r="A1549" t="s">
        <v>456</v>
      </c>
      <c r="B1549">
        <v>1</v>
      </c>
      <c r="C1549">
        <v>2013</v>
      </c>
      <c r="D1549" s="1">
        <v>41639</v>
      </c>
      <c r="E1549" s="2">
        <v>2104745000</v>
      </c>
      <c r="F1549" s="2">
        <v>155355000</v>
      </c>
      <c r="G1549" s="2">
        <v>346393000</v>
      </c>
      <c r="H1549" s="2">
        <v>859947000</v>
      </c>
      <c r="I1549">
        <v>0</v>
      </c>
      <c r="J1549" t="s">
        <v>21</v>
      </c>
      <c r="K1549" t="s">
        <v>62</v>
      </c>
      <c r="L1549" s="37">
        <f t="shared" si="96"/>
        <v>0.92618820807271185</v>
      </c>
      <c r="M1549" s="2">
        <f t="shared" si="97"/>
        <v>1949390000</v>
      </c>
      <c r="N1549" s="37">
        <f t="shared" si="98"/>
        <v>0.35303564089711581</v>
      </c>
      <c r="O1549" s="2">
        <f t="shared" si="99"/>
        <v>743050000</v>
      </c>
    </row>
    <row r="1550" spans="1:15" x14ac:dyDescent="0.3">
      <c r="A1550" t="s">
        <v>456</v>
      </c>
      <c r="B1550">
        <v>2</v>
      </c>
      <c r="C1550">
        <v>2014</v>
      </c>
      <c r="D1550" s="1">
        <v>42004</v>
      </c>
      <c r="E1550" s="2">
        <v>2819557000</v>
      </c>
      <c r="F1550" s="2">
        <v>205018000</v>
      </c>
      <c r="G1550" s="2">
        <v>519267000</v>
      </c>
      <c r="H1550" s="2">
        <v>1271353000</v>
      </c>
      <c r="I1550">
        <v>0</v>
      </c>
      <c r="J1550" t="s">
        <v>21</v>
      </c>
      <c r="K1550" t="s">
        <v>62</v>
      </c>
      <c r="L1550" s="37">
        <f t="shared" si="96"/>
        <v>0.92728715894021652</v>
      </c>
      <c r="M1550" s="2">
        <f t="shared" si="97"/>
        <v>2614539000</v>
      </c>
      <c r="N1550" s="37">
        <f t="shared" si="98"/>
        <v>0.29221576297269392</v>
      </c>
      <c r="O1550" s="2">
        <f t="shared" si="99"/>
        <v>823919000</v>
      </c>
    </row>
    <row r="1551" spans="1:15" x14ac:dyDescent="0.3">
      <c r="A1551" t="s">
        <v>456</v>
      </c>
      <c r="B1551">
        <v>3</v>
      </c>
      <c r="C1551">
        <v>2015</v>
      </c>
      <c r="D1551" s="1">
        <v>42369</v>
      </c>
      <c r="E1551" s="2">
        <v>4103728000</v>
      </c>
      <c r="F1551" s="2">
        <v>392709000</v>
      </c>
      <c r="G1551" s="2">
        <v>838526000</v>
      </c>
      <c r="H1551" s="2">
        <v>1620577000</v>
      </c>
      <c r="I1551">
        <v>0</v>
      </c>
      <c r="J1551" t="s">
        <v>21</v>
      </c>
      <c r="K1551" t="s">
        <v>62</v>
      </c>
      <c r="L1551" s="37">
        <f t="shared" si="96"/>
        <v>0.90430433011154732</v>
      </c>
      <c r="M1551" s="2">
        <f t="shared" si="97"/>
        <v>3711019000</v>
      </c>
      <c r="N1551" s="37">
        <f t="shared" si="98"/>
        <v>0.30506797721486412</v>
      </c>
      <c r="O1551" s="2">
        <f t="shared" si="99"/>
        <v>1251916000</v>
      </c>
    </row>
    <row r="1552" spans="1:15" x14ac:dyDescent="0.3">
      <c r="A1552" t="s">
        <v>456</v>
      </c>
      <c r="B1552">
        <v>4</v>
      </c>
      <c r="C1552">
        <v>2016</v>
      </c>
      <c r="D1552" s="1">
        <v>42735</v>
      </c>
      <c r="E1552" s="2">
        <v>4860427000</v>
      </c>
      <c r="F1552" s="2">
        <v>299694000</v>
      </c>
      <c r="G1552" s="2">
        <v>1177697000</v>
      </c>
      <c r="H1552" s="2">
        <v>2052295000</v>
      </c>
      <c r="I1552">
        <v>0</v>
      </c>
      <c r="J1552" t="s">
        <v>21</v>
      </c>
      <c r="K1552" t="s">
        <v>62</v>
      </c>
      <c r="L1552" s="37">
        <f t="shared" si="96"/>
        <v>0.93833998535519614</v>
      </c>
      <c r="M1552" s="2">
        <f t="shared" si="97"/>
        <v>4560733000</v>
      </c>
      <c r="N1552" s="37">
        <f t="shared" si="98"/>
        <v>0.27379096527938801</v>
      </c>
      <c r="O1552" s="2">
        <f t="shared" si="99"/>
        <v>1330741000</v>
      </c>
    </row>
    <row r="1553" spans="1:15" x14ac:dyDescent="0.3">
      <c r="A1553" t="s">
        <v>530</v>
      </c>
      <c r="B1553">
        <v>1</v>
      </c>
      <c r="C1553">
        <v>2013</v>
      </c>
      <c r="D1553" s="1">
        <v>41639</v>
      </c>
      <c r="E1553" s="2">
        <v>56600000000</v>
      </c>
      <c r="F1553" s="2">
        <v>40468000000</v>
      </c>
      <c r="G1553" s="2">
        <v>5241000000</v>
      </c>
      <c r="H1553" s="2">
        <v>2342000000</v>
      </c>
      <c r="I1553">
        <v>0</v>
      </c>
      <c r="J1553" t="s">
        <v>12</v>
      </c>
      <c r="K1553" t="s">
        <v>160</v>
      </c>
      <c r="L1553" s="37">
        <f t="shared" si="96"/>
        <v>0.28501766784452298</v>
      </c>
      <c r="M1553" s="2">
        <f t="shared" si="97"/>
        <v>16132000000</v>
      </c>
      <c r="N1553" s="37">
        <f t="shared" si="98"/>
        <v>0.15104240282685513</v>
      </c>
      <c r="O1553" s="2">
        <f t="shared" si="99"/>
        <v>8549000000</v>
      </c>
    </row>
    <row r="1554" spans="1:15" x14ac:dyDescent="0.3">
      <c r="A1554" t="s">
        <v>530</v>
      </c>
      <c r="B1554">
        <v>2</v>
      </c>
      <c r="C1554">
        <v>2014</v>
      </c>
      <c r="D1554" s="1">
        <v>42004</v>
      </c>
      <c r="E1554" s="2">
        <v>57900000000</v>
      </c>
      <c r="F1554" s="2">
        <v>40898000000</v>
      </c>
      <c r="G1554" s="2">
        <v>4934000000</v>
      </c>
      <c r="H1554" s="2">
        <v>2475000000</v>
      </c>
      <c r="I1554">
        <v>0</v>
      </c>
      <c r="J1554" t="s">
        <v>12</v>
      </c>
      <c r="K1554" t="s">
        <v>160</v>
      </c>
      <c r="L1554" s="37">
        <f t="shared" si="96"/>
        <v>0.29364421416234887</v>
      </c>
      <c r="M1554" s="2">
        <f t="shared" si="97"/>
        <v>17002000000</v>
      </c>
      <c r="N1554" s="37">
        <f t="shared" si="98"/>
        <v>0.16568221070811745</v>
      </c>
      <c r="O1554" s="2">
        <f t="shared" si="99"/>
        <v>9593000000</v>
      </c>
    </row>
    <row r="1555" spans="1:15" x14ac:dyDescent="0.3">
      <c r="A1555" t="s">
        <v>530</v>
      </c>
      <c r="B1555">
        <v>3</v>
      </c>
      <c r="C1555">
        <v>2015</v>
      </c>
      <c r="D1555" s="1">
        <v>42369</v>
      </c>
      <c r="E1555" s="2">
        <v>56098000000</v>
      </c>
      <c r="F1555" s="2">
        <v>40431000000</v>
      </c>
      <c r="G1555" s="2">
        <v>6097000000</v>
      </c>
      <c r="H1555" s="2">
        <v>2279000000</v>
      </c>
      <c r="I1555">
        <v>0</v>
      </c>
      <c r="J1555" t="s">
        <v>12</v>
      </c>
      <c r="K1555" t="s">
        <v>160</v>
      </c>
      <c r="L1555" s="37">
        <f t="shared" si="96"/>
        <v>0.27927911868515809</v>
      </c>
      <c r="M1555" s="2">
        <f t="shared" si="97"/>
        <v>15667000000</v>
      </c>
      <c r="N1555" s="37">
        <f t="shared" si="98"/>
        <v>0.12996898285143854</v>
      </c>
      <c r="O1555" s="2">
        <f t="shared" si="99"/>
        <v>7291000000</v>
      </c>
    </row>
    <row r="1556" spans="1:15" x14ac:dyDescent="0.3">
      <c r="A1556" t="s">
        <v>530</v>
      </c>
      <c r="B1556">
        <v>4</v>
      </c>
      <c r="C1556">
        <v>2016</v>
      </c>
      <c r="D1556" s="1">
        <v>42735</v>
      </c>
      <c r="E1556" s="2">
        <v>57244000000</v>
      </c>
      <c r="F1556" s="2">
        <v>41460000000</v>
      </c>
      <c r="G1556" s="2">
        <v>5275000000</v>
      </c>
      <c r="H1556" s="2">
        <v>2337000000</v>
      </c>
      <c r="I1556">
        <v>0</v>
      </c>
      <c r="J1556" t="s">
        <v>12</v>
      </c>
      <c r="K1556" t="s">
        <v>160</v>
      </c>
      <c r="L1556" s="37">
        <f t="shared" si="96"/>
        <v>0.27573195444064003</v>
      </c>
      <c r="M1556" s="2">
        <f t="shared" si="97"/>
        <v>15784000000</v>
      </c>
      <c r="N1556" s="37">
        <f t="shared" si="98"/>
        <v>0.1427573195444064</v>
      </c>
      <c r="O1556" s="2">
        <f t="shared" si="99"/>
        <v>8172000000</v>
      </c>
    </row>
    <row r="1557" spans="1:15" x14ac:dyDescent="0.3">
      <c r="A1557" t="s">
        <v>531</v>
      </c>
      <c r="B1557">
        <v>1</v>
      </c>
      <c r="C1557">
        <v>2013</v>
      </c>
      <c r="D1557" s="1">
        <v>41547</v>
      </c>
      <c r="E1557" s="2">
        <v>11778000000</v>
      </c>
      <c r="F1557" s="2">
        <v>1932000000</v>
      </c>
      <c r="G1557" s="2">
        <v>2207000000</v>
      </c>
      <c r="H1557">
        <v>0</v>
      </c>
      <c r="I1557" s="2">
        <v>397000000</v>
      </c>
      <c r="J1557" t="s">
        <v>18</v>
      </c>
      <c r="K1557" t="s">
        <v>53</v>
      </c>
      <c r="L1557" s="37">
        <f t="shared" si="96"/>
        <v>0.83596535914416714</v>
      </c>
      <c r="M1557" s="2">
        <f t="shared" si="97"/>
        <v>9846000000</v>
      </c>
      <c r="N1557" s="37">
        <f t="shared" si="98"/>
        <v>0.61487519103413146</v>
      </c>
      <c r="O1557" s="2">
        <f t="shared" si="99"/>
        <v>7242000000</v>
      </c>
    </row>
    <row r="1558" spans="1:15" x14ac:dyDescent="0.3">
      <c r="A1558" t="s">
        <v>531</v>
      </c>
      <c r="B1558">
        <v>2</v>
      </c>
      <c r="C1558">
        <v>2014</v>
      </c>
      <c r="D1558" s="1">
        <v>41912</v>
      </c>
      <c r="E1558" s="2">
        <v>12702000000</v>
      </c>
      <c r="F1558" s="2">
        <v>1875000000</v>
      </c>
      <c r="G1558" s="2">
        <v>2242000000</v>
      </c>
      <c r="H1558">
        <v>0</v>
      </c>
      <c r="I1558" s="2">
        <v>435000000</v>
      </c>
      <c r="J1558" t="s">
        <v>18</v>
      </c>
      <c r="K1558" t="s">
        <v>53</v>
      </c>
      <c r="L1558" s="37">
        <f t="shared" si="96"/>
        <v>0.85238545111006148</v>
      </c>
      <c r="M1558" s="2">
        <f t="shared" si="97"/>
        <v>10827000000</v>
      </c>
      <c r="N1558" s="37">
        <f t="shared" si="98"/>
        <v>0.64163123917493303</v>
      </c>
      <c r="O1558" s="2">
        <f t="shared" si="99"/>
        <v>8150000000</v>
      </c>
    </row>
    <row r="1559" spans="1:15" x14ac:dyDescent="0.3">
      <c r="A1559" t="s">
        <v>531</v>
      </c>
      <c r="B1559">
        <v>3</v>
      </c>
      <c r="C1559">
        <v>2015</v>
      </c>
      <c r="D1559" s="1">
        <v>42277</v>
      </c>
      <c r="E1559" s="2">
        <v>13880000000</v>
      </c>
      <c r="F1559" s="2">
        <v>2079000000</v>
      </c>
      <c r="G1559" s="2">
        <v>2229000000</v>
      </c>
      <c r="H1559">
        <v>0</v>
      </c>
      <c r="I1559" s="2">
        <v>494000000</v>
      </c>
      <c r="J1559" t="s">
        <v>18</v>
      </c>
      <c r="K1559" t="s">
        <v>53</v>
      </c>
      <c r="L1559" s="37">
        <f t="shared" si="96"/>
        <v>0.85021613832853027</v>
      </c>
      <c r="M1559" s="2">
        <f t="shared" si="97"/>
        <v>11801000000</v>
      </c>
      <c r="N1559" s="37">
        <f t="shared" si="98"/>
        <v>0.65403458213256482</v>
      </c>
      <c r="O1559" s="2">
        <f t="shared" si="99"/>
        <v>9078000000</v>
      </c>
    </row>
    <row r="1560" spans="1:15" x14ac:dyDescent="0.3">
      <c r="A1560" t="s">
        <v>531</v>
      </c>
      <c r="B1560">
        <v>4</v>
      </c>
      <c r="C1560">
        <v>2016</v>
      </c>
      <c r="D1560" s="1">
        <v>42643</v>
      </c>
      <c r="E1560" s="2">
        <v>15082000000</v>
      </c>
      <c r="F1560" s="2">
        <v>2226000000</v>
      </c>
      <c r="G1560" s="2">
        <v>4469000000</v>
      </c>
      <c r="H1560">
        <v>0</v>
      </c>
      <c r="I1560" s="2">
        <v>502000000</v>
      </c>
      <c r="J1560" t="s">
        <v>18</v>
      </c>
      <c r="K1560" t="s">
        <v>53</v>
      </c>
      <c r="L1560" s="37">
        <f t="shared" si="96"/>
        <v>0.85240684259382049</v>
      </c>
      <c r="M1560" s="2">
        <f t="shared" si="97"/>
        <v>12856000000</v>
      </c>
      <c r="N1560" s="37">
        <f t="shared" si="98"/>
        <v>0.52280864606816069</v>
      </c>
      <c r="O1560" s="2">
        <f t="shared" si="99"/>
        <v>7885000000</v>
      </c>
    </row>
    <row r="1561" spans="1:15" x14ac:dyDescent="0.3">
      <c r="A1561" t="s">
        <v>492</v>
      </c>
      <c r="B1561">
        <v>1</v>
      </c>
      <c r="C1561">
        <v>2013</v>
      </c>
      <c r="D1561" s="1">
        <v>41639</v>
      </c>
      <c r="E1561" s="2">
        <v>9021000000</v>
      </c>
      <c r="F1561" s="2">
        <v>3002000000</v>
      </c>
      <c r="G1561" s="2">
        <v>4089000000</v>
      </c>
      <c r="H1561" s="2">
        <v>536000000</v>
      </c>
      <c r="I1561" s="2">
        <v>138000000</v>
      </c>
      <c r="J1561" t="s">
        <v>21</v>
      </c>
      <c r="K1561" t="s">
        <v>26</v>
      </c>
      <c r="L1561" s="37">
        <f t="shared" si="96"/>
        <v>0.6672209289435761</v>
      </c>
      <c r="M1561" s="2">
        <f t="shared" si="97"/>
        <v>6019000000</v>
      </c>
      <c r="N1561" s="37">
        <f t="shared" si="98"/>
        <v>0.13923068395964971</v>
      </c>
      <c r="O1561" s="2">
        <f t="shared" si="99"/>
        <v>1256000000</v>
      </c>
    </row>
    <row r="1562" spans="1:15" x14ac:dyDescent="0.3">
      <c r="A1562" t="s">
        <v>492</v>
      </c>
      <c r="B1562">
        <v>2</v>
      </c>
      <c r="C1562">
        <v>2014</v>
      </c>
      <c r="D1562" s="1">
        <v>42004</v>
      </c>
      <c r="E1562" s="2">
        <v>9675000000</v>
      </c>
      <c r="F1562" s="2">
        <v>3319000000</v>
      </c>
      <c r="G1562" s="2">
        <v>4308000000</v>
      </c>
      <c r="H1562" s="2">
        <v>614000000</v>
      </c>
      <c r="I1562" s="2">
        <v>188000000</v>
      </c>
      <c r="J1562" t="s">
        <v>21</v>
      </c>
      <c r="K1562" t="s">
        <v>26</v>
      </c>
      <c r="L1562" s="37">
        <f t="shared" si="96"/>
        <v>0.65695090439276482</v>
      </c>
      <c r="M1562" s="2">
        <f t="shared" si="97"/>
        <v>6356000000</v>
      </c>
      <c r="N1562" s="37">
        <f t="shared" si="98"/>
        <v>0.12878552971576226</v>
      </c>
      <c r="O1562" s="2">
        <f t="shared" si="99"/>
        <v>1246000000</v>
      </c>
    </row>
    <row r="1563" spans="1:15" x14ac:dyDescent="0.3">
      <c r="A1563" t="s">
        <v>492</v>
      </c>
      <c r="B1563">
        <v>3</v>
      </c>
      <c r="C1563">
        <v>2015</v>
      </c>
      <c r="D1563" s="1">
        <v>42369</v>
      </c>
      <c r="E1563" s="2">
        <v>9946000000</v>
      </c>
      <c r="F1563" s="2">
        <v>3344000000</v>
      </c>
      <c r="G1563" s="2">
        <v>3906000000</v>
      </c>
      <c r="H1563" s="2">
        <v>625000000</v>
      </c>
      <c r="I1563" s="2">
        <v>210000000</v>
      </c>
      <c r="J1563" t="s">
        <v>21</v>
      </c>
      <c r="K1563" t="s">
        <v>26</v>
      </c>
      <c r="L1563" s="37">
        <f t="shared" si="96"/>
        <v>0.66378443595415249</v>
      </c>
      <c r="M1563" s="2">
        <f t="shared" si="97"/>
        <v>6602000000</v>
      </c>
      <c r="N1563" s="37">
        <f t="shared" si="98"/>
        <v>0.18711039613915142</v>
      </c>
      <c r="O1563" s="2">
        <f t="shared" si="99"/>
        <v>1861000000</v>
      </c>
    </row>
    <row r="1564" spans="1:15" x14ac:dyDescent="0.3">
      <c r="A1564" t="s">
        <v>492</v>
      </c>
      <c r="B1564">
        <v>4</v>
      </c>
      <c r="C1564">
        <v>2016</v>
      </c>
      <c r="D1564" s="1">
        <v>42735</v>
      </c>
      <c r="E1564" s="2">
        <v>11325000000</v>
      </c>
      <c r="F1564" s="2">
        <v>3830000000</v>
      </c>
      <c r="G1564" s="2">
        <v>4295000000</v>
      </c>
      <c r="H1564" s="2">
        <v>715000000</v>
      </c>
      <c r="I1564" s="2">
        <v>319000000</v>
      </c>
      <c r="J1564" t="s">
        <v>21</v>
      </c>
      <c r="K1564" t="s">
        <v>26</v>
      </c>
      <c r="L1564" s="37">
        <f t="shared" si="96"/>
        <v>0.66181015452538627</v>
      </c>
      <c r="M1564" s="2">
        <f t="shared" si="97"/>
        <v>7495000000</v>
      </c>
      <c r="N1564" s="37">
        <f t="shared" si="98"/>
        <v>0.19125827814569538</v>
      </c>
      <c r="O1564" s="2">
        <f t="shared" si="99"/>
        <v>2166000000</v>
      </c>
    </row>
    <row r="1565" spans="1:15" x14ac:dyDescent="0.3">
      <c r="A1565" t="s">
        <v>533</v>
      </c>
      <c r="B1565">
        <v>1</v>
      </c>
      <c r="C1565">
        <v>2012</v>
      </c>
      <c r="D1565" s="1">
        <v>41274</v>
      </c>
      <c r="E1565" s="2">
        <v>10879855000</v>
      </c>
      <c r="F1565" s="2">
        <v>5817880000</v>
      </c>
      <c r="G1565" s="2">
        <v>3596708000</v>
      </c>
      <c r="H1565">
        <v>0</v>
      </c>
      <c r="I1565">
        <v>0</v>
      </c>
      <c r="J1565" t="s">
        <v>15</v>
      </c>
      <c r="K1565" t="s">
        <v>285</v>
      </c>
      <c r="L1565" s="37">
        <f t="shared" si="96"/>
        <v>0.46526125577960364</v>
      </c>
      <c r="M1565" s="2">
        <f t="shared" si="97"/>
        <v>5061975000</v>
      </c>
      <c r="N1565" s="37">
        <f t="shared" si="98"/>
        <v>0.1346770706043417</v>
      </c>
      <c r="O1565" s="2">
        <f t="shared" si="99"/>
        <v>1465267000</v>
      </c>
    </row>
    <row r="1566" spans="1:15" x14ac:dyDescent="0.3">
      <c r="A1566" t="s">
        <v>533</v>
      </c>
      <c r="B1566">
        <v>2</v>
      </c>
      <c r="C1566">
        <v>2013</v>
      </c>
      <c r="D1566" s="1">
        <v>41639</v>
      </c>
      <c r="E1566" s="2">
        <v>11419648000</v>
      </c>
      <c r="F1566" s="2">
        <v>5931469000</v>
      </c>
      <c r="G1566" s="2">
        <v>3841032000</v>
      </c>
      <c r="H1566">
        <v>0</v>
      </c>
      <c r="I1566">
        <v>0</v>
      </c>
      <c r="J1566" t="s">
        <v>15</v>
      </c>
      <c r="K1566" t="s">
        <v>285</v>
      </c>
      <c r="L1566" s="37">
        <f t="shared" si="96"/>
        <v>0.48059090788087344</v>
      </c>
      <c r="M1566" s="2">
        <f t="shared" si="97"/>
        <v>5488179000</v>
      </c>
      <c r="N1566" s="37">
        <f t="shared" si="98"/>
        <v>0.14423798351753048</v>
      </c>
      <c r="O1566" s="2">
        <f t="shared" si="99"/>
        <v>1647147000</v>
      </c>
    </row>
    <row r="1567" spans="1:15" x14ac:dyDescent="0.3">
      <c r="A1567" t="s">
        <v>533</v>
      </c>
      <c r="B1567">
        <v>3</v>
      </c>
      <c r="C1567">
        <v>2015</v>
      </c>
      <c r="D1567" s="1">
        <v>42007</v>
      </c>
      <c r="E1567" s="2">
        <v>12282161000</v>
      </c>
      <c r="F1567" s="2">
        <v>6288190000</v>
      </c>
      <c r="G1567" s="2">
        <v>4159885000</v>
      </c>
      <c r="H1567">
        <v>0</v>
      </c>
      <c r="I1567">
        <v>0</v>
      </c>
      <c r="J1567" t="s">
        <v>15</v>
      </c>
      <c r="K1567" t="s">
        <v>285</v>
      </c>
      <c r="L1567" s="37">
        <f t="shared" si="96"/>
        <v>0.48802250678850412</v>
      </c>
      <c r="M1567" s="2">
        <f t="shared" si="97"/>
        <v>5993971000</v>
      </c>
      <c r="N1567" s="37">
        <f t="shared" si="98"/>
        <v>0.1493292589146161</v>
      </c>
      <c r="O1567" s="2">
        <f t="shared" si="99"/>
        <v>1834086000</v>
      </c>
    </row>
    <row r="1568" spans="1:15" x14ac:dyDescent="0.3">
      <c r="A1568" t="s">
        <v>533</v>
      </c>
      <c r="B1568">
        <v>4</v>
      </c>
      <c r="C1568">
        <v>2016</v>
      </c>
      <c r="D1568" s="1">
        <v>42371</v>
      </c>
      <c r="E1568" s="2">
        <v>12376744000</v>
      </c>
      <c r="F1568" s="2">
        <v>6393800000</v>
      </c>
      <c r="G1568" s="2">
        <v>4178386000</v>
      </c>
      <c r="H1568">
        <v>0</v>
      </c>
      <c r="I1568">
        <v>0</v>
      </c>
      <c r="J1568" t="s">
        <v>15</v>
      </c>
      <c r="K1568" t="s">
        <v>285</v>
      </c>
      <c r="L1568" s="37">
        <f t="shared" si="96"/>
        <v>0.48340209670653278</v>
      </c>
      <c r="M1568" s="2">
        <f t="shared" si="97"/>
        <v>5982944000</v>
      </c>
      <c r="N1568" s="37">
        <f t="shared" si="98"/>
        <v>0.14580232086888117</v>
      </c>
      <c r="O1568" s="2">
        <f t="shared" si="99"/>
        <v>1804558000</v>
      </c>
    </row>
    <row r="1569" spans="1:15" x14ac:dyDescent="0.3">
      <c r="A1569" t="s">
        <v>534</v>
      </c>
      <c r="B1569">
        <v>1</v>
      </c>
      <c r="C1569">
        <v>2013</v>
      </c>
      <c r="D1569" s="1">
        <v>41547</v>
      </c>
      <c r="E1569" s="2">
        <v>13794000000</v>
      </c>
      <c r="F1569" s="2">
        <v>6799000000</v>
      </c>
      <c r="G1569" s="2">
        <v>2829000000</v>
      </c>
      <c r="H1569">
        <v>0</v>
      </c>
      <c r="I1569" s="2">
        <v>237000000</v>
      </c>
      <c r="J1569" t="s">
        <v>15</v>
      </c>
      <c r="K1569" t="s">
        <v>200</v>
      </c>
      <c r="L1569" s="37">
        <f t="shared" si="96"/>
        <v>0.50710453820501666</v>
      </c>
      <c r="M1569" s="2">
        <f t="shared" si="97"/>
        <v>6995000000</v>
      </c>
      <c r="N1569" s="37">
        <f t="shared" si="98"/>
        <v>0.28483398579092362</v>
      </c>
      <c r="O1569" s="2">
        <f t="shared" si="99"/>
        <v>3929000000</v>
      </c>
    </row>
    <row r="1570" spans="1:15" x14ac:dyDescent="0.3">
      <c r="A1570" t="s">
        <v>534</v>
      </c>
      <c r="B1570">
        <v>2</v>
      </c>
      <c r="C1570">
        <v>2014</v>
      </c>
      <c r="D1570" s="1">
        <v>41912</v>
      </c>
      <c r="E1570" s="2">
        <v>13783000000</v>
      </c>
      <c r="F1570" s="2">
        <v>6542000000</v>
      </c>
      <c r="G1570" s="2">
        <v>2899000000</v>
      </c>
      <c r="H1570">
        <v>0</v>
      </c>
      <c r="I1570" s="2">
        <v>217000000</v>
      </c>
      <c r="J1570" t="s">
        <v>15</v>
      </c>
      <c r="K1570" t="s">
        <v>200</v>
      </c>
      <c r="L1570" s="37">
        <f t="shared" si="96"/>
        <v>0.52535732424000581</v>
      </c>
      <c r="M1570" s="2">
        <f t="shared" si="97"/>
        <v>7241000000</v>
      </c>
      <c r="N1570" s="37">
        <f t="shared" si="98"/>
        <v>0.29928172386272944</v>
      </c>
      <c r="O1570" s="2">
        <f t="shared" si="99"/>
        <v>4125000000</v>
      </c>
    </row>
    <row r="1571" spans="1:15" x14ac:dyDescent="0.3">
      <c r="A1571" t="s">
        <v>534</v>
      </c>
      <c r="B1571">
        <v>3</v>
      </c>
      <c r="C1571">
        <v>2015</v>
      </c>
      <c r="D1571" s="1">
        <v>42277</v>
      </c>
      <c r="E1571" s="2">
        <v>13268000000</v>
      </c>
      <c r="F1571" s="2">
        <v>6868000000</v>
      </c>
      <c r="G1571" s="2">
        <v>2860000000</v>
      </c>
      <c r="H1571">
        <v>0</v>
      </c>
      <c r="I1571" s="2">
        <v>222000000</v>
      </c>
      <c r="J1571" t="s">
        <v>15</v>
      </c>
      <c r="K1571" t="s">
        <v>200</v>
      </c>
      <c r="L1571" s="37">
        <f t="shared" si="96"/>
        <v>0.48236358154959302</v>
      </c>
      <c r="M1571" s="2">
        <f t="shared" si="97"/>
        <v>6400000000</v>
      </c>
      <c r="N1571" s="37">
        <f t="shared" si="98"/>
        <v>0.2500753693096171</v>
      </c>
      <c r="O1571" s="2">
        <f t="shared" si="99"/>
        <v>3318000000</v>
      </c>
    </row>
    <row r="1572" spans="1:15" x14ac:dyDescent="0.3">
      <c r="A1572" t="s">
        <v>534</v>
      </c>
      <c r="B1572">
        <v>4</v>
      </c>
      <c r="C1572">
        <v>2016</v>
      </c>
      <c r="D1572" s="1">
        <v>42643</v>
      </c>
      <c r="E1572" s="2">
        <v>12488000000</v>
      </c>
      <c r="F1572" s="2">
        <v>6684000000</v>
      </c>
      <c r="G1572" s="2">
        <v>2851000000</v>
      </c>
      <c r="H1572">
        <v>0</v>
      </c>
      <c r="I1572" s="2">
        <v>221000000</v>
      </c>
      <c r="J1572" t="s">
        <v>15</v>
      </c>
      <c r="K1572" t="s">
        <v>200</v>
      </c>
      <c r="L1572" s="37">
        <f t="shared" si="96"/>
        <v>0.46476617552850741</v>
      </c>
      <c r="M1572" s="2">
        <f t="shared" si="97"/>
        <v>5804000000</v>
      </c>
      <c r="N1572" s="37">
        <f t="shared" si="98"/>
        <v>0.21877001921844971</v>
      </c>
      <c r="O1572" s="2">
        <f t="shared" si="99"/>
        <v>2732000000</v>
      </c>
    </row>
    <row r="1573" spans="1:15" x14ac:dyDescent="0.3">
      <c r="A1573" t="s">
        <v>535</v>
      </c>
      <c r="B1573">
        <v>1</v>
      </c>
      <c r="C1573">
        <v>2012</v>
      </c>
      <c r="D1573" s="1">
        <v>41274</v>
      </c>
      <c r="E1573" s="2">
        <v>138393000000</v>
      </c>
      <c r="F1573" s="2">
        <v>126485000000</v>
      </c>
      <c r="G1573" s="2">
        <v>5229000000</v>
      </c>
      <c r="H1573">
        <v>0</v>
      </c>
      <c r="I1573" s="2">
        <v>1549000000</v>
      </c>
      <c r="J1573" t="s">
        <v>79</v>
      </c>
      <c r="K1573" t="s">
        <v>337</v>
      </c>
      <c r="L1573" s="37">
        <f t="shared" si="96"/>
        <v>8.6044814405352832E-2</v>
      </c>
      <c r="M1573" s="2">
        <f t="shared" si="97"/>
        <v>11908000000</v>
      </c>
      <c r="N1573" s="37">
        <f t="shared" si="98"/>
        <v>3.7068348832672175E-2</v>
      </c>
      <c r="O1573" s="2">
        <f t="shared" si="99"/>
        <v>5130000000</v>
      </c>
    </row>
    <row r="1574" spans="1:15" x14ac:dyDescent="0.3">
      <c r="A1574" t="s">
        <v>535</v>
      </c>
      <c r="B1574">
        <v>2</v>
      </c>
      <c r="C1574">
        <v>2013</v>
      </c>
      <c r="D1574" s="1">
        <v>41639</v>
      </c>
      <c r="E1574" s="2">
        <v>138074000000</v>
      </c>
      <c r="F1574" s="2">
        <v>127316000000</v>
      </c>
      <c r="G1574" s="2">
        <v>5081000000</v>
      </c>
      <c r="H1574">
        <v>0</v>
      </c>
      <c r="I1574" s="2">
        <v>1720000000</v>
      </c>
      <c r="J1574" t="s">
        <v>79</v>
      </c>
      <c r="K1574" t="s">
        <v>337</v>
      </c>
      <c r="L1574" s="37">
        <f t="shared" si="96"/>
        <v>7.7914741370569418E-2</v>
      </c>
      <c r="M1574" s="2">
        <f t="shared" si="97"/>
        <v>10758000000</v>
      </c>
      <c r="N1574" s="37">
        <f t="shared" si="98"/>
        <v>2.8658545417674579E-2</v>
      </c>
      <c r="O1574" s="2">
        <f t="shared" si="99"/>
        <v>3957000000</v>
      </c>
    </row>
    <row r="1575" spans="1:15" x14ac:dyDescent="0.3">
      <c r="A1575" t="s">
        <v>535</v>
      </c>
      <c r="B1575">
        <v>3</v>
      </c>
      <c r="C1575">
        <v>2014</v>
      </c>
      <c r="D1575" s="1">
        <v>42004</v>
      </c>
      <c r="E1575" s="2">
        <v>130844000000</v>
      </c>
      <c r="F1575" s="2">
        <v>118141000000</v>
      </c>
      <c r="G1575" s="2">
        <v>5111000000</v>
      </c>
      <c r="H1575">
        <v>0</v>
      </c>
      <c r="I1575" s="2">
        <v>1690000000</v>
      </c>
      <c r="J1575" t="s">
        <v>79</v>
      </c>
      <c r="K1575" t="s">
        <v>337</v>
      </c>
      <c r="L1575" s="37">
        <f t="shared" si="96"/>
        <v>9.7085078413989168E-2</v>
      </c>
      <c r="M1575" s="2">
        <f t="shared" si="97"/>
        <v>12703000000</v>
      </c>
      <c r="N1575" s="37">
        <f t="shared" si="98"/>
        <v>4.5107150499831862E-2</v>
      </c>
      <c r="O1575" s="2">
        <f t="shared" si="99"/>
        <v>5902000000</v>
      </c>
    </row>
    <row r="1576" spans="1:15" x14ac:dyDescent="0.3">
      <c r="A1576" t="s">
        <v>535</v>
      </c>
      <c r="B1576">
        <v>4</v>
      </c>
      <c r="C1576">
        <v>2015</v>
      </c>
      <c r="D1576" s="1">
        <v>42369</v>
      </c>
      <c r="E1576" s="2">
        <v>87804000000</v>
      </c>
      <c r="F1576" s="2">
        <v>74651000000</v>
      </c>
      <c r="G1576" s="2">
        <v>4953000000</v>
      </c>
      <c r="H1576">
        <v>0</v>
      </c>
      <c r="I1576" s="2">
        <v>1842000000</v>
      </c>
      <c r="J1576" t="s">
        <v>79</v>
      </c>
      <c r="K1576" t="s">
        <v>337</v>
      </c>
      <c r="L1576" s="37">
        <f t="shared" si="96"/>
        <v>0.14979955355109109</v>
      </c>
      <c r="M1576" s="2">
        <f t="shared" si="97"/>
        <v>13153000000</v>
      </c>
      <c r="N1576" s="37">
        <f t="shared" si="98"/>
        <v>7.2411279668352244E-2</v>
      </c>
      <c r="O1576" s="2">
        <f t="shared" si="99"/>
        <v>6358000000</v>
      </c>
    </row>
    <row r="1577" spans="1:15" x14ac:dyDescent="0.3">
      <c r="A1577" t="s">
        <v>536</v>
      </c>
      <c r="B1577">
        <v>1</v>
      </c>
      <c r="C1577">
        <v>2012</v>
      </c>
      <c r="D1577" s="1">
        <v>41274</v>
      </c>
      <c r="E1577" s="2">
        <v>2567310000</v>
      </c>
      <c r="F1577" s="2">
        <v>2233284000</v>
      </c>
      <c r="G1577" s="2">
        <v>308143000</v>
      </c>
      <c r="H1577">
        <v>0</v>
      </c>
      <c r="I1577">
        <v>0</v>
      </c>
      <c r="J1577" t="s">
        <v>55</v>
      </c>
      <c r="K1577" t="s">
        <v>383</v>
      </c>
      <c r="L1577" s="37">
        <f t="shared" si="96"/>
        <v>0.13010738866751581</v>
      </c>
      <c r="M1577" s="2">
        <f t="shared" si="97"/>
        <v>334026000</v>
      </c>
      <c r="N1577" s="37">
        <f t="shared" si="98"/>
        <v>1.0081758728007135E-2</v>
      </c>
      <c r="O1577" s="2">
        <f t="shared" si="99"/>
        <v>25883000</v>
      </c>
    </row>
    <row r="1578" spans="1:15" x14ac:dyDescent="0.3">
      <c r="A1578" t="s">
        <v>536</v>
      </c>
      <c r="B1578">
        <v>2</v>
      </c>
      <c r="C1578">
        <v>2013</v>
      </c>
      <c r="D1578" s="1">
        <v>41639</v>
      </c>
      <c r="E1578" s="2">
        <v>2770709000</v>
      </c>
      <c r="F1578" s="2">
        <v>2343829000</v>
      </c>
      <c r="G1578" s="2">
        <v>274217000</v>
      </c>
      <c r="H1578">
        <v>0</v>
      </c>
      <c r="I1578">
        <v>0</v>
      </c>
      <c r="J1578" t="s">
        <v>55</v>
      </c>
      <c r="K1578" t="s">
        <v>383</v>
      </c>
      <c r="L1578" s="37">
        <f t="shared" si="96"/>
        <v>0.15406886829327804</v>
      </c>
      <c r="M1578" s="2">
        <f t="shared" si="97"/>
        <v>426880000</v>
      </c>
      <c r="N1578" s="37">
        <f t="shared" si="98"/>
        <v>5.5098893460121576E-2</v>
      </c>
      <c r="O1578" s="2">
        <f t="shared" si="99"/>
        <v>152663000</v>
      </c>
    </row>
    <row r="1579" spans="1:15" x14ac:dyDescent="0.3">
      <c r="A1579" t="s">
        <v>536</v>
      </c>
      <c r="B1579">
        <v>3</v>
      </c>
      <c r="C1579">
        <v>2014</v>
      </c>
      <c r="D1579" s="1">
        <v>42004</v>
      </c>
      <c r="E1579" s="2">
        <v>2994169000</v>
      </c>
      <c r="F1579" s="2">
        <v>2406587000</v>
      </c>
      <c r="G1579" s="2">
        <v>292358000</v>
      </c>
      <c r="H1579">
        <v>0</v>
      </c>
      <c r="I1579">
        <v>0</v>
      </c>
      <c r="J1579" t="s">
        <v>55</v>
      </c>
      <c r="K1579" t="s">
        <v>383</v>
      </c>
      <c r="L1579" s="37">
        <f t="shared" si="96"/>
        <v>0.19624209588703911</v>
      </c>
      <c r="M1579" s="2">
        <f t="shared" si="97"/>
        <v>587582000</v>
      </c>
      <c r="N1579" s="37">
        <f t="shared" si="98"/>
        <v>9.8599644843026565E-2</v>
      </c>
      <c r="O1579" s="2">
        <f t="shared" si="99"/>
        <v>295224000</v>
      </c>
    </row>
    <row r="1580" spans="1:15" x14ac:dyDescent="0.3">
      <c r="A1580" t="s">
        <v>536</v>
      </c>
      <c r="B1580">
        <v>4</v>
      </c>
      <c r="C1580">
        <v>2015</v>
      </c>
      <c r="D1580" s="1">
        <v>42369</v>
      </c>
      <c r="E1580" s="2">
        <v>3422181000</v>
      </c>
      <c r="F1580" s="2">
        <v>2564648000</v>
      </c>
      <c r="G1580" s="2">
        <v>312694000</v>
      </c>
      <c r="H1580">
        <v>0</v>
      </c>
      <c r="I1580">
        <v>0</v>
      </c>
      <c r="J1580" t="s">
        <v>55</v>
      </c>
      <c r="K1580" t="s">
        <v>383</v>
      </c>
      <c r="L1580" s="37">
        <f t="shared" si="96"/>
        <v>0.25058084303547945</v>
      </c>
      <c r="M1580" s="2">
        <f t="shared" si="97"/>
        <v>857533000</v>
      </c>
      <c r="N1580" s="37">
        <f t="shared" si="98"/>
        <v>0.15920811903286239</v>
      </c>
      <c r="O1580" s="2">
        <f t="shared" si="99"/>
        <v>544839000</v>
      </c>
    </row>
    <row r="1581" spans="1:15" x14ac:dyDescent="0.3">
      <c r="A1581" t="s">
        <v>537</v>
      </c>
      <c r="B1581">
        <v>1</v>
      </c>
      <c r="C1581">
        <v>2013</v>
      </c>
      <c r="D1581" s="1">
        <v>41639</v>
      </c>
      <c r="E1581" s="2">
        <v>2299176000</v>
      </c>
      <c r="F1581" s="2">
        <v>928565000</v>
      </c>
      <c r="G1581" s="2">
        <v>177366000</v>
      </c>
      <c r="H1581" s="2">
        <v>32210000</v>
      </c>
      <c r="I1581" s="2">
        <v>461627000</v>
      </c>
      <c r="J1581" t="s">
        <v>48</v>
      </c>
      <c r="K1581" t="s">
        <v>49</v>
      </c>
      <c r="L1581" s="37">
        <f t="shared" si="96"/>
        <v>0.59613139663949166</v>
      </c>
      <c r="M1581" s="2">
        <f t="shared" si="97"/>
        <v>1370611000</v>
      </c>
      <c r="N1581" s="37">
        <f t="shared" si="98"/>
        <v>0.30419941753045437</v>
      </c>
      <c r="O1581" s="2">
        <f t="shared" si="99"/>
        <v>699408000</v>
      </c>
    </row>
    <row r="1582" spans="1:15" x14ac:dyDescent="0.3">
      <c r="A1582" t="s">
        <v>537</v>
      </c>
      <c r="B1582">
        <v>2</v>
      </c>
      <c r="C1582">
        <v>2014</v>
      </c>
      <c r="D1582" s="1">
        <v>42004</v>
      </c>
      <c r="E1582" s="2">
        <v>2312512000</v>
      </c>
      <c r="F1582" s="2">
        <v>953611000</v>
      </c>
      <c r="G1582" s="2">
        <v>169270000</v>
      </c>
      <c r="H1582">
        <v>0</v>
      </c>
      <c r="I1582" s="2">
        <v>481303000</v>
      </c>
      <c r="J1582" t="s">
        <v>48</v>
      </c>
      <c r="K1582" t="s">
        <v>49</v>
      </c>
      <c r="L1582" s="37">
        <f t="shared" si="96"/>
        <v>0.58762981554257876</v>
      </c>
      <c r="M1582" s="2">
        <f t="shared" si="97"/>
        <v>1358901000</v>
      </c>
      <c r="N1582" s="37">
        <f t="shared" si="98"/>
        <v>0.30630241053884261</v>
      </c>
      <c r="O1582" s="2">
        <f t="shared" si="99"/>
        <v>708328000</v>
      </c>
    </row>
    <row r="1583" spans="1:15" x14ac:dyDescent="0.3">
      <c r="A1583" t="s">
        <v>537</v>
      </c>
      <c r="B1583">
        <v>3</v>
      </c>
      <c r="C1583">
        <v>2015</v>
      </c>
      <c r="D1583" s="1">
        <v>42369</v>
      </c>
      <c r="E1583" s="2">
        <v>2502267000</v>
      </c>
      <c r="F1583" s="2">
        <v>1011249000</v>
      </c>
      <c r="G1583" s="2">
        <v>175307000</v>
      </c>
      <c r="H1583">
        <v>0</v>
      </c>
      <c r="I1583" s="2">
        <v>542952000</v>
      </c>
      <c r="J1583" t="s">
        <v>48</v>
      </c>
      <c r="K1583" t="s">
        <v>49</v>
      </c>
      <c r="L1583" s="37">
        <f t="shared" si="96"/>
        <v>0.59586686792416632</v>
      </c>
      <c r="M1583" s="2">
        <f t="shared" si="97"/>
        <v>1491018000</v>
      </c>
      <c r="N1583" s="37">
        <f t="shared" si="98"/>
        <v>0.308823558796883</v>
      </c>
      <c r="O1583" s="2">
        <f t="shared" si="99"/>
        <v>772759000</v>
      </c>
    </row>
    <row r="1584" spans="1:15" x14ac:dyDescent="0.3">
      <c r="A1584" t="s">
        <v>537</v>
      </c>
      <c r="B1584">
        <v>4</v>
      </c>
      <c r="C1584">
        <v>2016</v>
      </c>
      <c r="D1584" s="1">
        <v>42735</v>
      </c>
      <c r="E1584" s="2">
        <v>2506202000</v>
      </c>
      <c r="F1584" s="2">
        <v>1024336000</v>
      </c>
      <c r="G1584" s="2">
        <v>179279000</v>
      </c>
      <c r="H1584">
        <v>0</v>
      </c>
      <c r="I1584" s="2">
        <v>565059000</v>
      </c>
      <c r="J1584" t="s">
        <v>48</v>
      </c>
      <c r="K1584" t="s">
        <v>49</v>
      </c>
      <c r="L1584" s="37">
        <f t="shared" si="96"/>
        <v>0.59127955368322271</v>
      </c>
      <c r="M1584" s="2">
        <f t="shared" si="97"/>
        <v>1481866000</v>
      </c>
      <c r="N1584" s="37">
        <f t="shared" si="98"/>
        <v>0.29428114732970445</v>
      </c>
      <c r="O1584" s="2">
        <f t="shared" si="99"/>
        <v>737528000</v>
      </c>
    </row>
    <row r="1585" spans="1:15" x14ac:dyDescent="0.3">
      <c r="A1585" t="s">
        <v>538</v>
      </c>
      <c r="B1585">
        <v>1</v>
      </c>
      <c r="C1585">
        <v>2012</v>
      </c>
      <c r="D1585" s="1">
        <v>41274</v>
      </c>
      <c r="E1585" s="2">
        <v>1407848000</v>
      </c>
      <c r="F1585" s="2">
        <v>516708000</v>
      </c>
      <c r="G1585" s="2">
        <v>220068000</v>
      </c>
      <c r="H1585">
        <v>0</v>
      </c>
      <c r="I1585" s="2">
        <v>98844000</v>
      </c>
      <c r="J1585" t="s">
        <v>12</v>
      </c>
      <c r="K1585" t="s">
        <v>207</v>
      </c>
      <c r="L1585" s="37">
        <f t="shared" si="96"/>
        <v>0.6329802649149624</v>
      </c>
      <c r="M1585" s="2">
        <f t="shared" si="97"/>
        <v>891140000</v>
      </c>
      <c r="N1585" s="37">
        <f t="shared" si="98"/>
        <v>0.40645581057045932</v>
      </c>
      <c r="O1585" s="2">
        <f t="shared" si="99"/>
        <v>572228000</v>
      </c>
    </row>
    <row r="1586" spans="1:15" x14ac:dyDescent="0.3">
      <c r="A1586" t="s">
        <v>538</v>
      </c>
      <c r="B1586">
        <v>2</v>
      </c>
      <c r="C1586">
        <v>2013</v>
      </c>
      <c r="D1586" s="1">
        <v>41639</v>
      </c>
      <c r="E1586" s="2">
        <v>1595703000</v>
      </c>
      <c r="F1586" s="2">
        <v>622523000</v>
      </c>
      <c r="G1586" s="2">
        <v>228982000</v>
      </c>
      <c r="H1586">
        <v>0</v>
      </c>
      <c r="I1586" s="2">
        <v>129931000</v>
      </c>
      <c r="J1586" t="s">
        <v>12</v>
      </c>
      <c r="K1586" t="s">
        <v>207</v>
      </c>
      <c r="L1586" s="37">
        <f t="shared" si="96"/>
        <v>0.60987539661202617</v>
      </c>
      <c r="M1586" s="2">
        <f t="shared" si="97"/>
        <v>973180000</v>
      </c>
      <c r="N1586" s="37">
        <f t="shared" si="98"/>
        <v>0.38495070824583272</v>
      </c>
      <c r="O1586" s="2">
        <f t="shared" si="99"/>
        <v>614267000</v>
      </c>
    </row>
    <row r="1587" spans="1:15" x14ac:dyDescent="0.3">
      <c r="A1587" t="s">
        <v>538</v>
      </c>
      <c r="B1587">
        <v>3</v>
      </c>
      <c r="C1587">
        <v>2014</v>
      </c>
      <c r="D1587" s="1">
        <v>42004</v>
      </c>
      <c r="E1587" s="2">
        <v>1746726000</v>
      </c>
      <c r="F1587" s="2">
        <v>716598000</v>
      </c>
      <c r="G1587" s="2">
        <v>227306000</v>
      </c>
      <c r="H1587">
        <v>0</v>
      </c>
      <c r="I1587" s="2">
        <v>142376000</v>
      </c>
      <c r="J1587" t="s">
        <v>12</v>
      </c>
      <c r="K1587" t="s">
        <v>207</v>
      </c>
      <c r="L1587" s="37">
        <f t="shared" si="96"/>
        <v>0.58974790551008005</v>
      </c>
      <c r="M1587" s="2">
        <f t="shared" si="97"/>
        <v>1030128000</v>
      </c>
      <c r="N1587" s="37">
        <f t="shared" si="98"/>
        <v>0.37810509490326472</v>
      </c>
      <c r="O1587" s="2">
        <f t="shared" si="99"/>
        <v>660446000</v>
      </c>
    </row>
    <row r="1588" spans="1:15" x14ac:dyDescent="0.3">
      <c r="A1588" t="s">
        <v>538</v>
      </c>
      <c r="B1588">
        <v>4</v>
      </c>
      <c r="C1588">
        <v>2015</v>
      </c>
      <c r="D1588" s="1">
        <v>42369</v>
      </c>
      <c r="E1588" s="2">
        <v>2068010000</v>
      </c>
      <c r="F1588" s="2">
        <v>803274000</v>
      </c>
      <c r="G1588" s="2">
        <v>312690000</v>
      </c>
      <c r="H1588">
        <v>0</v>
      </c>
      <c r="I1588" s="2">
        <v>215484000</v>
      </c>
      <c r="J1588" t="s">
        <v>12</v>
      </c>
      <c r="K1588" t="s">
        <v>207</v>
      </c>
      <c r="L1588" s="37">
        <f t="shared" si="96"/>
        <v>0.61157151077606009</v>
      </c>
      <c r="M1588" s="2">
        <f t="shared" si="97"/>
        <v>1264736000</v>
      </c>
      <c r="N1588" s="37">
        <f t="shared" si="98"/>
        <v>0.35616945759449908</v>
      </c>
      <c r="O1588" s="2">
        <f t="shared" si="99"/>
        <v>736562000</v>
      </c>
    </row>
    <row r="1589" spans="1:15" x14ac:dyDescent="0.3">
      <c r="A1589" t="s">
        <v>539</v>
      </c>
      <c r="B1589">
        <v>1</v>
      </c>
      <c r="C1589">
        <v>2012</v>
      </c>
      <c r="D1589" s="1">
        <v>41274</v>
      </c>
      <c r="E1589" s="2">
        <v>873592000</v>
      </c>
      <c r="F1589" s="2">
        <v>167600000</v>
      </c>
      <c r="G1589" s="2">
        <v>186971000</v>
      </c>
      <c r="H1589" s="2">
        <v>61694000</v>
      </c>
      <c r="I1589">
        <v>0</v>
      </c>
      <c r="J1589" t="s">
        <v>18</v>
      </c>
      <c r="K1589" t="s">
        <v>53</v>
      </c>
      <c r="L1589" s="37">
        <f t="shared" si="96"/>
        <v>0.80814842626763983</v>
      </c>
      <c r="M1589" s="2">
        <f t="shared" si="97"/>
        <v>705992000</v>
      </c>
      <c r="N1589" s="37">
        <f t="shared" si="98"/>
        <v>0.52350181778221416</v>
      </c>
      <c r="O1589" s="2">
        <f t="shared" si="99"/>
        <v>457327000</v>
      </c>
    </row>
    <row r="1590" spans="1:15" x14ac:dyDescent="0.3">
      <c r="A1590" t="s">
        <v>539</v>
      </c>
      <c r="B1590">
        <v>2</v>
      </c>
      <c r="C1590">
        <v>2013</v>
      </c>
      <c r="D1590" s="1">
        <v>41639</v>
      </c>
      <c r="E1590" s="2">
        <v>965087000</v>
      </c>
      <c r="F1590" s="2">
        <v>187013000</v>
      </c>
      <c r="G1590" s="2">
        <v>179545000</v>
      </c>
      <c r="H1590" s="2">
        <v>70297000</v>
      </c>
      <c r="I1590">
        <v>0</v>
      </c>
      <c r="J1590" t="s">
        <v>18</v>
      </c>
      <c r="K1590" t="s">
        <v>53</v>
      </c>
      <c r="L1590" s="37">
        <f t="shared" si="96"/>
        <v>0.80622161525333991</v>
      </c>
      <c r="M1590" s="2">
        <f t="shared" si="97"/>
        <v>778074000</v>
      </c>
      <c r="N1590" s="37">
        <f t="shared" si="98"/>
        <v>0.54734132777666678</v>
      </c>
      <c r="O1590" s="2">
        <f t="shared" si="99"/>
        <v>528232000</v>
      </c>
    </row>
    <row r="1591" spans="1:15" x14ac:dyDescent="0.3">
      <c r="A1591" t="s">
        <v>539</v>
      </c>
      <c r="B1591">
        <v>3</v>
      </c>
      <c r="C1591">
        <v>2014</v>
      </c>
      <c r="D1591" s="1">
        <v>42004</v>
      </c>
      <c r="E1591" s="2">
        <v>1010117000</v>
      </c>
      <c r="F1591" s="2">
        <v>188425000</v>
      </c>
      <c r="G1591" s="2">
        <v>189488000</v>
      </c>
      <c r="H1591" s="2">
        <v>67777000</v>
      </c>
      <c r="I1591">
        <v>0</v>
      </c>
      <c r="J1591" t="s">
        <v>18</v>
      </c>
      <c r="K1591" t="s">
        <v>53</v>
      </c>
      <c r="L1591" s="37">
        <f t="shared" si="96"/>
        <v>0.81346220289332827</v>
      </c>
      <c r="M1591" s="2">
        <f t="shared" si="97"/>
        <v>821692000</v>
      </c>
      <c r="N1591" s="37">
        <f t="shared" si="98"/>
        <v>0.55877388460940658</v>
      </c>
      <c r="O1591" s="2">
        <f t="shared" si="99"/>
        <v>564427000</v>
      </c>
    </row>
    <row r="1592" spans="1:15" x14ac:dyDescent="0.3">
      <c r="A1592" t="s">
        <v>539</v>
      </c>
      <c r="B1592">
        <v>4</v>
      </c>
      <c r="C1592">
        <v>2015</v>
      </c>
      <c r="D1592" s="1">
        <v>42369</v>
      </c>
      <c r="E1592" s="2">
        <v>1059366000</v>
      </c>
      <c r="F1592" s="2">
        <v>192788000</v>
      </c>
      <c r="G1592" s="2">
        <v>196914000</v>
      </c>
      <c r="H1592" s="2">
        <v>63718000</v>
      </c>
      <c r="I1592">
        <v>0</v>
      </c>
      <c r="J1592" t="s">
        <v>18</v>
      </c>
      <c r="K1592" t="s">
        <v>53</v>
      </c>
      <c r="L1592" s="37">
        <f t="shared" si="96"/>
        <v>0.8180156810771726</v>
      </c>
      <c r="M1592" s="2">
        <f t="shared" si="97"/>
        <v>866578000</v>
      </c>
      <c r="N1592" s="37">
        <f t="shared" si="98"/>
        <v>0.57198928415675032</v>
      </c>
      <c r="O1592" s="2">
        <f t="shared" si="99"/>
        <v>605946000</v>
      </c>
    </row>
    <row r="1593" spans="1:15" x14ac:dyDescent="0.3">
      <c r="A1593" t="s">
        <v>509</v>
      </c>
      <c r="B1593">
        <v>1</v>
      </c>
      <c r="C1593">
        <v>2012</v>
      </c>
      <c r="D1593" s="1">
        <v>41274</v>
      </c>
      <c r="E1593" s="2">
        <v>12509900000</v>
      </c>
      <c r="F1593" s="2">
        <v>7214400000</v>
      </c>
      <c r="G1593" s="2">
        <v>3354900000</v>
      </c>
      <c r="H1593" s="2">
        <v>376400000</v>
      </c>
      <c r="I1593">
        <v>0</v>
      </c>
      <c r="J1593" t="s">
        <v>21</v>
      </c>
      <c r="K1593" t="s">
        <v>26</v>
      </c>
      <c r="L1593" s="37">
        <f t="shared" si="96"/>
        <v>0.42330474264382612</v>
      </c>
      <c r="M1593" s="2">
        <f t="shared" si="97"/>
        <v>5295500000</v>
      </c>
      <c r="N1593" s="37">
        <f t="shared" si="98"/>
        <v>0.1250369707191904</v>
      </c>
      <c r="O1593" s="2">
        <f t="shared" si="99"/>
        <v>1564200000</v>
      </c>
    </row>
    <row r="1594" spans="1:15" x14ac:dyDescent="0.3">
      <c r="A1594" t="s">
        <v>509</v>
      </c>
      <c r="B1594">
        <v>2</v>
      </c>
      <c r="C1594">
        <v>2013</v>
      </c>
      <c r="D1594" s="1">
        <v>41639</v>
      </c>
      <c r="E1594" s="2">
        <v>13090300000</v>
      </c>
      <c r="F1594" s="2">
        <v>7561200000</v>
      </c>
      <c r="G1594" s="2">
        <v>3446300000</v>
      </c>
      <c r="H1594" s="2">
        <v>395500000</v>
      </c>
      <c r="I1594">
        <v>0</v>
      </c>
      <c r="J1594" t="s">
        <v>21</v>
      </c>
      <c r="K1594" t="s">
        <v>26</v>
      </c>
      <c r="L1594" s="37">
        <f t="shared" si="96"/>
        <v>0.422381458026172</v>
      </c>
      <c r="M1594" s="2">
        <f t="shared" si="97"/>
        <v>5529100000</v>
      </c>
      <c r="N1594" s="37">
        <f t="shared" si="98"/>
        <v>0.1288969695117759</v>
      </c>
      <c r="O1594" s="2">
        <f t="shared" si="99"/>
        <v>1687300000</v>
      </c>
    </row>
    <row r="1595" spans="1:15" x14ac:dyDescent="0.3">
      <c r="A1595" t="s">
        <v>509</v>
      </c>
      <c r="B1595">
        <v>3</v>
      </c>
      <c r="C1595">
        <v>2014</v>
      </c>
      <c r="D1595" s="1">
        <v>42004</v>
      </c>
      <c r="E1595" s="2">
        <v>16889600000</v>
      </c>
      <c r="F1595" s="2">
        <v>9397600000</v>
      </c>
      <c r="G1595" s="2">
        <v>4896100000</v>
      </c>
      <c r="H1595" s="2">
        <v>691100000</v>
      </c>
      <c r="I1595">
        <v>0</v>
      </c>
      <c r="J1595" t="s">
        <v>21</v>
      </c>
      <c r="K1595" t="s">
        <v>26</v>
      </c>
      <c r="L1595" s="37">
        <f t="shared" si="96"/>
        <v>0.44358658582796517</v>
      </c>
      <c r="M1595" s="2">
        <f t="shared" si="97"/>
        <v>7492000000</v>
      </c>
      <c r="N1595" s="37">
        <f t="shared" si="98"/>
        <v>0.11277946191739295</v>
      </c>
      <c r="O1595" s="2">
        <f t="shared" si="99"/>
        <v>1904800000</v>
      </c>
    </row>
    <row r="1596" spans="1:15" x14ac:dyDescent="0.3">
      <c r="A1596" t="s">
        <v>509</v>
      </c>
      <c r="B1596">
        <v>4</v>
      </c>
      <c r="C1596">
        <v>2015</v>
      </c>
      <c r="D1596" s="1">
        <v>42369</v>
      </c>
      <c r="E1596" s="2">
        <v>16965400000</v>
      </c>
      <c r="F1596" s="2">
        <v>9209500000</v>
      </c>
      <c r="G1596" s="2">
        <v>4612100000</v>
      </c>
      <c r="H1596" s="2">
        <v>692300000</v>
      </c>
      <c r="I1596">
        <v>0</v>
      </c>
      <c r="J1596" t="s">
        <v>21</v>
      </c>
      <c r="K1596" t="s">
        <v>26</v>
      </c>
      <c r="L1596" s="37">
        <f t="shared" si="96"/>
        <v>0.45715986655192331</v>
      </c>
      <c r="M1596" s="2">
        <f t="shared" si="97"/>
        <v>7755900000</v>
      </c>
      <c r="N1596" s="37">
        <f t="shared" si="98"/>
        <v>0.14449998231695096</v>
      </c>
      <c r="O1596" s="2">
        <f t="shared" si="99"/>
        <v>2451500000</v>
      </c>
    </row>
    <row r="1597" spans="1:15" x14ac:dyDescent="0.3">
      <c r="A1597" t="s">
        <v>541</v>
      </c>
      <c r="B1597">
        <v>1</v>
      </c>
      <c r="C1597">
        <v>2013</v>
      </c>
      <c r="D1597" s="1">
        <v>41639</v>
      </c>
      <c r="E1597" s="2">
        <v>2514595000</v>
      </c>
      <c r="F1597" s="2">
        <v>1118240000</v>
      </c>
      <c r="G1597" s="2">
        <v>132447000</v>
      </c>
      <c r="H1597">
        <v>0</v>
      </c>
      <c r="I1597" s="2">
        <v>629908000</v>
      </c>
      <c r="J1597" t="s">
        <v>48</v>
      </c>
      <c r="K1597" t="s">
        <v>49</v>
      </c>
      <c r="L1597" s="37">
        <f t="shared" si="96"/>
        <v>0.55530015767946728</v>
      </c>
      <c r="M1597" s="2">
        <f t="shared" si="97"/>
        <v>1396355000</v>
      </c>
      <c r="N1597" s="37">
        <f t="shared" si="98"/>
        <v>0.2521280762906154</v>
      </c>
      <c r="O1597" s="2">
        <f t="shared" si="99"/>
        <v>634000000</v>
      </c>
    </row>
    <row r="1598" spans="1:15" x14ac:dyDescent="0.3">
      <c r="A1598" t="s">
        <v>541</v>
      </c>
      <c r="B1598">
        <v>2</v>
      </c>
      <c r="C1598">
        <v>2014</v>
      </c>
      <c r="D1598" s="1">
        <v>42004</v>
      </c>
      <c r="E1598" s="2">
        <v>2772550000</v>
      </c>
      <c r="F1598" s="2">
        <v>1212480000</v>
      </c>
      <c r="G1598" s="2">
        <v>147481000</v>
      </c>
      <c r="H1598">
        <v>0</v>
      </c>
      <c r="I1598" s="2">
        <v>725216000</v>
      </c>
      <c r="J1598" t="s">
        <v>48</v>
      </c>
      <c r="K1598" t="s">
        <v>49</v>
      </c>
      <c r="L1598" s="37">
        <f t="shared" si="96"/>
        <v>0.56268417161097184</v>
      </c>
      <c r="M1598" s="2">
        <f t="shared" si="97"/>
        <v>1560070000</v>
      </c>
      <c r="N1598" s="37">
        <f t="shared" si="98"/>
        <v>0.24792086707182917</v>
      </c>
      <c r="O1598" s="2">
        <f t="shared" si="99"/>
        <v>687373000</v>
      </c>
    </row>
    <row r="1599" spans="1:15" x14ac:dyDescent="0.3">
      <c r="A1599" t="s">
        <v>541</v>
      </c>
      <c r="B1599">
        <v>3</v>
      </c>
      <c r="C1599">
        <v>2015</v>
      </c>
      <c r="D1599" s="1">
        <v>42369</v>
      </c>
      <c r="E1599" s="2">
        <v>3285346000</v>
      </c>
      <c r="F1599" s="2">
        <v>1410205000</v>
      </c>
      <c r="G1599" s="2">
        <v>145992000</v>
      </c>
      <c r="H1599">
        <v>0</v>
      </c>
      <c r="I1599" s="2">
        <v>894057000</v>
      </c>
      <c r="J1599" t="s">
        <v>48</v>
      </c>
      <c r="K1599" t="s">
        <v>49</v>
      </c>
      <c r="L1599" s="37">
        <f t="shared" si="96"/>
        <v>0.570759061602644</v>
      </c>
      <c r="M1599" s="2">
        <f t="shared" si="97"/>
        <v>1875141000</v>
      </c>
      <c r="N1599" s="37">
        <f t="shared" si="98"/>
        <v>0.25418692582151164</v>
      </c>
      <c r="O1599" s="2">
        <f t="shared" si="99"/>
        <v>835092000</v>
      </c>
    </row>
    <row r="1600" spans="1:15" x14ac:dyDescent="0.3">
      <c r="A1600" t="s">
        <v>541</v>
      </c>
      <c r="B1600">
        <v>4</v>
      </c>
      <c r="C1600">
        <v>2016</v>
      </c>
      <c r="D1600" s="1">
        <v>42735</v>
      </c>
      <c r="E1600" s="2">
        <v>3442646000</v>
      </c>
      <c r="F1600" s="2">
        <v>1442073000</v>
      </c>
      <c r="G1600" s="2">
        <v>136863000</v>
      </c>
      <c r="H1600">
        <v>0</v>
      </c>
      <c r="I1600" s="2">
        <v>898924000</v>
      </c>
      <c r="J1600" t="s">
        <v>48</v>
      </c>
      <c r="K1600" t="s">
        <v>49</v>
      </c>
      <c r="L1600" s="37">
        <f t="shared" si="96"/>
        <v>0.58111493310668594</v>
      </c>
      <c r="M1600" s="2">
        <f t="shared" si="97"/>
        <v>2000573000</v>
      </c>
      <c r="N1600" s="37">
        <f t="shared" si="98"/>
        <v>0.28024548559451073</v>
      </c>
      <c r="O1600" s="2">
        <f t="shared" si="99"/>
        <v>964786000</v>
      </c>
    </row>
    <row r="1601" spans="1:15" x14ac:dyDescent="0.3">
      <c r="A1601" t="s">
        <v>542</v>
      </c>
      <c r="B1601">
        <v>1</v>
      </c>
      <c r="C1601">
        <v>2012</v>
      </c>
      <c r="D1601" s="1">
        <v>41274</v>
      </c>
      <c r="E1601" s="2">
        <v>115846000000</v>
      </c>
      <c r="F1601" s="2">
        <v>46275000000</v>
      </c>
      <c r="G1601" s="2">
        <v>39951000000</v>
      </c>
      <c r="H1601">
        <v>0</v>
      </c>
      <c r="I1601" s="2">
        <v>16460000000</v>
      </c>
      <c r="J1601" t="s">
        <v>178</v>
      </c>
      <c r="K1601" t="s">
        <v>179</v>
      </c>
      <c r="L1601" s="37">
        <f t="shared" si="96"/>
        <v>0.60054727828323817</v>
      </c>
      <c r="M1601" s="2">
        <f t="shared" si="97"/>
        <v>69571000000</v>
      </c>
      <c r="N1601" s="37">
        <f t="shared" si="98"/>
        <v>0.11359908844500458</v>
      </c>
      <c r="O1601" s="2">
        <f t="shared" si="99"/>
        <v>13160000000</v>
      </c>
    </row>
    <row r="1602" spans="1:15" x14ac:dyDescent="0.3">
      <c r="A1602" t="s">
        <v>542</v>
      </c>
      <c r="B1602">
        <v>2</v>
      </c>
      <c r="C1602">
        <v>2013</v>
      </c>
      <c r="D1602" s="1">
        <v>41639</v>
      </c>
      <c r="E1602" s="2">
        <v>120550000000</v>
      </c>
      <c r="F1602" s="2">
        <v>44887000000</v>
      </c>
      <c r="G1602" s="2">
        <v>27089000000</v>
      </c>
      <c r="H1602">
        <v>0</v>
      </c>
      <c r="I1602" s="2">
        <v>16606000000</v>
      </c>
      <c r="J1602" t="s">
        <v>178</v>
      </c>
      <c r="K1602" t="s">
        <v>179</v>
      </c>
      <c r="L1602" s="37">
        <f t="shared" ref="L1602:L1665" si="100">1-(F1602/E1602)</f>
        <v>0.62764827872252171</v>
      </c>
      <c r="M1602" s="2">
        <f t="shared" ref="M1602:M1665" si="101">E1602-F1602</f>
        <v>75663000000</v>
      </c>
      <c r="N1602" s="37">
        <f t="shared" ref="N1602:N1665" si="102">O1602/E1602</f>
        <v>0.26518457071754459</v>
      </c>
      <c r="O1602" s="2">
        <f t="shared" ref="O1602:O1665" si="103">M1602-SUM(G1602:I1602)</f>
        <v>31968000000</v>
      </c>
    </row>
    <row r="1603" spans="1:15" x14ac:dyDescent="0.3">
      <c r="A1603" t="s">
        <v>542</v>
      </c>
      <c r="B1603">
        <v>3</v>
      </c>
      <c r="C1603">
        <v>2014</v>
      </c>
      <c r="D1603" s="1">
        <v>42004</v>
      </c>
      <c r="E1603" s="2">
        <v>127079000000</v>
      </c>
      <c r="F1603" s="2">
        <v>49931000000</v>
      </c>
      <c r="G1603" s="2">
        <v>41016000000</v>
      </c>
      <c r="H1603">
        <v>0</v>
      </c>
      <c r="I1603" s="2">
        <v>16533000000</v>
      </c>
      <c r="J1603" t="s">
        <v>178</v>
      </c>
      <c r="K1603" t="s">
        <v>179</v>
      </c>
      <c r="L1603" s="37">
        <f t="shared" si="100"/>
        <v>0.60708693017729132</v>
      </c>
      <c r="M1603" s="2">
        <f t="shared" si="101"/>
        <v>77148000000</v>
      </c>
      <c r="N1603" s="37">
        <f t="shared" si="102"/>
        <v>0.15422689822866092</v>
      </c>
      <c r="O1603" s="2">
        <f t="shared" si="103"/>
        <v>19599000000</v>
      </c>
    </row>
    <row r="1604" spans="1:15" x14ac:dyDescent="0.3">
      <c r="A1604" t="s">
        <v>542</v>
      </c>
      <c r="B1604">
        <v>4</v>
      </c>
      <c r="C1604">
        <v>2015</v>
      </c>
      <c r="D1604" s="1">
        <v>42369</v>
      </c>
      <c r="E1604" s="2">
        <v>131620000000</v>
      </c>
      <c r="F1604" s="2">
        <v>52557000000</v>
      </c>
      <c r="G1604" s="2">
        <v>29986000000</v>
      </c>
      <c r="H1604">
        <v>0</v>
      </c>
      <c r="I1604" s="2">
        <v>16017000000</v>
      </c>
      <c r="J1604" t="s">
        <v>178</v>
      </c>
      <c r="K1604" t="s">
        <v>179</v>
      </c>
      <c r="L1604" s="37">
        <f t="shared" si="100"/>
        <v>0.60069138428810209</v>
      </c>
      <c r="M1604" s="2">
        <f t="shared" si="101"/>
        <v>79063000000</v>
      </c>
      <c r="N1604" s="37">
        <f t="shared" si="102"/>
        <v>0.25117763257863546</v>
      </c>
      <c r="O1604" s="2">
        <f t="shared" si="103"/>
        <v>33060000000</v>
      </c>
    </row>
    <row r="1605" spans="1:15" x14ac:dyDescent="0.3">
      <c r="A1605" t="s">
        <v>524</v>
      </c>
      <c r="B1605">
        <v>1</v>
      </c>
      <c r="C1605">
        <v>2013</v>
      </c>
      <c r="D1605" s="1">
        <v>41639</v>
      </c>
      <c r="E1605" s="2">
        <v>122489000000</v>
      </c>
      <c r="F1605" s="2">
        <v>89659000000</v>
      </c>
      <c r="G1605">
        <v>0</v>
      </c>
      <c r="H1605">
        <v>0</v>
      </c>
      <c r="I1605" s="2">
        <v>23207000000</v>
      </c>
      <c r="J1605" t="s">
        <v>21</v>
      </c>
      <c r="K1605" t="s">
        <v>77</v>
      </c>
      <c r="L1605" s="37">
        <f t="shared" si="100"/>
        <v>0.2680240674672828</v>
      </c>
      <c r="M1605" s="2">
        <f t="shared" si="101"/>
        <v>32830000000</v>
      </c>
      <c r="N1605" s="37">
        <f t="shared" si="102"/>
        <v>7.8562156601817312E-2</v>
      </c>
      <c r="O1605" s="2">
        <f t="shared" si="103"/>
        <v>9623000000</v>
      </c>
    </row>
    <row r="1606" spans="1:15" x14ac:dyDescent="0.3">
      <c r="A1606" t="s">
        <v>524</v>
      </c>
      <c r="B1606">
        <v>2</v>
      </c>
      <c r="C1606">
        <v>2014</v>
      </c>
      <c r="D1606" s="1">
        <v>42004</v>
      </c>
      <c r="E1606" s="2">
        <v>130474000000</v>
      </c>
      <c r="F1606" s="2">
        <v>93633000000</v>
      </c>
      <c r="G1606">
        <v>0</v>
      </c>
      <c r="H1606">
        <v>0</v>
      </c>
      <c r="I1606" s="2">
        <v>26567000000</v>
      </c>
      <c r="J1606" t="s">
        <v>21</v>
      </c>
      <c r="K1606" t="s">
        <v>77</v>
      </c>
      <c r="L1606" s="37">
        <f t="shared" si="100"/>
        <v>0.28236276959394213</v>
      </c>
      <c r="M1606" s="2">
        <f t="shared" si="101"/>
        <v>36841000000</v>
      </c>
      <c r="N1606" s="37">
        <f t="shared" si="102"/>
        <v>7.8743657740239434E-2</v>
      </c>
      <c r="O1606" s="2">
        <f t="shared" si="103"/>
        <v>10274000000</v>
      </c>
    </row>
    <row r="1607" spans="1:15" x14ac:dyDescent="0.3">
      <c r="A1607" t="s">
        <v>524</v>
      </c>
      <c r="B1607">
        <v>3</v>
      </c>
      <c r="C1607">
        <v>2015</v>
      </c>
      <c r="D1607" s="1">
        <v>42369</v>
      </c>
      <c r="E1607" s="2">
        <v>157107000000</v>
      </c>
      <c r="F1607" s="2">
        <v>103875000000</v>
      </c>
      <c r="G1607">
        <v>0</v>
      </c>
      <c r="H1607">
        <v>0</v>
      </c>
      <c r="I1607" s="2">
        <v>42211000000</v>
      </c>
      <c r="J1607" t="s">
        <v>21</v>
      </c>
      <c r="K1607" t="s">
        <v>77</v>
      </c>
      <c r="L1607" s="37">
        <f t="shared" si="100"/>
        <v>0.33882640493421678</v>
      </c>
      <c r="M1607" s="2">
        <f t="shared" si="101"/>
        <v>53232000000</v>
      </c>
      <c r="N1607" s="37">
        <f t="shared" si="102"/>
        <v>7.0149643236774931E-2</v>
      </c>
      <c r="O1607" s="2">
        <f t="shared" si="103"/>
        <v>11021000000</v>
      </c>
    </row>
    <row r="1608" spans="1:15" x14ac:dyDescent="0.3">
      <c r="A1608" t="s">
        <v>524</v>
      </c>
      <c r="B1608">
        <v>4</v>
      </c>
      <c r="C1608">
        <v>2016</v>
      </c>
      <c r="D1608" s="1">
        <v>42735</v>
      </c>
      <c r="E1608" s="2">
        <v>184840000000</v>
      </c>
      <c r="F1608" s="2">
        <v>117038000000</v>
      </c>
      <c r="G1608">
        <v>0</v>
      </c>
      <c r="H1608">
        <v>0</v>
      </c>
      <c r="I1608" s="2">
        <v>54872000000</v>
      </c>
      <c r="J1608" t="s">
        <v>21</v>
      </c>
      <c r="K1608" t="s">
        <v>77</v>
      </c>
      <c r="L1608" s="37">
        <f t="shared" si="100"/>
        <v>0.36681454230685995</v>
      </c>
      <c r="M1608" s="2">
        <f t="shared" si="101"/>
        <v>67802000000</v>
      </c>
      <c r="N1608" s="37">
        <f t="shared" si="102"/>
        <v>6.9952391257303612E-2</v>
      </c>
      <c r="O1608" s="2">
        <f t="shared" si="103"/>
        <v>12930000000</v>
      </c>
    </row>
    <row r="1609" spans="1:15" x14ac:dyDescent="0.3">
      <c r="A1609" t="s">
        <v>544</v>
      </c>
      <c r="B1609">
        <v>1</v>
      </c>
      <c r="C1609">
        <v>2013</v>
      </c>
      <c r="D1609" s="1">
        <v>41453</v>
      </c>
      <c r="E1609" s="2">
        <v>15351000000</v>
      </c>
      <c r="F1609" s="2">
        <v>10988000000</v>
      </c>
      <c r="G1609" s="2">
        <v>1525000000</v>
      </c>
      <c r="H1609" s="2">
        <v>1572000000</v>
      </c>
      <c r="I1609">
        <v>0</v>
      </c>
      <c r="J1609" t="s">
        <v>18</v>
      </c>
      <c r="K1609" t="s">
        <v>485</v>
      </c>
      <c r="L1609" s="37">
        <f t="shared" si="100"/>
        <v>0.28421601198618984</v>
      </c>
      <c r="M1609" s="2">
        <f t="shared" si="101"/>
        <v>4363000000</v>
      </c>
      <c r="N1609" s="37">
        <f t="shared" si="102"/>
        <v>8.2470197381278088E-2</v>
      </c>
      <c r="O1609" s="2">
        <f t="shared" si="103"/>
        <v>1266000000</v>
      </c>
    </row>
    <row r="1610" spans="1:15" x14ac:dyDescent="0.3">
      <c r="A1610" t="s">
        <v>544</v>
      </c>
      <c r="B1610">
        <v>2</v>
      </c>
      <c r="C1610">
        <v>2014</v>
      </c>
      <c r="D1610" s="1">
        <v>41817</v>
      </c>
      <c r="E1610" s="2">
        <v>15130000000</v>
      </c>
      <c r="F1610" s="2">
        <v>10770000000</v>
      </c>
      <c r="G1610" s="2">
        <v>908000000</v>
      </c>
      <c r="H1610" s="2">
        <v>1661000000</v>
      </c>
      <c r="I1610">
        <v>0</v>
      </c>
      <c r="J1610" t="s">
        <v>18</v>
      </c>
      <c r="K1610" t="s">
        <v>485</v>
      </c>
      <c r="L1610" s="37">
        <f t="shared" si="100"/>
        <v>0.28816920026437542</v>
      </c>
      <c r="M1610" s="2">
        <f t="shared" si="101"/>
        <v>4360000000</v>
      </c>
      <c r="N1610" s="37">
        <f t="shared" si="102"/>
        <v>0.11837409120951752</v>
      </c>
      <c r="O1610" s="2">
        <f t="shared" si="103"/>
        <v>1791000000</v>
      </c>
    </row>
    <row r="1611" spans="1:15" x14ac:dyDescent="0.3">
      <c r="A1611" t="s">
        <v>544</v>
      </c>
      <c r="B1611">
        <v>3</v>
      </c>
      <c r="C1611">
        <v>2015</v>
      </c>
      <c r="D1611" s="1">
        <v>42188</v>
      </c>
      <c r="E1611" s="2">
        <v>14572000000</v>
      </c>
      <c r="F1611" s="2">
        <v>10351000000</v>
      </c>
      <c r="G1611" s="2">
        <v>964000000</v>
      </c>
      <c r="H1611" s="2">
        <v>1646000000</v>
      </c>
      <c r="I1611">
        <v>0</v>
      </c>
      <c r="J1611" t="s">
        <v>18</v>
      </c>
      <c r="K1611" t="s">
        <v>485</v>
      </c>
      <c r="L1611" s="37">
        <f t="shared" si="100"/>
        <v>0.28966511117211091</v>
      </c>
      <c r="M1611" s="2">
        <f t="shared" si="101"/>
        <v>4221000000</v>
      </c>
      <c r="N1611" s="37">
        <f t="shared" si="102"/>
        <v>0.11055448805929179</v>
      </c>
      <c r="O1611" s="2">
        <f t="shared" si="103"/>
        <v>1611000000</v>
      </c>
    </row>
    <row r="1612" spans="1:15" x14ac:dyDescent="0.3">
      <c r="A1612" t="s">
        <v>544</v>
      </c>
      <c r="B1612">
        <v>4</v>
      </c>
      <c r="C1612">
        <v>2016</v>
      </c>
      <c r="D1612" s="1">
        <v>42552</v>
      </c>
      <c r="E1612" s="2">
        <v>12994000000</v>
      </c>
      <c r="F1612" s="2">
        <v>9559000000</v>
      </c>
      <c r="G1612" s="2">
        <v>1342000000</v>
      </c>
      <c r="H1612" s="2">
        <v>1627000000</v>
      </c>
      <c r="I1612">
        <v>0</v>
      </c>
      <c r="J1612" t="s">
        <v>18</v>
      </c>
      <c r="K1612" t="s">
        <v>485</v>
      </c>
      <c r="L1612" s="37">
        <f t="shared" si="100"/>
        <v>0.26435277820532554</v>
      </c>
      <c r="M1612" s="2">
        <f t="shared" si="101"/>
        <v>3435000000</v>
      </c>
      <c r="N1612" s="37">
        <f t="shared" si="102"/>
        <v>3.5862705864245038E-2</v>
      </c>
      <c r="O1612" s="2">
        <f t="shared" si="103"/>
        <v>466000000</v>
      </c>
    </row>
    <row r="1613" spans="1:15" x14ac:dyDescent="0.3">
      <c r="A1613" t="s">
        <v>545</v>
      </c>
      <c r="B1613">
        <v>1</v>
      </c>
      <c r="C1613">
        <v>2012</v>
      </c>
      <c r="D1613" s="1">
        <v>41274</v>
      </c>
      <c r="E1613" s="2">
        <v>4246400000</v>
      </c>
      <c r="F1613" s="2">
        <v>2760500000</v>
      </c>
      <c r="G1613" s="2">
        <v>121400000</v>
      </c>
      <c r="H1613">
        <v>0</v>
      </c>
      <c r="I1613" s="2">
        <v>364200000</v>
      </c>
      <c r="J1613" t="s">
        <v>38</v>
      </c>
      <c r="K1613" t="s">
        <v>41</v>
      </c>
      <c r="L1613" s="37">
        <f t="shared" si="100"/>
        <v>0.34991993217784478</v>
      </c>
      <c r="M1613" s="2">
        <f t="shared" si="101"/>
        <v>1485900000</v>
      </c>
      <c r="N1613" s="37">
        <f t="shared" si="102"/>
        <v>0.23556424265259984</v>
      </c>
      <c r="O1613" s="2">
        <f t="shared" si="103"/>
        <v>1000300000</v>
      </c>
    </row>
    <row r="1614" spans="1:15" x14ac:dyDescent="0.3">
      <c r="A1614" t="s">
        <v>545</v>
      </c>
      <c r="B1614">
        <v>2</v>
      </c>
      <c r="C1614">
        <v>2013</v>
      </c>
      <c r="D1614" s="1">
        <v>41639</v>
      </c>
      <c r="E1614" s="2">
        <v>4519000000</v>
      </c>
      <c r="F1614" s="2">
        <v>2982100000</v>
      </c>
      <c r="G1614" s="2">
        <v>116700000</v>
      </c>
      <c r="H1614">
        <v>0</v>
      </c>
      <c r="I1614" s="2">
        <v>340100000</v>
      </c>
      <c r="J1614" t="s">
        <v>38</v>
      </c>
      <c r="K1614" t="s">
        <v>41</v>
      </c>
      <c r="L1614" s="37">
        <f t="shared" si="100"/>
        <v>0.34009736667404289</v>
      </c>
      <c r="M1614" s="2">
        <f t="shared" si="101"/>
        <v>1536900000</v>
      </c>
      <c r="N1614" s="37">
        <f t="shared" si="102"/>
        <v>0.23901305598583758</v>
      </c>
      <c r="O1614" s="2">
        <f t="shared" si="103"/>
        <v>1080100000</v>
      </c>
    </row>
    <row r="1615" spans="1:15" x14ac:dyDescent="0.3">
      <c r="A1615" t="s">
        <v>545</v>
      </c>
      <c r="B1615">
        <v>3</v>
      </c>
      <c r="C1615">
        <v>2014</v>
      </c>
      <c r="D1615" s="1">
        <v>42004</v>
      </c>
      <c r="E1615" s="2">
        <v>4997100000</v>
      </c>
      <c r="F1615" s="2">
        <v>3371800000</v>
      </c>
      <c r="G1615" s="2">
        <v>121800000</v>
      </c>
      <c r="H1615">
        <v>0</v>
      </c>
      <c r="I1615" s="2">
        <v>391400000</v>
      </c>
      <c r="J1615" t="s">
        <v>38</v>
      </c>
      <c r="K1615" t="s">
        <v>41</v>
      </c>
      <c r="L1615" s="37">
        <f t="shared" si="100"/>
        <v>0.32524864421364397</v>
      </c>
      <c r="M1615" s="2">
        <f t="shared" si="101"/>
        <v>1625300000</v>
      </c>
      <c r="N1615" s="37">
        <f t="shared" si="102"/>
        <v>0.22254907846551</v>
      </c>
      <c r="O1615" s="2">
        <f t="shared" si="103"/>
        <v>1112100000</v>
      </c>
    </row>
    <row r="1616" spans="1:15" x14ac:dyDescent="0.3">
      <c r="A1616" t="s">
        <v>545</v>
      </c>
      <c r="B1616">
        <v>4</v>
      </c>
      <c r="C1616">
        <v>2015</v>
      </c>
      <c r="D1616" s="1">
        <v>42369</v>
      </c>
      <c r="E1616" s="2">
        <v>5926100000</v>
      </c>
      <c r="F1616" s="2">
        <v>3949400000</v>
      </c>
      <c r="G1616" s="2">
        <v>164400000</v>
      </c>
      <c r="H1616">
        <v>0</v>
      </c>
      <c r="I1616" s="2">
        <v>561800000</v>
      </c>
      <c r="J1616" t="s">
        <v>38</v>
      </c>
      <c r="K1616" t="s">
        <v>41</v>
      </c>
      <c r="L1616" s="37">
        <f t="shared" si="100"/>
        <v>0.33355832672415253</v>
      </c>
      <c r="M1616" s="2">
        <f t="shared" si="101"/>
        <v>1976700000</v>
      </c>
      <c r="N1616" s="37">
        <f t="shared" si="102"/>
        <v>0.21101567641450533</v>
      </c>
      <c r="O1616" s="2">
        <f t="shared" si="103"/>
        <v>1250500000</v>
      </c>
    </row>
    <row r="1617" spans="1:15" x14ac:dyDescent="0.3">
      <c r="A1617" t="s">
        <v>532</v>
      </c>
      <c r="B1617">
        <v>1</v>
      </c>
      <c r="C1617">
        <v>2013</v>
      </c>
      <c r="D1617" s="1">
        <v>41544</v>
      </c>
      <c r="E1617" s="2">
        <v>2942897000</v>
      </c>
      <c r="F1617" s="2">
        <v>1693210000</v>
      </c>
      <c r="G1617" s="2">
        <v>432589000</v>
      </c>
      <c r="H1617" s="2">
        <v>208208000</v>
      </c>
      <c r="I1617">
        <v>0</v>
      </c>
      <c r="J1617" t="s">
        <v>21</v>
      </c>
      <c r="K1617" t="s">
        <v>26</v>
      </c>
      <c r="L1617" s="37">
        <f t="shared" si="100"/>
        <v>0.42464517106782873</v>
      </c>
      <c r="M1617" s="2">
        <f t="shared" si="101"/>
        <v>1249687000</v>
      </c>
      <c r="N1617" s="37">
        <f t="shared" si="102"/>
        <v>0.20690156672149926</v>
      </c>
      <c r="O1617" s="2">
        <f t="shared" si="103"/>
        <v>608890000</v>
      </c>
    </row>
    <row r="1618" spans="1:15" x14ac:dyDescent="0.3">
      <c r="A1618" t="s">
        <v>532</v>
      </c>
      <c r="B1618">
        <v>2</v>
      </c>
      <c r="C1618">
        <v>2014</v>
      </c>
      <c r="D1618" s="1">
        <v>41908</v>
      </c>
      <c r="E1618" s="2">
        <v>3049800000</v>
      </c>
      <c r="F1618" s="2">
        <v>1748100000</v>
      </c>
      <c r="G1618" s="2">
        <v>470600000</v>
      </c>
      <c r="H1618" s="2">
        <v>234800000</v>
      </c>
      <c r="I1618">
        <v>0</v>
      </c>
      <c r="J1618" t="s">
        <v>21</v>
      </c>
      <c r="K1618" t="s">
        <v>26</v>
      </c>
      <c r="L1618" s="37">
        <f t="shared" si="100"/>
        <v>0.42681487310643318</v>
      </c>
      <c r="M1618" s="2">
        <f t="shared" si="101"/>
        <v>1301700000</v>
      </c>
      <c r="N1618" s="37">
        <f t="shared" si="102"/>
        <v>0.19552101777165715</v>
      </c>
      <c r="O1618" s="2">
        <f t="shared" si="103"/>
        <v>596300000</v>
      </c>
    </row>
    <row r="1619" spans="1:15" x14ac:dyDescent="0.3">
      <c r="A1619" t="s">
        <v>532</v>
      </c>
      <c r="B1619">
        <v>3</v>
      </c>
      <c r="C1619">
        <v>2015</v>
      </c>
      <c r="D1619" s="1">
        <v>42279</v>
      </c>
      <c r="E1619" s="2">
        <v>3099100000</v>
      </c>
      <c r="F1619" s="2">
        <v>1816400000</v>
      </c>
      <c r="G1619" s="2">
        <v>488500000</v>
      </c>
      <c r="H1619" s="2">
        <v>245200000</v>
      </c>
      <c r="I1619">
        <v>0</v>
      </c>
      <c r="J1619" t="s">
        <v>21</v>
      </c>
      <c r="K1619" t="s">
        <v>26</v>
      </c>
      <c r="L1619" s="37">
        <f t="shared" si="100"/>
        <v>0.41389435642605921</v>
      </c>
      <c r="M1619" s="2">
        <f t="shared" si="101"/>
        <v>1282700000</v>
      </c>
      <c r="N1619" s="37">
        <f t="shared" si="102"/>
        <v>0.17714820431738246</v>
      </c>
      <c r="O1619" s="2">
        <f t="shared" si="103"/>
        <v>549000000</v>
      </c>
    </row>
    <row r="1620" spans="1:15" x14ac:dyDescent="0.3">
      <c r="A1620" t="s">
        <v>532</v>
      </c>
      <c r="B1620">
        <v>4</v>
      </c>
      <c r="C1620">
        <v>2016</v>
      </c>
      <c r="D1620" s="1">
        <v>42643</v>
      </c>
      <c r="E1620" s="2">
        <v>3217800000</v>
      </c>
      <c r="F1620" s="2">
        <v>1856500000</v>
      </c>
      <c r="G1620" s="2">
        <v>557000000</v>
      </c>
      <c r="H1620" s="2">
        <v>253500000</v>
      </c>
      <c r="I1620">
        <v>0</v>
      </c>
      <c r="J1620" t="s">
        <v>21</v>
      </c>
      <c r="K1620" t="s">
        <v>26</v>
      </c>
      <c r="L1620" s="37">
        <f t="shared" si="100"/>
        <v>0.42305301758965752</v>
      </c>
      <c r="M1620" s="2">
        <f t="shared" si="101"/>
        <v>1361300000</v>
      </c>
      <c r="N1620" s="37">
        <f t="shared" si="102"/>
        <v>0.17117285101622226</v>
      </c>
      <c r="O1620" s="2">
        <f t="shared" si="103"/>
        <v>550800000</v>
      </c>
    </row>
    <row r="1621" spans="1:15" x14ac:dyDescent="0.3">
      <c r="A1621" t="s">
        <v>547</v>
      </c>
      <c r="B1621">
        <v>1</v>
      </c>
      <c r="C1621">
        <v>2013</v>
      </c>
      <c r="D1621" s="1">
        <v>41546</v>
      </c>
      <c r="E1621" s="2">
        <v>12917000000</v>
      </c>
      <c r="F1621" s="2">
        <v>8288000000</v>
      </c>
      <c r="G1621" s="2">
        <v>3682000000</v>
      </c>
      <c r="H1621">
        <v>0</v>
      </c>
      <c r="I1621">
        <v>0</v>
      </c>
      <c r="J1621" t="s">
        <v>32</v>
      </c>
      <c r="K1621" t="s">
        <v>342</v>
      </c>
      <c r="L1621" s="37">
        <f t="shared" si="100"/>
        <v>0.35836494542076336</v>
      </c>
      <c r="M1621" s="2">
        <f t="shared" si="101"/>
        <v>4629000000</v>
      </c>
      <c r="N1621" s="37">
        <f t="shared" si="102"/>
        <v>7.3314237051947048E-2</v>
      </c>
      <c r="O1621" s="2">
        <f t="shared" si="103"/>
        <v>947000000</v>
      </c>
    </row>
    <row r="1622" spans="1:15" x14ac:dyDescent="0.3">
      <c r="A1622" t="s">
        <v>547</v>
      </c>
      <c r="B1622">
        <v>2</v>
      </c>
      <c r="C1622">
        <v>2014</v>
      </c>
      <c r="D1622" s="1">
        <v>41910</v>
      </c>
      <c r="E1622" s="2">
        <v>14194000000</v>
      </c>
      <c r="F1622" s="2">
        <v>9150000000</v>
      </c>
      <c r="G1622" s="2">
        <v>4032000000</v>
      </c>
      <c r="H1622">
        <v>0</v>
      </c>
      <c r="I1622">
        <v>0</v>
      </c>
      <c r="J1622" t="s">
        <v>32</v>
      </c>
      <c r="K1622" t="s">
        <v>342</v>
      </c>
      <c r="L1622" s="37">
        <f t="shared" si="100"/>
        <v>0.35536142031844442</v>
      </c>
      <c r="M1622" s="2">
        <f t="shared" si="101"/>
        <v>5044000000</v>
      </c>
      <c r="N1622" s="37">
        <f t="shared" si="102"/>
        <v>7.1297731435817954E-2</v>
      </c>
      <c r="O1622" s="2">
        <f t="shared" si="103"/>
        <v>1012000000</v>
      </c>
    </row>
    <row r="1623" spans="1:15" x14ac:dyDescent="0.3">
      <c r="A1623" t="s">
        <v>547</v>
      </c>
      <c r="B1623">
        <v>3</v>
      </c>
      <c r="C1623">
        <v>2015</v>
      </c>
      <c r="D1623" s="1">
        <v>42274</v>
      </c>
      <c r="E1623" s="2">
        <v>15389000000</v>
      </c>
      <c r="F1623" s="2">
        <v>9973000000</v>
      </c>
      <c r="G1623" s="2">
        <v>4472000000</v>
      </c>
      <c r="H1623">
        <v>0</v>
      </c>
      <c r="I1623">
        <v>0</v>
      </c>
      <c r="J1623" t="s">
        <v>32</v>
      </c>
      <c r="K1623" t="s">
        <v>342</v>
      </c>
      <c r="L1623" s="37">
        <f t="shared" si="100"/>
        <v>0.35193969718630191</v>
      </c>
      <c r="M1623" s="2">
        <f t="shared" si="101"/>
        <v>5416000000</v>
      </c>
      <c r="N1623" s="37">
        <f t="shared" si="102"/>
        <v>6.1342517382545973E-2</v>
      </c>
      <c r="O1623" s="2">
        <f t="shared" si="103"/>
        <v>944000000</v>
      </c>
    </row>
    <row r="1624" spans="1:15" x14ac:dyDescent="0.3">
      <c r="A1624" t="s">
        <v>547</v>
      </c>
      <c r="B1624">
        <v>4</v>
      </c>
      <c r="C1624">
        <v>2016</v>
      </c>
      <c r="D1624" s="1">
        <v>42638</v>
      </c>
      <c r="E1624" s="2">
        <v>15724000000</v>
      </c>
      <c r="F1624" s="2">
        <v>10313000000</v>
      </c>
      <c r="G1624" s="2">
        <v>4477000000</v>
      </c>
      <c r="H1624">
        <v>0</v>
      </c>
      <c r="I1624">
        <v>0</v>
      </c>
      <c r="J1624" t="s">
        <v>32</v>
      </c>
      <c r="K1624" t="s">
        <v>342</v>
      </c>
      <c r="L1624" s="37">
        <f t="shared" si="100"/>
        <v>0.34412363266344437</v>
      </c>
      <c r="M1624" s="2">
        <f t="shared" si="101"/>
        <v>5411000000</v>
      </c>
      <c r="N1624" s="37">
        <f t="shared" si="102"/>
        <v>5.9399643856525054E-2</v>
      </c>
      <c r="O1624" s="2">
        <f t="shared" si="103"/>
        <v>934000000</v>
      </c>
    </row>
    <row r="1625" spans="1:15" x14ac:dyDescent="0.3">
      <c r="A1625" t="s">
        <v>548</v>
      </c>
      <c r="B1625">
        <v>1</v>
      </c>
      <c r="C1625">
        <v>2013</v>
      </c>
      <c r="D1625" s="1">
        <v>41639</v>
      </c>
      <c r="E1625" s="2">
        <v>18769000000</v>
      </c>
      <c r="F1625" s="2">
        <v>15471000000</v>
      </c>
      <c r="G1625" s="2">
        <v>1828000000</v>
      </c>
      <c r="H1625">
        <v>0</v>
      </c>
      <c r="I1625" s="2">
        <v>25000000</v>
      </c>
      <c r="J1625" t="s">
        <v>15</v>
      </c>
      <c r="K1625" t="s">
        <v>476</v>
      </c>
      <c r="L1625" s="37">
        <f t="shared" si="100"/>
        <v>0.17571527518780972</v>
      </c>
      <c r="M1625" s="2">
        <f t="shared" si="101"/>
        <v>3298000000</v>
      </c>
      <c r="N1625" s="37">
        <f t="shared" si="102"/>
        <v>7.6988651499813529E-2</v>
      </c>
      <c r="O1625" s="2">
        <f t="shared" si="103"/>
        <v>1445000000</v>
      </c>
    </row>
    <row r="1626" spans="1:15" x14ac:dyDescent="0.3">
      <c r="A1626" t="s">
        <v>548</v>
      </c>
      <c r="B1626">
        <v>2</v>
      </c>
      <c r="C1626">
        <v>2014</v>
      </c>
      <c r="D1626" s="1">
        <v>42004</v>
      </c>
      <c r="E1626" s="2">
        <v>19872000000</v>
      </c>
      <c r="F1626" s="2">
        <v>16477000000</v>
      </c>
      <c r="G1626" s="2">
        <v>2038000000</v>
      </c>
      <c r="H1626">
        <v>0</v>
      </c>
      <c r="I1626" s="2">
        <v>33000000</v>
      </c>
      <c r="J1626" t="s">
        <v>15</v>
      </c>
      <c r="K1626" t="s">
        <v>476</v>
      </c>
      <c r="L1626" s="37">
        <f t="shared" si="100"/>
        <v>0.17084339774557167</v>
      </c>
      <c r="M1626" s="2">
        <f t="shared" si="101"/>
        <v>3395000000</v>
      </c>
      <c r="N1626" s="37">
        <f t="shared" si="102"/>
        <v>6.662640901771337E-2</v>
      </c>
      <c r="O1626" s="2">
        <f t="shared" si="103"/>
        <v>1324000000</v>
      </c>
    </row>
    <row r="1627" spans="1:15" x14ac:dyDescent="0.3">
      <c r="A1627" t="s">
        <v>548</v>
      </c>
      <c r="B1627">
        <v>3</v>
      </c>
      <c r="C1627">
        <v>2015</v>
      </c>
      <c r="D1627" s="1">
        <v>42369</v>
      </c>
      <c r="E1627" s="2">
        <v>20891000000</v>
      </c>
      <c r="F1627" s="2">
        <v>17201000000</v>
      </c>
      <c r="G1627" s="2">
        <v>2130000000</v>
      </c>
      <c r="H1627">
        <v>0</v>
      </c>
      <c r="I1627" s="2">
        <v>74000000</v>
      </c>
      <c r="J1627" t="s">
        <v>15</v>
      </c>
      <c r="K1627" t="s">
        <v>476</v>
      </c>
      <c r="L1627" s="37">
        <f t="shared" si="100"/>
        <v>0.17663108515628745</v>
      </c>
      <c r="M1627" s="2">
        <f t="shared" si="101"/>
        <v>3690000000</v>
      </c>
      <c r="N1627" s="37">
        <f t="shared" si="102"/>
        <v>7.1131109090038766E-2</v>
      </c>
      <c r="O1627" s="2">
        <f t="shared" si="103"/>
        <v>1486000000</v>
      </c>
    </row>
    <row r="1628" spans="1:15" x14ac:dyDescent="0.3">
      <c r="A1628" t="s">
        <v>548</v>
      </c>
      <c r="B1628">
        <v>4</v>
      </c>
      <c r="C1628">
        <v>2016</v>
      </c>
      <c r="D1628" s="1">
        <v>42735</v>
      </c>
      <c r="E1628" s="2">
        <v>20718000000</v>
      </c>
      <c r="F1628" s="2">
        <v>17036000000</v>
      </c>
      <c r="G1628" s="2">
        <v>2084000000</v>
      </c>
      <c r="H1628">
        <v>0</v>
      </c>
      <c r="I1628" s="2">
        <v>71000000</v>
      </c>
      <c r="J1628" t="s">
        <v>15</v>
      </c>
      <c r="K1628" t="s">
        <v>476</v>
      </c>
      <c r="L1628" s="37">
        <f t="shared" si="100"/>
        <v>0.17771985712906646</v>
      </c>
      <c r="M1628" s="2">
        <f t="shared" si="101"/>
        <v>3682000000</v>
      </c>
      <c r="N1628" s="37">
        <f t="shared" si="102"/>
        <v>7.3704025485085436E-2</v>
      </c>
      <c r="O1628" s="2">
        <f t="shared" si="103"/>
        <v>1527000000</v>
      </c>
    </row>
    <row r="1629" spans="1:15" x14ac:dyDescent="0.3">
      <c r="A1629" t="s">
        <v>549</v>
      </c>
      <c r="B1629">
        <v>1</v>
      </c>
      <c r="C1629">
        <v>2013</v>
      </c>
      <c r="D1629" s="1">
        <v>41639</v>
      </c>
      <c r="E1629" s="2">
        <v>13983000000</v>
      </c>
      <c r="F1629" s="2">
        <v>9112000000</v>
      </c>
      <c r="G1629" s="2">
        <v>1468000000</v>
      </c>
      <c r="H1629">
        <v>0</v>
      </c>
      <c r="I1629" s="2">
        <v>1333000000</v>
      </c>
      <c r="J1629" t="s">
        <v>12</v>
      </c>
      <c r="K1629" t="s">
        <v>550</v>
      </c>
      <c r="L1629" s="37">
        <f t="shared" si="100"/>
        <v>0.34835156976328396</v>
      </c>
      <c r="M1629" s="2">
        <f t="shared" si="101"/>
        <v>4871000000</v>
      </c>
      <c r="N1629" s="37">
        <f t="shared" si="102"/>
        <v>0.14803690195237074</v>
      </c>
      <c r="O1629" s="2">
        <f t="shared" si="103"/>
        <v>2070000000</v>
      </c>
    </row>
    <row r="1630" spans="1:15" x14ac:dyDescent="0.3">
      <c r="A1630" t="s">
        <v>549</v>
      </c>
      <c r="B1630">
        <v>2</v>
      </c>
      <c r="C1630">
        <v>2014</v>
      </c>
      <c r="D1630" s="1">
        <v>42004</v>
      </c>
      <c r="E1630" s="2">
        <v>13996000000</v>
      </c>
      <c r="F1630" s="2">
        <v>9002000000</v>
      </c>
      <c r="G1630" s="2">
        <v>1481000000</v>
      </c>
      <c r="H1630">
        <v>0</v>
      </c>
      <c r="I1630" s="2">
        <v>1292000000</v>
      </c>
      <c r="J1630" t="s">
        <v>12</v>
      </c>
      <c r="K1630" t="s">
        <v>550</v>
      </c>
      <c r="L1630" s="37">
        <f t="shared" si="100"/>
        <v>0.35681623320948841</v>
      </c>
      <c r="M1630" s="2">
        <f t="shared" si="101"/>
        <v>4994000000</v>
      </c>
      <c r="N1630" s="37">
        <f t="shared" si="102"/>
        <v>0.15868819662760789</v>
      </c>
      <c r="O1630" s="2">
        <f t="shared" si="103"/>
        <v>2221000000</v>
      </c>
    </row>
    <row r="1631" spans="1:15" x14ac:dyDescent="0.3">
      <c r="A1631" t="s">
        <v>549</v>
      </c>
      <c r="B1631">
        <v>3</v>
      </c>
      <c r="C1631">
        <v>2015</v>
      </c>
      <c r="D1631" s="1">
        <v>42369</v>
      </c>
      <c r="E1631" s="2">
        <v>12961000000</v>
      </c>
      <c r="F1631" s="2">
        <v>8231000000</v>
      </c>
      <c r="G1631" s="2">
        <v>1343000000</v>
      </c>
      <c r="H1631">
        <v>0</v>
      </c>
      <c r="I1631" s="2">
        <v>1245000000</v>
      </c>
      <c r="J1631" t="s">
        <v>12</v>
      </c>
      <c r="K1631" t="s">
        <v>550</v>
      </c>
      <c r="L1631" s="37">
        <f t="shared" si="100"/>
        <v>0.36494097677648329</v>
      </c>
      <c r="M1631" s="2">
        <f t="shared" si="101"/>
        <v>4730000000</v>
      </c>
      <c r="N1631" s="37">
        <f t="shared" si="102"/>
        <v>0.16526502584677108</v>
      </c>
      <c r="O1631" s="2">
        <f t="shared" si="103"/>
        <v>2142000000</v>
      </c>
    </row>
    <row r="1632" spans="1:15" x14ac:dyDescent="0.3">
      <c r="A1632" t="s">
        <v>549</v>
      </c>
      <c r="B1632">
        <v>4</v>
      </c>
      <c r="C1632">
        <v>2016</v>
      </c>
      <c r="D1632" s="1">
        <v>42735</v>
      </c>
      <c r="E1632" s="2">
        <v>13609000000</v>
      </c>
      <c r="F1632" s="2">
        <v>8486000000</v>
      </c>
      <c r="G1632" s="2">
        <v>1410000000</v>
      </c>
      <c r="H1632">
        <v>0</v>
      </c>
      <c r="I1632" s="2">
        <v>1301000000</v>
      </c>
      <c r="J1632" t="s">
        <v>12</v>
      </c>
      <c r="K1632" t="s">
        <v>550</v>
      </c>
      <c r="L1632" s="37">
        <f t="shared" si="100"/>
        <v>0.37644206040120509</v>
      </c>
      <c r="M1632" s="2">
        <f t="shared" si="101"/>
        <v>5123000000</v>
      </c>
      <c r="N1632" s="37">
        <f t="shared" si="102"/>
        <v>0.17723565287677273</v>
      </c>
      <c r="O1632" s="2">
        <f t="shared" si="103"/>
        <v>2412000000</v>
      </c>
    </row>
    <row r="1633" spans="1:15" x14ac:dyDescent="0.3">
      <c r="A1633" t="s">
        <v>551</v>
      </c>
      <c r="B1633">
        <v>1</v>
      </c>
      <c r="C1633">
        <v>2012</v>
      </c>
      <c r="D1633" s="1">
        <v>41274</v>
      </c>
      <c r="E1633" s="2">
        <v>7486000000</v>
      </c>
      <c r="F1633" s="2">
        <v>4523000000</v>
      </c>
      <c r="G1633" s="2">
        <v>595000000</v>
      </c>
      <c r="H1633">
        <v>0</v>
      </c>
      <c r="I1633" s="2">
        <v>756000000</v>
      </c>
      <c r="J1633" t="s">
        <v>79</v>
      </c>
      <c r="K1633" t="s">
        <v>80</v>
      </c>
      <c r="L1633" s="37">
        <f t="shared" si="100"/>
        <v>0.39580550360673261</v>
      </c>
      <c r="M1633" s="2">
        <f t="shared" si="101"/>
        <v>2963000000</v>
      </c>
      <c r="N1633" s="37">
        <f t="shared" si="102"/>
        <v>0.21533529254608602</v>
      </c>
      <c r="O1633" s="2">
        <f t="shared" si="103"/>
        <v>1612000000</v>
      </c>
    </row>
    <row r="1634" spans="1:15" x14ac:dyDescent="0.3">
      <c r="A1634" t="s">
        <v>551</v>
      </c>
      <c r="B1634">
        <v>2</v>
      </c>
      <c r="C1634">
        <v>2013</v>
      </c>
      <c r="D1634" s="1">
        <v>41639</v>
      </c>
      <c r="E1634" s="2">
        <v>6860000000</v>
      </c>
      <c r="F1634" s="2">
        <v>4124000000</v>
      </c>
      <c r="G1634" s="2">
        <v>546000000</v>
      </c>
      <c r="H1634">
        <v>0</v>
      </c>
      <c r="I1634" s="2">
        <v>815000000</v>
      </c>
      <c r="J1634" t="s">
        <v>79</v>
      </c>
      <c r="K1634" t="s">
        <v>80</v>
      </c>
      <c r="L1634" s="37">
        <f t="shared" si="100"/>
        <v>0.39883381924198247</v>
      </c>
      <c r="M1634" s="2">
        <f t="shared" si="101"/>
        <v>2736000000</v>
      </c>
      <c r="N1634" s="37">
        <f t="shared" si="102"/>
        <v>0.20043731778425655</v>
      </c>
      <c r="O1634" s="2">
        <f t="shared" si="103"/>
        <v>1375000000</v>
      </c>
    </row>
    <row r="1635" spans="1:15" x14ac:dyDescent="0.3">
      <c r="A1635" t="s">
        <v>551</v>
      </c>
      <c r="B1635">
        <v>3</v>
      </c>
      <c r="C1635">
        <v>2014</v>
      </c>
      <c r="D1635" s="1">
        <v>42004</v>
      </c>
      <c r="E1635" s="2">
        <v>7637000000</v>
      </c>
      <c r="F1635" s="2">
        <v>4508000000</v>
      </c>
      <c r="G1635" s="2">
        <v>384000000</v>
      </c>
      <c r="H1635">
        <v>0</v>
      </c>
      <c r="I1635" s="2">
        <v>1176000000</v>
      </c>
      <c r="J1635" t="s">
        <v>79</v>
      </c>
      <c r="K1635" t="s">
        <v>80</v>
      </c>
      <c r="L1635" s="37">
        <f t="shared" si="100"/>
        <v>0.40971585701191571</v>
      </c>
      <c r="M1635" s="2">
        <f t="shared" si="101"/>
        <v>3129000000</v>
      </c>
      <c r="N1635" s="37">
        <f t="shared" si="102"/>
        <v>0.2054471651171926</v>
      </c>
      <c r="O1635" s="2">
        <f t="shared" si="103"/>
        <v>1569000000</v>
      </c>
    </row>
    <row r="1636" spans="1:15" x14ac:dyDescent="0.3">
      <c r="A1636" t="s">
        <v>551</v>
      </c>
      <c r="B1636">
        <v>4</v>
      </c>
      <c r="C1636">
        <v>2015</v>
      </c>
      <c r="D1636" s="1">
        <v>42369</v>
      </c>
      <c r="E1636" s="2">
        <v>7360000000</v>
      </c>
      <c r="F1636" s="2">
        <v>3434000000</v>
      </c>
      <c r="G1636" s="2">
        <v>864000000</v>
      </c>
      <c r="H1636">
        <v>0</v>
      </c>
      <c r="I1636" s="2">
        <v>1738000000</v>
      </c>
      <c r="J1636" t="s">
        <v>79</v>
      </c>
      <c r="K1636" t="s">
        <v>80</v>
      </c>
      <c r="L1636" s="37">
        <f t="shared" si="100"/>
        <v>0.53342391304347825</v>
      </c>
      <c r="M1636" s="2">
        <f t="shared" si="101"/>
        <v>3926000000</v>
      </c>
      <c r="N1636" s="37">
        <f t="shared" si="102"/>
        <v>0.17989130434782608</v>
      </c>
      <c r="O1636" s="2">
        <f t="shared" si="103"/>
        <v>1324000000</v>
      </c>
    </row>
    <row r="1637" spans="1:15" x14ac:dyDescent="0.3">
      <c r="A1637" t="s">
        <v>552</v>
      </c>
      <c r="B1637">
        <v>1</v>
      </c>
      <c r="C1637">
        <v>2013</v>
      </c>
      <c r="D1637" s="1">
        <v>41305</v>
      </c>
      <c r="E1637" s="2">
        <v>468651000000</v>
      </c>
      <c r="F1637" s="2">
        <v>352297000000</v>
      </c>
      <c r="G1637" s="2">
        <v>88629000000</v>
      </c>
      <c r="H1637">
        <v>0</v>
      </c>
      <c r="I1637">
        <v>0</v>
      </c>
      <c r="J1637" t="s">
        <v>32</v>
      </c>
      <c r="K1637" t="s">
        <v>164</v>
      </c>
      <c r="L1637" s="37">
        <f t="shared" si="100"/>
        <v>0.24827430219929114</v>
      </c>
      <c r="M1637" s="2">
        <f t="shared" si="101"/>
        <v>116354000000</v>
      </c>
      <c r="N1637" s="37">
        <f t="shared" si="102"/>
        <v>5.9159161081487076E-2</v>
      </c>
      <c r="O1637" s="2">
        <f t="shared" si="103"/>
        <v>27725000000</v>
      </c>
    </row>
    <row r="1638" spans="1:15" x14ac:dyDescent="0.3">
      <c r="A1638" t="s">
        <v>552</v>
      </c>
      <c r="B1638">
        <v>2</v>
      </c>
      <c r="C1638">
        <v>2014</v>
      </c>
      <c r="D1638" s="1">
        <v>41670</v>
      </c>
      <c r="E1638" s="2">
        <v>476294000000</v>
      </c>
      <c r="F1638" s="2">
        <v>358069000000</v>
      </c>
      <c r="G1638" s="2">
        <v>91353000000</v>
      </c>
      <c r="H1638">
        <v>0</v>
      </c>
      <c r="I1638">
        <v>0</v>
      </c>
      <c r="J1638" t="s">
        <v>32</v>
      </c>
      <c r="K1638" t="s">
        <v>164</v>
      </c>
      <c r="L1638" s="37">
        <f t="shared" si="100"/>
        <v>0.2482185372899931</v>
      </c>
      <c r="M1638" s="2">
        <f t="shared" si="101"/>
        <v>118225000000</v>
      </c>
      <c r="N1638" s="37">
        <f t="shared" si="102"/>
        <v>5.6418934523634563E-2</v>
      </c>
      <c r="O1638" s="2">
        <f t="shared" si="103"/>
        <v>26872000000</v>
      </c>
    </row>
    <row r="1639" spans="1:15" x14ac:dyDescent="0.3">
      <c r="A1639" t="s">
        <v>552</v>
      </c>
      <c r="B1639">
        <v>3</v>
      </c>
      <c r="C1639">
        <v>2015</v>
      </c>
      <c r="D1639" s="1">
        <v>42035</v>
      </c>
      <c r="E1639" s="2">
        <v>485651000000</v>
      </c>
      <c r="F1639" s="2">
        <v>365086000000</v>
      </c>
      <c r="G1639" s="2">
        <v>93418000000</v>
      </c>
      <c r="H1639">
        <v>0</v>
      </c>
      <c r="I1639">
        <v>0</v>
      </c>
      <c r="J1639" t="s">
        <v>32</v>
      </c>
      <c r="K1639" t="s">
        <v>164</v>
      </c>
      <c r="L1639" s="37">
        <f t="shared" si="100"/>
        <v>0.24825440491216944</v>
      </c>
      <c r="M1639" s="2">
        <f t="shared" si="101"/>
        <v>120565000000</v>
      </c>
      <c r="N1639" s="37">
        <f t="shared" si="102"/>
        <v>5.5898165555100264E-2</v>
      </c>
      <c r="O1639" s="2">
        <f t="shared" si="103"/>
        <v>27147000000</v>
      </c>
    </row>
    <row r="1640" spans="1:15" x14ac:dyDescent="0.3">
      <c r="A1640" t="s">
        <v>552</v>
      </c>
      <c r="B1640">
        <v>4</v>
      </c>
      <c r="C1640">
        <v>2016</v>
      </c>
      <c r="D1640" s="1">
        <v>42400</v>
      </c>
      <c r="E1640" s="2">
        <v>482130000000</v>
      </c>
      <c r="F1640" s="2">
        <v>360984000000</v>
      </c>
      <c r="G1640" s="2">
        <v>97041000000</v>
      </c>
      <c r="H1640">
        <v>0</v>
      </c>
      <c r="I1640">
        <v>0</v>
      </c>
      <c r="J1640" t="s">
        <v>32</v>
      </c>
      <c r="K1640" t="s">
        <v>164</v>
      </c>
      <c r="L1640" s="37">
        <f t="shared" si="100"/>
        <v>0.25127247837720112</v>
      </c>
      <c r="M1640" s="2">
        <f t="shared" si="101"/>
        <v>121146000000</v>
      </c>
      <c r="N1640" s="37">
        <f t="shared" si="102"/>
        <v>4.9996888805923713E-2</v>
      </c>
      <c r="O1640" s="2">
        <f t="shared" si="103"/>
        <v>24105000000</v>
      </c>
    </row>
    <row r="1641" spans="1:15" x14ac:dyDescent="0.3">
      <c r="A1641" t="s">
        <v>553</v>
      </c>
      <c r="B1641">
        <v>1</v>
      </c>
      <c r="C1641">
        <v>2014</v>
      </c>
      <c r="D1641" s="1">
        <v>41912</v>
      </c>
      <c r="E1641" s="2">
        <v>9895100000</v>
      </c>
      <c r="F1641" s="2">
        <v>7961500000</v>
      </c>
      <c r="G1641" s="2">
        <v>937600000</v>
      </c>
      <c r="H1641">
        <v>0</v>
      </c>
      <c r="I1641" s="2">
        <v>86000000</v>
      </c>
      <c r="J1641" t="s">
        <v>55</v>
      </c>
      <c r="K1641" t="s">
        <v>92</v>
      </c>
      <c r="L1641" s="37">
        <f t="shared" si="100"/>
        <v>0.19540984931936012</v>
      </c>
      <c r="M1641" s="2">
        <f t="shared" si="101"/>
        <v>1933600000</v>
      </c>
      <c r="N1641" s="37">
        <f t="shared" si="102"/>
        <v>9.1964709805863507E-2</v>
      </c>
      <c r="O1641" s="2">
        <f t="shared" si="103"/>
        <v>910000000</v>
      </c>
    </row>
    <row r="1642" spans="1:15" x14ac:dyDescent="0.3">
      <c r="A1642" t="s">
        <v>553</v>
      </c>
      <c r="B1642">
        <v>2</v>
      </c>
      <c r="C1642">
        <v>2015</v>
      </c>
      <c r="D1642" s="1">
        <v>42277</v>
      </c>
      <c r="E1642" s="2">
        <v>11124800000</v>
      </c>
      <c r="F1642" s="2">
        <v>8986500000</v>
      </c>
      <c r="G1642" s="2">
        <v>1026100000</v>
      </c>
      <c r="H1642">
        <v>0</v>
      </c>
      <c r="I1642" s="2">
        <v>118900000</v>
      </c>
      <c r="J1642" t="s">
        <v>55</v>
      </c>
      <c r="K1642" t="s">
        <v>92</v>
      </c>
      <c r="L1642" s="37">
        <f t="shared" si="100"/>
        <v>0.19221019703725006</v>
      </c>
      <c r="M1642" s="2">
        <f t="shared" si="101"/>
        <v>2138300000</v>
      </c>
      <c r="N1642" s="37">
        <f t="shared" si="102"/>
        <v>8.9286998417949084E-2</v>
      </c>
      <c r="O1642" s="2">
        <f t="shared" si="103"/>
        <v>993300000</v>
      </c>
    </row>
    <row r="1643" spans="1:15" x14ac:dyDescent="0.3">
      <c r="A1643" t="s">
        <v>553</v>
      </c>
      <c r="B1643">
        <v>3</v>
      </c>
      <c r="C1643">
        <v>2016</v>
      </c>
      <c r="D1643" s="1">
        <v>42643</v>
      </c>
      <c r="E1643" s="2">
        <v>14171800000</v>
      </c>
      <c r="F1643" s="2">
        <v>11413200000</v>
      </c>
      <c r="G1643" s="2">
        <v>1750100000</v>
      </c>
      <c r="H1643">
        <v>0</v>
      </c>
      <c r="I1643" s="2">
        <v>211800000</v>
      </c>
      <c r="J1643" t="s">
        <v>55</v>
      </c>
      <c r="K1643" t="s">
        <v>92</v>
      </c>
      <c r="L1643" s="37">
        <f t="shared" si="100"/>
        <v>0.19465417237048221</v>
      </c>
      <c r="M1643" s="2">
        <f t="shared" si="101"/>
        <v>2758600000</v>
      </c>
      <c r="N1643" s="37">
        <f t="shared" si="102"/>
        <v>5.6217276563315884E-2</v>
      </c>
      <c r="O1643" s="2">
        <f t="shared" si="103"/>
        <v>796700000</v>
      </c>
    </row>
    <row r="1644" spans="1:15" x14ac:dyDescent="0.3">
      <c r="A1644" t="s">
        <v>554</v>
      </c>
      <c r="B1644">
        <v>1</v>
      </c>
      <c r="C1644">
        <v>2012</v>
      </c>
      <c r="D1644" s="1">
        <v>41274</v>
      </c>
      <c r="E1644" s="2">
        <v>5664800000</v>
      </c>
      <c r="F1644" s="2">
        <v>3194200000</v>
      </c>
      <c r="G1644" s="2">
        <v>1140600000</v>
      </c>
      <c r="H1644">
        <v>0</v>
      </c>
      <c r="I1644">
        <v>0</v>
      </c>
      <c r="J1644" t="s">
        <v>18</v>
      </c>
      <c r="K1644" t="s">
        <v>53</v>
      </c>
      <c r="L1644" s="37">
        <f t="shared" si="100"/>
        <v>0.43613190227369014</v>
      </c>
      <c r="M1644" s="2">
        <f t="shared" si="101"/>
        <v>2470600000</v>
      </c>
      <c r="N1644" s="37">
        <f t="shared" si="102"/>
        <v>0.23478322270865698</v>
      </c>
      <c r="O1644" s="2">
        <f t="shared" si="103"/>
        <v>1330000000</v>
      </c>
    </row>
    <row r="1645" spans="1:15" x14ac:dyDescent="0.3">
      <c r="A1645" t="s">
        <v>554</v>
      </c>
      <c r="B1645">
        <v>2</v>
      </c>
      <c r="C1645">
        <v>2013</v>
      </c>
      <c r="D1645" s="1">
        <v>41639</v>
      </c>
      <c r="E1645" s="2">
        <v>5542000000</v>
      </c>
      <c r="F1645" s="2">
        <v>3235000000</v>
      </c>
      <c r="G1645" s="2">
        <v>1199600000</v>
      </c>
      <c r="H1645">
        <v>0</v>
      </c>
      <c r="I1645">
        <v>0</v>
      </c>
      <c r="J1645" t="s">
        <v>18</v>
      </c>
      <c r="K1645" t="s">
        <v>53</v>
      </c>
      <c r="L1645" s="37">
        <f t="shared" si="100"/>
        <v>0.41627571273908337</v>
      </c>
      <c r="M1645" s="2">
        <f t="shared" si="101"/>
        <v>2307000000</v>
      </c>
      <c r="N1645" s="37">
        <f t="shared" si="102"/>
        <v>0.19981955972573079</v>
      </c>
      <c r="O1645" s="2">
        <f t="shared" si="103"/>
        <v>1107400000</v>
      </c>
    </row>
    <row r="1646" spans="1:15" x14ac:dyDescent="0.3">
      <c r="A1646" t="s">
        <v>554</v>
      </c>
      <c r="B1646">
        <v>3</v>
      </c>
      <c r="C1646">
        <v>2014</v>
      </c>
      <c r="D1646" s="1">
        <v>42004</v>
      </c>
      <c r="E1646" s="2">
        <v>5607200000</v>
      </c>
      <c r="F1646" s="2">
        <v>3297400000</v>
      </c>
      <c r="G1646" s="2">
        <v>1169300000</v>
      </c>
      <c r="H1646">
        <v>0</v>
      </c>
      <c r="I1646">
        <v>0</v>
      </c>
      <c r="J1646" t="s">
        <v>18</v>
      </c>
      <c r="K1646" t="s">
        <v>53</v>
      </c>
      <c r="L1646" s="37">
        <f t="shared" si="100"/>
        <v>0.4119346554430019</v>
      </c>
      <c r="M1646" s="2">
        <f t="shared" si="101"/>
        <v>2309800000</v>
      </c>
      <c r="N1646" s="37">
        <f t="shared" si="102"/>
        <v>0.20339920102725068</v>
      </c>
      <c r="O1646" s="2">
        <f t="shared" si="103"/>
        <v>1140500000</v>
      </c>
    </row>
    <row r="1647" spans="1:15" x14ac:dyDescent="0.3">
      <c r="A1647" t="s">
        <v>554</v>
      </c>
      <c r="B1647">
        <v>4</v>
      </c>
      <c r="C1647">
        <v>2015</v>
      </c>
      <c r="D1647" s="1">
        <v>42369</v>
      </c>
      <c r="E1647" s="2">
        <v>5483700000</v>
      </c>
      <c r="F1647" s="2">
        <v>3199400000</v>
      </c>
      <c r="G1647" s="2">
        <v>1174900000</v>
      </c>
      <c r="H1647">
        <v>0</v>
      </c>
      <c r="I1647">
        <v>0</v>
      </c>
      <c r="J1647" t="s">
        <v>18</v>
      </c>
      <c r="K1647" t="s">
        <v>53</v>
      </c>
      <c r="L1647" s="37">
        <f t="shared" si="100"/>
        <v>0.41656181045644369</v>
      </c>
      <c r="M1647" s="2">
        <f t="shared" si="101"/>
        <v>2284300000</v>
      </c>
      <c r="N1647" s="37">
        <f t="shared" si="102"/>
        <v>0.20230866021117128</v>
      </c>
      <c r="O1647" s="2">
        <f t="shared" si="103"/>
        <v>1109400000</v>
      </c>
    </row>
    <row r="1648" spans="1:15" x14ac:dyDescent="0.3">
      <c r="A1648" t="s">
        <v>555</v>
      </c>
      <c r="B1648">
        <v>1</v>
      </c>
      <c r="C1648">
        <v>2012</v>
      </c>
      <c r="D1648" s="1">
        <v>41274</v>
      </c>
      <c r="E1648" s="2">
        <v>5989000000</v>
      </c>
      <c r="F1648" s="2">
        <v>4993000000</v>
      </c>
      <c r="G1648" s="2">
        <v>320000000</v>
      </c>
      <c r="H1648" s="2">
        <v>32000000</v>
      </c>
      <c r="I1648">
        <v>0</v>
      </c>
      <c r="J1648" t="s">
        <v>48</v>
      </c>
      <c r="K1648" t="s">
        <v>49</v>
      </c>
      <c r="L1648" s="37">
        <f t="shared" si="100"/>
        <v>0.16630489230255463</v>
      </c>
      <c r="M1648" s="2">
        <f t="shared" si="101"/>
        <v>996000000</v>
      </c>
      <c r="N1648" s="37">
        <f t="shared" si="102"/>
        <v>0.10753047253297712</v>
      </c>
      <c r="O1648" s="2">
        <f t="shared" si="103"/>
        <v>644000000</v>
      </c>
    </row>
    <row r="1649" spans="1:15" x14ac:dyDescent="0.3">
      <c r="A1649" t="s">
        <v>555</v>
      </c>
      <c r="B1649">
        <v>2</v>
      </c>
      <c r="C1649">
        <v>2013</v>
      </c>
      <c r="D1649" s="1">
        <v>41639</v>
      </c>
      <c r="E1649" s="2">
        <v>7254000000</v>
      </c>
      <c r="F1649" s="2">
        <v>5716000000</v>
      </c>
      <c r="G1649" s="2">
        <v>494000000</v>
      </c>
      <c r="H1649" s="2">
        <v>33000000</v>
      </c>
      <c r="I1649">
        <v>0</v>
      </c>
      <c r="J1649" t="s">
        <v>48</v>
      </c>
      <c r="K1649" t="s">
        <v>49</v>
      </c>
      <c r="L1649" s="37">
        <f t="shared" si="100"/>
        <v>0.21202095395643783</v>
      </c>
      <c r="M1649" s="2">
        <f t="shared" si="101"/>
        <v>1538000000</v>
      </c>
      <c r="N1649" s="37">
        <f t="shared" si="102"/>
        <v>0.13937138130686519</v>
      </c>
      <c r="O1649" s="2">
        <f t="shared" si="103"/>
        <v>1011000000</v>
      </c>
    </row>
    <row r="1650" spans="1:15" x14ac:dyDescent="0.3">
      <c r="A1650" t="s">
        <v>555</v>
      </c>
      <c r="B1650">
        <v>3</v>
      </c>
      <c r="C1650">
        <v>2014</v>
      </c>
      <c r="D1650" s="1">
        <v>42004</v>
      </c>
      <c r="E1650" s="2">
        <v>7403000000</v>
      </c>
      <c r="F1650" s="2">
        <v>5763000000</v>
      </c>
      <c r="G1650" s="2">
        <v>249000000</v>
      </c>
      <c r="H1650" s="2">
        <v>27000000</v>
      </c>
      <c r="I1650">
        <v>0</v>
      </c>
      <c r="J1650" t="s">
        <v>48</v>
      </c>
      <c r="K1650" t="s">
        <v>49</v>
      </c>
      <c r="L1650" s="37">
        <f t="shared" si="100"/>
        <v>0.22153181142779954</v>
      </c>
      <c r="M1650" s="2">
        <f t="shared" si="101"/>
        <v>1640000000</v>
      </c>
      <c r="N1650" s="37">
        <f t="shared" si="102"/>
        <v>0.18424962852897475</v>
      </c>
      <c r="O1650" s="2">
        <f t="shared" si="103"/>
        <v>1364000000</v>
      </c>
    </row>
    <row r="1651" spans="1:15" x14ac:dyDescent="0.3">
      <c r="A1651" t="s">
        <v>555</v>
      </c>
      <c r="B1651">
        <v>4</v>
      </c>
      <c r="C1651">
        <v>2015</v>
      </c>
      <c r="D1651" s="1">
        <v>42369</v>
      </c>
      <c r="E1651" s="2">
        <v>7082000000</v>
      </c>
      <c r="F1651" s="2">
        <v>5694000000</v>
      </c>
      <c r="G1651" s="2">
        <v>420000000</v>
      </c>
      <c r="H1651" s="2">
        <v>24000000</v>
      </c>
      <c r="I1651">
        <v>0</v>
      </c>
      <c r="J1651" t="s">
        <v>48</v>
      </c>
      <c r="K1651" t="s">
        <v>49</v>
      </c>
      <c r="L1651" s="37">
        <f t="shared" si="100"/>
        <v>0.19598983338040099</v>
      </c>
      <c r="M1651" s="2">
        <f t="shared" si="101"/>
        <v>1388000000</v>
      </c>
      <c r="N1651" s="37">
        <f t="shared" si="102"/>
        <v>0.13329567918667043</v>
      </c>
      <c r="O1651" s="2">
        <f t="shared" si="103"/>
        <v>944000000</v>
      </c>
    </row>
    <row r="1652" spans="1:15" x14ac:dyDescent="0.3">
      <c r="A1652" t="s">
        <v>556</v>
      </c>
      <c r="B1652">
        <v>1</v>
      </c>
      <c r="C1652">
        <v>2012</v>
      </c>
      <c r="D1652" s="1">
        <v>41274</v>
      </c>
      <c r="E1652" s="2">
        <v>4534000000</v>
      </c>
      <c r="F1652" s="2">
        <v>2093000000</v>
      </c>
      <c r="G1652" s="2">
        <v>1389000000</v>
      </c>
      <c r="H1652">
        <v>0</v>
      </c>
      <c r="I1652" s="2">
        <v>185000000</v>
      </c>
      <c r="J1652" t="s">
        <v>15</v>
      </c>
      <c r="K1652" t="s">
        <v>129</v>
      </c>
      <c r="L1652" s="37">
        <f t="shared" si="100"/>
        <v>0.53837670930745474</v>
      </c>
      <c r="M1652" s="2">
        <f t="shared" si="101"/>
        <v>2441000000</v>
      </c>
      <c r="N1652" s="37">
        <f t="shared" si="102"/>
        <v>0.19122187913542127</v>
      </c>
      <c r="O1652" s="2">
        <f t="shared" si="103"/>
        <v>867000000</v>
      </c>
    </row>
    <row r="1653" spans="1:15" x14ac:dyDescent="0.3">
      <c r="A1653" t="s">
        <v>556</v>
      </c>
      <c r="B1653">
        <v>2</v>
      </c>
      <c r="C1653">
        <v>2013</v>
      </c>
      <c r="D1653" s="1">
        <v>41639</v>
      </c>
      <c r="E1653" s="2">
        <v>5009000000</v>
      </c>
      <c r="F1653" s="2">
        <v>2394000000</v>
      </c>
      <c r="G1653" s="2">
        <v>1471000000</v>
      </c>
      <c r="H1653">
        <v>0</v>
      </c>
      <c r="I1653" s="2">
        <v>216000000</v>
      </c>
      <c r="J1653" t="s">
        <v>15</v>
      </c>
      <c r="K1653" t="s">
        <v>129</v>
      </c>
      <c r="L1653" s="37">
        <f t="shared" si="100"/>
        <v>0.52206029147534438</v>
      </c>
      <c r="M1653" s="2">
        <f t="shared" si="101"/>
        <v>2615000000</v>
      </c>
      <c r="N1653" s="37">
        <f t="shared" si="102"/>
        <v>0.18526652026352566</v>
      </c>
      <c r="O1653" s="2">
        <f t="shared" si="103"/>
        <v>928000000</v>
      </c>
    </row>
    <row r="1654" spans="1:15" x14ac:dyDescent="0.3">
      <c r="A1654" t="s">
        <v>556</v>
      </c>
      <c r="B1654">
        <v>3</v>
      </c>
      <c r="C1654">
        <v>2014</v>
      </c>
      <c r="D1654" s="1">
        <v>42004</v>
      </c>
      <c r="E1654" s="2">
        <v>5281000000</v>
      </c>
      <c r="F1654" s="2">
        <v>2504000000</v>
      </c>
      <c r="G1654" s="2">
        <v>1557000000</v>
      </c>
      <c r="H1654">
        <v>0</v>
      </c>
      <c r="I1654" s="2">
        <v>233000000</v>
      </c>
      <c r="J1654" t="s">
        <v>15</v>
      </c>
      <c r="K1654" t="s">
        <v>129</v>
      </c>
      <c r="L1654" s="37">
        <f t="shared" si="100"/>
        <v>0.52584737739064569</v>
      </c>
      <c r="M1654" s="2">
        <f t="shared" si="101"/>
        <v>2777000000</v>
      </c>
      <c r="N1654" s="37">
        <f t="shared" si="102"/>
        <v>0.1868964211323613</v>
      </c>
      <c r="O1654" s="2">
        <f t="shared" si="103"/>
        <v>987000000</v>
      </c>
    </row>
    <row r="1655" spans="1:15" x14ac:dyDescent="0.3">
      <c r="A1655" t="s">
        <v>556</v>
      </c>
      <c r="B1655">
        <v>4</v>
      </c>
      <c r="C1655">
        <v>2015</v>
      </c>
      <c r="D1655" s="1">
        <v>42369</v>
      </c>
      <c r="E1655" s="2">
        <v>5536000000</v>
      </c>
      <c r="F1655" s="2">
        <v>2700000000</v>
      </c>
      <c r="G1655" s="2">
        <v>1574000000</v>
      </c>
      <c r="H1655">
        <v>0</v>
      </c>
      <c r="I1655" s="2">
        <v>234000000</v>
      </c>
      <c r="J1655" t="s">
        <v>15</v>
      </c>
      <c r="K1655" t="s">
        <v>129</v>
      </c>
      <c r="L1655" s="37">
        <f t="shared" si="100"/>
        <v>0.51228323699421963</v>
      </c>
      <c r="M1655" s="2">
        <f t="shared" si="101"/>
        <v>2836000000</v>
      </c>
      <c r="N1655" s="37">
        <f t="shared" si="102"/>
        <v>0.18569364161849711</v>
      </c>
      <c r="O1655" s="2">
        <f t="shared" si="103"/>
        <v>1028000000</v>
      </c>
    </row>
    <row r="1656" spans="1:15" x14ac:dyDescent="0.3">
      <c r="A1656" t="s">
        <v>557</v>
      </c>
      <c r="B1656">
        <v>1</v>
      </c>
      <c r="C1656">
        <v>2012</v>
      </c>
      <c r="D1656" s="1">
        <v>41274</v>
      </c>
      <c r="E1656" s="2">
        <v>5154284000</v>
      </c>
      <c r="F1656" s="2">
        <v>3251575000</v>
      </c>
      <c r="G1656" s="2">
        <v>481677000</v>
      </c>
      <c r="H1656">
        <v>0</v>
      </c>
      <c r="I1656" s="2">
        <v>373199000</v>
      </c>
      <c r="J1656" t="s">
        <v>15</v>
      </c>
      <c r="K1656" t="s">
        <v>558</v>
      </c>
      <c r="L1656" s="37">
        <f t="shared" si="100"/>
        <v>0.36915098197926233</v>
      </c>
      <c r="M1656" s="2">
        <f t="shared" si="101"/>
        <v>1902709000</v>
      </c>
      <c r="N1656" s="37">
        <f t="shared" si="102"/>
        <v>0.20329360974288571</v>
      </c>
      <c r="O1656" s="2">
        <f t="shared" si="103"/>
        <v>1047833000</v>
      </c>
    </row>
    <row r="1657" spans="1:15" x14ac:dyDescent="0.3">
      <c r="A1657" t="s">
        <v>557</v>
      </c>
      <c r="B1657">
        <v>2</v>
      </c>
      <c r="C1657">
        <v>2013</v>
      </c>
      <c r="D1657" s="1">
        <v>41639</v>
      </c>
      <c r="E1657" s="2">
        <v>5620936000</v>
      </c>
      <c r="F1657" s="2">
        <v>3478822000</v>
      </c>
      <c r="G1657" s="2">
        <v>465926000</v>
      </c>
      <c r="H1657">
        <v>0</v>
      </c>
      <c r="I1657" s="2">
        <v>371051000</v>
      </c>
      <c r="J1657" t="s">
        <v>15</v>
      </c>
      <c r="K1657" t="s">
        <v>558</v>
      </c>
      <c r="L1657" s="37">
        <f t="shared" si="100"/>
        <v>0.38109560400616549</v>
      </c>
      <c r="M1657" s="2">
        <f t="shared" si="101"/>
        <v>2142114000</v>
      </c>
      <c r="N1657" s="37">
        <f t="shared" si="102"/>
        <v>0.23219211177640164</v>
      </c>
      <c r="O1657" s="2">
        <f t="shared" si="103"/>
        <v>1305137000</v>
      </c>
    </row>
    <row r="1658" spans="1:15" x14ac:dyDescent="0.3">
      <c r="A1658" t="s">
        <v>557</v>
      </c>
      <c r="B1658">
        <v>3</v>
      </c>
      <c r="C1658">
        <v>2014</v>
      </c>
      <c r="D1658" s="1">
        <v>42004</v>
      </c>
      <c r="E1658" s="2">
        <v>5433661000</v>
      </c>
      <c r="F1658" s="2">
        <v>3316311000</v>
      </c>
      <c r="G1658" s="2">
        <v>502901000</v>
      </c>
      <c r="H1658">
        <v>0</v>
      </c>
      <c r="I1658" s="2">
        <v>314119000</v>
      </c>
      <c r="J1658" t="s">
        <v>15</v>
      </c>
      <c r="K1658" t="s">
        <v>558</v>
      </c>
      <c r="L1658" s="37">
        <f t="shared" si="100"/>
        <v>0.38967281911771823</v>
      </c>
      <c r="M1658" s="2">
        <f t="shared" si="101"/>
        <v>2117350000</v>
      </c>
      <c r="N1658" s="37">
        <f t="shared" si="102"/>
        <v>0.23931010786282031</v>
      </c>
      <c r="O1658" s="2">
        <f t="shared" si="103"/>
        <v>1300330000</v>
      </c>
    </row>
    <row r="1659" spans="1:15" x14ac:dyDescent="0.3">
      <c r="A1659" t="s">
        <v>557</v>
      </c>
      <c r="B1659">
        <v>4</v>
      </c>
      <c r="C1659">
        <v>2015</v>
      </c>
      <c r="D1659" s="1">
        <v>42369</v>
      </c>
      <c r="E1659" s="2">
        <v>4075883000</v>
      </c>
      <c r="F1659" s="2">
        <v>2530374000</v>
      </c>
      <c r="G1659" s="2">
        <v>475328000</v>
      </c>
      <c r="H1659">
        <v>0</v>
      </c>
      <c r="I1659" s="2">
        <v>322629000</v>
      </c>
      <c r="J1659" t="s">
        <v>15</v>
      </c>
      <c r="K1659" t="s">
        <v>558</v>
      </c>
      <c r="L1659" s="37">
        <f t="shared" si="100"/>
        <v>0.37918384801526439</v>
      </c>
      <c r="M1659" s="2">
        <f t="shared" si="101"/>
        <v>1545509000</v>
      </c>
      <c r="N1659" s="37">
        <f t="shared" si="102"/>
        <v>0.18340860127731831</v>
      </c>
      <c r="O1659" s="2">
        <f t="shared" si="103"/>
        <v>747552000</v>
      </c>
    </row>
    <row r="1660" spans="1:15" x14ac:dyDescent="0.3">
      <c r="A1660" t="s">
        <v>559</v>
      </c>
      <c r="B1660">
        <v>1</v>
      </c>
      <c r="C1660">
        <v>2012</v>
      </c>
      <c r="D1660" s="1">
        <v>41274</v>
      </c>
      <c r="E1660" s="2">
        <v>1623938000</v>
      </c>
      <c r="F1660" s="2">
        <v>337903000</v>
      </c>
      <c r="G1660" s="2">
        <v>188302000</v>
      </c>
      <c r="H1660">
        <v>0</v>
      </c>
      <c r="I1660" s="2">
        <v>513916000</v>
      </c>
      <c r="J1660" t="s">
        <v>79</v>
      </c>
      <c r="K1660" t="s">
        <v>80</v>
      </c>
      <c r="L1660" s="37">
        <f t="shared" si="100"/>
        <v>0.79192370644692101</v>
      </c>
      <c r="M1660" s="2">
        <f t="shared" si="101"/>
        <v>1286035000</v>
      </c>
      <c r="N1660" s="37">
        <f t="shared" si="102"/>
        <v>0.35950695162007418</v>
      </c>
      <c r="O1660" s="2">
        <f t="shared" si="103"/>
        <v>583817000</v>
      </c>
    </row>
    <row r="1661" spans="1:15" x14ac:dyDescent="0.3">
      <c r="A1661" t="s">
        <v>559</v>
      </c>
      <c r="B1661">
        <v>2</v>
      </c>
      <c r="C1661">
        <v>2013</v>
      </c>
      <c r="D1661" s="1">
        <v>41639</v>
      </c>
      <c r="E1661" s="2">
        <v>1998051000</v>
      </c>
      <c r="F1661" s="2">
        <v>406198000</v>
      </c>
      <c r="G1661" s="2">
        <v>72143000</v>
      </c>
      <c r="H1661">
        <v>0</v>
      </c>
      <c r="I1661" s="2">
        <v>615874000</v>
      </c>
      <c r="J1661" t="s">
        <v>79</v>
      </c>
      <c r="K1661" t="s">
        <v>80</v>
      </c>
      <c r="L1661" s="37">
        <f t="shared" si="100"/>
        <v>0.79670288696334579</v>
      </c>
      <c r="M1661" s="2">
        <f t="shared" si="101"/>
        <v>1591853000</v>
      </c>
      <c r="N1661" s="37">
        <f t="shared" si="102"/>
        <v>0.45235882367366997</v>
      </c>
      <c r="O1661" s="2">
        <f t="shared" si="103"/>
        <v>903836000</v>
      </c>
    </row>
    <row r="1662" spans="1:15" x14ac:dyDescent="0.3">
      <c r="A1662" t="s">
        <v>559</v>
      </c>
      <c r="B1662">
        <v>3</v>
      </c>
      <c r="C1662">
        <v>2014</v>
      </c>
      <c r="D1662" s="1">
        <v>42004</v>
      </c>
      <c r="E1662" s="2">
        <v>2424176000</v>
      </c>
      <c r="F1662" s="2">
        <v>572831000</v>
      </c>
      <c r="G1662" s="2">
        <v>225070000</v>
      </c>
      <c r="H1662">
        <v>0</v>
      </c>
      <c r="I1662" s="2">
        <v>806021000</v>
      </c>
      <c r="J1662" t="s">
        <v>79</v>
      </c>
      <c r="K1662" t="s">
        <v>80</v>
      </c>
      <c r="L1662" s="37">
        <f t="shared" si="100"/>
        <v>0.76370073790021853</v>
      </c>
      <c r="M1662" s="2">
        <f t="shared" si="101"/>
        <v>1851345000</v>
      </c>
      <c r="N1662" s="37">
        <f t="shared" si="102"/>
        <v>0.33836404617486521</v>
      </c>
      <c r="O1662" s="2">
        <f t="shared" si="103"/>
        <v>820254000</v>
      </c>
    </row>
    <row r="1663" spans="1:15" x14ac:dyDescent="0.3">
      <c r="A1663" t="s">
        <v>559</v>
      </c>
      <c r="B1663">
        <v>4</v>
      </c>
      <c r="C1663">
        <v>2015</v>
      </c>
      <c r="D1663" s="1">
        <v>42369</v>
      </c>
      <c r="E1663" s="2">
        <v>1452619000</v>
      </c>
      <c r="F1663" s="2">
        <v>519874000</v>
      </c>
      <c r="G1663" s="2">
        <v>179867000</v>
      </c>
      <c r="H1663">
        <v>0</v>
      </c>
      <c r="I1663" s="2">
        <v>778923000</v>
      </c>
      <c r="J1663" t="s">
        <v>79</v>
      </c>
      <c r="K1663" t="s">
        <v>80</v>
      </c>
      <c r="L1663" s="37">
        <f t="shared" si="100"/>
        <v>0.6421126255404892</v>
      </c>
      <c r="M1663" s="2">
        <f t="shared" si="101"/>
        <v>932745000</v>
      </c>
      <c r="N1663" s="37">
        <f t="shared" si="102"/>
        <v>-1.7929684246178797E-2</v>
      </c>
      <c r="O1663" s="2">
        <f t="shared" si="103"/>
        <v>-26045000</v>
      </c>
    </row>
    <row r="1664" spans="1:15" x14ac:dyDescent="0.3">
      <c r="A1664" t="s">
        <v>560</v>
      </c>
      <c r="B1664">
        <v>1</v>
      </c>
      <c r="C1664">
        <v>2012</v>
      </c>
      <c r="D1664" s="1">
        <v>41274</v>
      </c>
      <c r="E1664" s="2">
        <v>10128223000</v>
      </c>
      <c r="F1664" s="2">
        <v>6710036000</v>
      </c>
      <c r="G1664" s="2">
        <v>669451000</v>
      </c>
      <c r="H1664">
        <v>0</v>
      </c>
      <c r="I1664" s="2">
        <v>926053000</v>
      </c>
      <c r="J1664" t="s">
        <v>38</v>
      </c>
      <c r="K1664" t="s">
        <v>39</v>
      </c>
      <c r="L1664" s="37">
        <f t="shared" si="100"/>
        <v>0.3374912854900608</v>
      </c>
      <c r="M1664" s="2">
        <f t="shared" si="101"/>
        <v>3418187000</v>
      </c>
      <c r="N1664" s="37">
        <f t="shared" si="102"/>
        <v>0.17996078877805119</v>
      </c>
      <c r="O1664" s="2">
        <f t="shared" si="103"/>
        <v>1822683000</v>
      </c>
    </row>
    <row r="1665" spans="1:15" x14ac:dyDescent="0.3">
      <c r="A1665" t="s">
        <v>560</v>
      </c>
      <c r="B1665">
        <v>2</v>
      </c>
      <c r="C1665">
        <v>2013</v>
      </c>
      <c r="D1665" s="1">
        <v>41639</v>
      </c>
      <c r="E1665" s="2">
        <v>10914922000</v>
      </c>
      <c r="F1665" s="2">
        <v>7408278000</v>
      </c>
      <c r="G1665" s="2">
        <v>681226000</v>
      </c>
      <c r="H1665">
        <v>0</v>
      </c>
      <c r="I1665" s="2">
        <v>977863000</v>
      </c>
      <c r="J1665" t="s">
        <v>38</v>
      </c>
      <c r="K1665" t="s">
        <v>39</v>
      </c>
      <c r="L1665" s="37">
        <f t="shared" si="100"/>
        <v>0.32127064215392465</v>
      </c>
      <c r="M1665" s="2">
        <f t="shared" si="101"/>
        <v>3506644000</v>
      </c>
      <c r="N1665" s="37">
        <f t="shared" si="102"/>
        <v>0.16926873137526774</v>
      </c>
      <c r="O1665" s="2">
        <f t="shared" si="103"/>
        <v>1847555000</v>
      </c>
    </row>
    <row r="1666" spans="1:15" x14ac:dyDescent="0.3">
      <c r="A1666" t="s">
        <v>560</v>
      </c>
      <c r="B1666">
        <v>3</v>
      </c>
      <c r="C1666">
        <v>2014</v>
      </c>
      <c r="D1666" s="1">
        <v>42004</v>
      </c>
      <c r="E1666" s="2">
        <v>11686135000</v>
      </c>
      <c r="F1666" s="2">
        <v>7951352000</v>
      </c>
      <c r="G1666" s="2">
        <v>767608000</v>
      </c>
      <c r="H1666">
        <v>0</v>
      </c>
      <c r="I1666" s="2">
        <v>1019045000</v>
      </c>
      <c r="J1666" t="s">
        <v>38</v>
      </c>
      <c r="K1666" t="s">
        <v>39</v>
      </c>
      <c r="L1666" s="37">
        <f t="shared" ref="L1666:L1711" si="104">1-(F1666/E1666)</f>
        <v>0.31959095115707636</v>
      </c>
      <c r="M1666" s="2">
        <f t="shared" ref="M1666:M1711" si="105">E1666-F1666</f>
        <v>3734783000</v>
      </c>
      <c r="N1666" s="37">
        <f t="shared" ref="N1666:N1711" si="106">O1666/E1666</f>
        <v>0.16670438943243424</v>
      </c>
      <c r="O1666" s="2">
        <f t="shared" ref="O1666:O1711" si="107">M1666-SUM(G1666:I1666)</f>
        <v>1948130000</v>
      </c>
    </row>
    <row r="1667" spans="1:15" x14ac:dyDescent="0.3">
      <c r="A1667" t="s">
        <v>560</v>
      </c>
      <c r="B1667">
        <v>4</v>
      </c>
      <c r="C1667">
        <v>2015</v>
      </c>
      <c r="D1667" s="1">
        <v>42369</v>
      </c>
      <c r="E1667" s="2">
        <v>11024486000</v>
      </c>
      <c r="F1667" s="2">
        <v>7033633000</v>
      </c>
      <c r="G1667" s="2">
        <v>865817000</v>
      </c>
      <c r="H1667">
        <v>0</v>
      </c>
      <c r="I1667" s="2">
        <v>1124524000</v>
      </c>
      <c r="J1667" t="s">
        <v>38</v>
      </c>
      <c r="K1667" t="s">
        <v>39</v>
      </c>
      <c r="L1667" s="37">
        <f t="shared" si="104"/>
        <v>0.36199900838914389</v>
      </c>
      <c r="M1667" s="2">
        <f t="shared" si="105"/>
        <v>3990853000</v>
      </c>
      <c r="N1667" s="37">
        <f t="shared" si="106"/>
        <v>0.1814607955418511</v>
      </c>
      <c r="O1667" s="2">
        <f t="shared" si="107"/>
        <v>2000512000</v>
      </c>
    </row>
    <row r="1668" spans="1:15" x14ac:dyDescent="0.3">
      <c r="A1668" t="s">
        <v>540</v>
      </c>
      <c r="B1668">
        <v>1</v>
      </c>
      <c r="C1668">
        <v>2012</v>
      </c>
      <c r="D1668" s="1">
        <v>41274</v>
      </c>
      <c r="E1668" s="2">
        <v>1527042000</v>
      </c>
      <c r="F1668" s="2">
        <v>279885000</v>
      </c>
      <c r="G1668" s="2">
        <v>432681000</v>
      </c>
      <c r="H1668" s="2">
        <v>765905000</v>
      </c>
      <c r="I1668">
        <v>0</v>
      </c>
      <c r="J1668" t="s">
        <v>21</v>
      </c>
      <c r="K1668" t="s">
        <v>62</v>
      </c>
      <c r="L1668" s="37">
        <f t="shared" si="104"/>
        <v>0.81671427504940919</v>
      </c>
      <c r="M1668" s="2">
        <f t="shared" si="105"/>
        <v>1247157000</v>
      </c>
      <c r="N1668" s="37">
        <f t="shared" si="106"/>
        <v>3.1807245642228567E-2</v>
      </c>
      <c r="O1668" s="2">
        <f t="shared" si="107"/>
        <v>48571000</v>
      </c>
    </row>
    <row r="1669" spans="1:15" x14ac:dyDescent="0.3">
      <c r="A1669" t="s">
        <v>540</v>
      </c>
      <c r="B1669">
        <v>2</v>
      </c>
      <c r="C1669">
        <v>2013</v>
      </c>
      <c r="D1669" s="1">
        <v>41639</v>
      </c>
      <c r="E1669" s="2">
        <v>1211975000</v>
      </c>
      <c r="F1669" s="2">
        <v>130277000</v>
      </c>
      <c r="G1669" s="2">
        <v>356188000</v>
      </c>
      <c r="H1669" s="2">
        <v>882097000</v>
      </c>
      <c r="I1669">
        <v>0</v>
      </c>
      <c r="J1669" t="s">
        <v>21</v>
      </c>
      <c r="K1669" t="s">
        <v>62</v>
      </c>
      <c r="L1669" s="37">
        <f t="shared" si="104"/>
        <v>0.89250850883887867</v>
      </c>
      <c r="M1669" s="2">
        <f t="shared" si="105"/>
        <v>1081698000</v>
      </c>
      <c r="N1669" s="37">
        <f t="shared" si="106"/>
        <v>-0.12919985973308029</v>
      </c>
      <c r="O1669" s="2">
        <f t="shared" si="107"/>
        <v>-156587000</v>
      </c>
    </row>
    <row r="1670" spans="1:15" x14ac:dyDescent="0.3">
      <c r="A1670" t="s">
        <v>540</v>
      </c>
      <c r="B1670">
        <v>3</v>
      </c>
      <c r="C1670">
        <v>2014</v>
      </c>
      <c r="D1670" s="1">
        <v>42004</v>
      </c>
      <c r="E1670" s="2">
        <v>580415000</v>
      </c>
      <c r="F1670" s="2">
        <v>60987000</v>
      </c>
      <c r="G1670" s="2">
        <v>305409000</v>
      </c>
      <c r="H1670" s="2">
        <v>855506000</v>
      </c>
      <c r="I1670">
        <v>0</v>
      </c>
      <c r="J1670" t="s">
        <v>21</v>
      </c>
      <c r="K1670" t="s">
        <v>62</v>
      </c>
      <c r="L1670" s="37">
        <f t="shared" si="104"/>
        <v>0.89492518284331035</v>
      </c>
      <c r="M1670" s="2">
        <f t="shared" si="105"/>
        <v>519428000</v>
      </c>
      <c r="N1670" s="37">
        <f t="shared" si="106"/>
        <v>-1.1052212640955179</v>
      </c>
      <c r="O1670" s="2">
        <f t="shared" si="107"/>
        <v>-641487000</v>
      </c>
    </row>
    <row r="1671" spans="1:15" x14ac:dyDescent="0.3">
      <c r="A1671" t="s">
        <v>540</v>
      </c>
      <c r="B1671">
        <v>4</v>
      </c>
      <c r="C1671">
        <v>2015</v>
      </c>
      <c r="D1671" s="1">
        <v>42369</v>
      </c>
      <c r="E1671" s="2">
        <v>1032336000</v>
      </c>
      <c r="F1671" s="2">
        <v>124512000</v>
      </c>
      <c r="G1671" s="2">
        <v>376575000</v>
      </c>
      <c r="H1671" s="2">
        <v>995922000</v>
      </c>
      <c r="I1671">
        <v>0</v>
      </c>
      <c r="J1671" t="s">
        <v>21</v>
      </c>
      <c r="K1671" t="s">
        <v>62</v>
      </c>
      <c r="L1671" s="37">
        <f t="shared" si="104"/>
        <v>0.87938810619798202</v>
      </c>
      <c r="M1671" s="2">
        <f t="shared" si="105"/>
        <v>907824000</v>
      </c>
      <c r="N1671" s="37">
        <f t="shared" si="106"/>
        <v>-0.45011798484214444</v>
      </c>
      <c r="O1671" s="2">
        <f t="shared" si="107"/>
        <v>-464673000</v>
      </c>
    </row>
    <row r="1672" spans="1:15" x14ac:dyDescent="0.3">
      <c r="A1672" t="s">
        <v>562</v>
      </c>
      <c r="B1672">
        <v>1</v>
      </c>
      <c r="C1672">
        <v>2013</v>
      </c>
      <c r="D1672" s="1">
        <v>41363</v>
      </c>
      <c r="E1672" s="2">
        <v>2168652000</v>
      </c>
      <c r="F1672" s="2">
        <v>737206000</v>
      </c>
      <c r="G1672" s="2">
        <v>365684000</v>
      </c>
      <c r="H1672" s="2">
        <v>475522000</v>
      </c>
      <c r="I1672" s="2">
        <v>9508000</v>
      </c>
      <c r="J1672" t="s">
        <v>18</v>
      </c>
      <c r="K1672" t="s">
        <v>30</v>
      </c>
      <c r="L1672" s="37">
        <f t="shared" si="104"/>
        <v>0.66006256421039433</v>
      </c>
      <c r="M1672" s="2">
        <f t="shared" si="105"/>
        <v>1431446000</v>
      </c>
      <c r="N1672" s="37">
        <f t="shared" si="106"/>
        <v>0.26778478059181465</v>
      </c>
      <c r="O1672" s="2">
        <f t="shared" si="107"/>
        <v>580732000</v>
      </c>
    </row>
    <row r="1673" spans="1:15" x14ac:dyDescent="0.3">
      <c r="A1673" t="s">
        <v>562</v>
      </c>
      <c r="B1673">
        <v>2</v>
      </c>
      <c r="C1673">
        <v>2014</v>
      </c>
      <c r="D1673" s="1">
        <v>41727</v>
      </c>
      <c r="E1673" s="2">
        <v>2382531000</v>
      </c>
      <c r="F1673" s="2">
        <v>743253000</v>
      </c>
      <c r="G1673" s="2">
        <v>378607000</v>
      </c>
      <c r="H1673" s="2">
        <v>492447000</v>
      </c>
      <c r="I1673" s="2">
        <v>9887000</v>
      </c>
      <c r="J1673" t="s">
        <v>18</v>
      </c>
      <c r="K1673" t="s">
        <v>30</v>
      </c>
      <c r="L1673" s="37">
        <f t="shared" si="104"/>
        <v>0.68804057533773955</v>
      </c>
      <c r="M1673" s="2">
        <f t="shared" si="105"/>
        <v>1639278000</v>
      </c>
      <c r="N1673" s="37">
        <f t="shared" si="106"/>
        <v>0.3182905070280303</v>
      </c>
      <c r="O1673" s="2">
        <f t="shared" si="107"/>
        <v>758337000</v>
      </c>
    </row>
    <row r="1674" spans="1:15" x14ac:dyDescent="0.3">
      <c r="A1674" t="s">
        <v>562</v>
      </c>
      <c r="B1674">
        <v>3</v>
      </c>
      <c r="C1674">
        <v>2015</v>
      </c>
      <c r="D1674" s="1">
        <v>42091</v>
      </c>
      <c r="E1674" s="2">
        <v>2377344000</v>
      </c>
      <c r="F1674" s="2">
        <v>708823000</v>
      </c>
      <c r="G1674" s="2">
        <v>353670000</v>
      </c>
      <c r="H1674" s="2">
        <v>525745000</v>
      </c>
      <c r="I1674" s="2">
        <v>9537000</v>
      </c>
      <c r="J1674" t="s">
        <v>18</v>
      </c>
      <c r="K1674" t="s">
        <v>30</v>
      </c>
      <c r="L1674" s="37">
        <f t="shared" si="104"/>
        <v>0.70184247630969687</v>
      </c>
      <c r="M1674" s="2">
        <f t="shared" si="105"/>
        <v>1668521000</v>
      </c>
      <c r="N1674" s="37">
        <f t="shared" si="106"/>
        <v>0.32791594317019329</v>
      </c>
      <c r="O1674" s="2">
        <f t="shared" si="107"/>
        <v>779569000</v>
      </c>
    </row>
    <row r="1675" spans="1:15" x14ac:dyDescent="0.3">
      <c r="A1675" t="s">
        <v>562</v>
      </c>
      <c r="B1675">
        <v>4</v>
      </c>
      <c r="C1675">
        <v>2016</v>
      </c>
      <c r="D1675" s="1">
        <v>42462</v>
      </c>
      <c r="E1675" s="2">
        <v>2213881000</v>
      </c>
      <c r="F1675" s="2">
        <v>671907000</v>
      </c>
      <c r="G1675" s="2">
        <v>331652000</v>
      </c>
      <c r="H1675" s="2">
        <v>533891000</v>
      </c>
      <c r="I1675" s="2">
        <v>6550000</v>
      </c>
      <c r="J1675" t="s">
        <v>18</v>
      </c>
      <c r="K1675" t="s">
        <v>30</v>
      </c>
      <c r="L1675" s="37">
        <f t="shared" si="104"/>
        <v>0.69650265755024776</v>
      </c>
      <c r="M1675" s="2">
        <f t="shared" si="105"/>
        <v>1541974000</v>
      </c>
      <c r="N1675" s="37">
        <f t="shared" si="106"/>
        <v>0.30258220744475428</v>
      </c>
      <c r="O1675" s="2">
        <f t="shared" si="107"/>
        <v>669881000</v>
      </c>
    </row>
    <row r="1676" spans="1:15" x14ac:dyDescent="0.3">
      <c r="A1676" t="s">
        <v>563</v>
      </c>
      <c r="B1676">
        <v>1</v>
      </c>
      <c r="C1676">
        <v>2012</v>
      </c>
      <c r="D1676" s="1">
        <v>41274</v>
      </c>
      <c r="E1676" s="2">
        <v>451509000000</v>
      </c>
      <c r="F1676" s="2">
        <v>302056000000</v>
      </c>
      <c r="G1676" s="2">
        <v>81844000000</v>
      </c>
      <c r="H1676">
        <v>0</v>
      </c>
      <c r="I1676" s="2">
        <v>15888000000</v>
      </c>
      <c r="J1676" t="s">
        <v>79</v>
      </c>
      <c r="K1676" t="s">
        <v>140</v>
      </c>
      <c r="L1676" s="37">
        <f t="shared" si="104"/>
        <v>0.33100779829416471</v>
      </c>
      <c r="M1676" s="2">
        <f t="shared" si="105"/>
        <v>149453000000</v>
      </c>
      <c r="N1676" s="37">
        <f t="shared" si="106"/>
        <v>0.11455142643889712</v>
      </c>
      <c r="O1676" s="2">
        <f t="shared" si="107"/>
        <v>51721000000</v>
      </c>
    </row>
    <row r="1677" spans="1:15" x14ac:dyDescent="0.3">
      <c r="A1677" t="s">
        <v>563</v>
      </c>
      <c r="B1677">
        <v>2</v>
      </c>
      <c r="C1677">
        <v>2013</v>
      </c>
      <c r="D1677" s="1">
        <v>41639</v>
      </c>
      <c r="E1677" s="2">
        <v>420836000000</v>
      </c>
      <c r="F1677" s="2">
        <v>284681000000</v>
      </c>
      <c r="G1677" s="2">
        <v>76696000000</v>
      </c>
      <c r="H1677">
        <v>0</v>
      </c>
      <c r="I1677" s="2">
        <v>17182000000</v>
      </c>
      <c r="J1677" t="s">
        <v>79</v>
      </c>
      <c r="K1677" t="s">
        <v>140</v>
      </c>
      <c r="L1677" s="37">
        <f t="shared" si="104"/>
        <v>0.32353458354323295</v>
      </c>
      <c r="M1677" s="2">
        <f t="shared" si="105"/>
        <v>136155000000</v>
      </c>
      <c r="N1677" s="37">
        <f t="shared" si="106"/>
        <v>0.10045956144436312</v>
      </c>
      <c r="O1677" s="2">
        <f t="shared" si="107"/>
        <v>42277000000</v>
      </c>
    </row>
    <row r="1678" spans="1:15" x14ac:dyDescent="0.3">
      <c r="A1678" t="s">
        <v>563</v>
      </c>
      <c r="B1678">
        <v>3</v>
      </c>
      <c r="C1678">
        <v>2014</v>
      </c>
      <c r="D1678" s="1">
        <v>42004</v>
      </c>
      <c r="E1678" s="2">
        <v>394105000000</v>
      </c>
      <c r="F1678" s="2">
        <v>266831000000</v>
      </c>
      <c r="G1678" s="2">
        <v>74226000000</v>
      </c>
      <c r="H1678">
        <v>0</v>
      </c>
      <c r="I1678" s="2">
        <v>17297000000</v>
      </c>
      <c r="J1678" t="s">
        <v>79</v>
      </c>
      <c r="K1678" t="s">
        <v>140</v>
      </c>
      <c r="L1678" s="37">
        <f t="shared" si="104"/>
        <v>0.3229443929917154</v>
      </c>
      <c r="M1678" s="2">
        <f t="shared" si="105"/>
        <v>127274000000</v>
      </c>
      <c r="N1678" s="37">
        <f t="shared" si="106"/>
        <v>9.0714403521904061E-2</v>
      </c>
      <c r="O1678" s="2">
        <f t="shared" si="107"/>
        <v>35751000000</v>
      </c>
    </row>
    <row r="1679" spans="1:15" x14ac:dyDescent="0.3">
      <c r="A1679" t="s">
        <v>563</v>
      </c>
      <c r="B1679">
        <v>4</v>
      </c>
      <c r="C1679">
        <v>2015</v>
      </c>
      <c r="D1679" s="1">
        <v>42369</v>
      </c>
      <c r="E1679" s="2">
        <v>259488000000</v>
      </c>
      <c r="F1679" s="2">
        <v>165590000000</v>
      </c>
      <c r="G1679" s="2">
        <v>61444000000</v>
      </c>
      <c r="H1679">
        <v>0</v>
      </c>
      <c r="I1679" s="2">
        <v>18048000000</v>
      </c>
      <c r="J1679" t="s">
        <v>79</v>
      </c>
      <c r="K1679" t="s">
        <v>140</v>
      </c>
      <c r="L1679" s="37">
        <f t="shared" si="104"/>
        <v>0.36185873720557404</v>
      </c>
      <c r="M1679" s="2">
        <f t="shared" si="105"/>
        <v>93898000000</v>
      </c>
      <c r="N1679" s="37">
        <f t="shared" si="106"/>
        <v>5.551701812800592E-2</v>
      </c>
      <c r="O1679" s="2">
        <f t="shared" si="107"/>
        <v>14406000000</v>
      </c>
    </row>
    <row r="1680" spans="1:15" x14ac:dyDescent="0.3">
      <c r="A1680" t="s">
        <v>543</v>
      </c>
      <c r="B1680">
        <v>1</v>
      </c>
      <c r="C1680">
        <v>2012</v>
      </c>
      <c r="D1680" s="1">
        <v>41274</v>
      </c>
      <c r="E1680" s="2">
        <v>1843641000</v>
      </c>
      <c r="F1680" s="2">
        <v>737614000</v>
      </c>
      <c r="G1680" s="2">
        <v>477270000</v>
      </c>
      <c r="H1680" s="2">
        <v>96004000</v>
      </c>
      <c r="I1680" s="2">
        <v>13829000</v>
      </c>
      <c r="J1680" t="s">
        <v>21</v>
      </c>
      <c r="K1680" t="s">
        <v>24</v>
      </c>
      <c r="L1680" s="37">
        <f t="shared" si="104"/>
        <v>0.59991451698025811</v>
      </c>
      <c r="M1680" s="2">
        <f t="shared" si="105"/>
        <v>1106027000</v>
      </c>
      <c r="N1680" s="37">
        <f t="shared" si="106"/>
        <v>0.28146694502888575</v>
      </c>
      <c r="O1680" s="2">
        <f t="shared" si="107"/>
        <v>518924000</v>
      </c>
    </row>
    <row r="1681" spans="1:15" x14ac:dyDescent="0.3">
      <c r="A1681" t="s">
        <v>543</v>
      </c>
      <c r="B1681">
        <v>2</v>
      </c>
      <c r="C1681">
        <v>2013</v>
      </c>
      <c r="D1681" s="1">
        <v>41639</v>
      </c>
      <c r="E1681" s="2">
        <v>1904218000</v>
      </c>
      <c r="F1681" s="2">
        <v>783456000</v>
      </c>
      <c r="G1681" s="2">
        <v>492965000</v>
      </c>
      <c r="H1681" s="2">
        <v>100536000</v>
      </c>
      <c r="I1681" s="2">
        <v>9918000</v>
      </c>
      <c r="J1681" t="s">
        <v>21</v>
      </c>
      <c r="K1681" t="s">
        <v>24</v>
      </c>
      <c r="L1681" s="37">
        <f t="shared" si="104"/>
        <v>0.58856811562541678</v>
      </c>
      <c r="M1681" s="2">
        <f t="shared" si="105"/>
        <v>1120762000</v>
      </c>
      <c r="N1681" s="37">
        <f t="shared" si="106"/>
        <v>0.27168265398184449</v>
      </c>
      <c r="O1681" s="2">
        <f t="shared" si="107"/>
        <v>517343000</v>
      </c>
    </row>
    <row r="1682" spans="1:15" x14ac:dyDescent="0.3">
      <c r="A1682" t="s">
        <v>543</v>
      </c>
      <c r="B1682">
        <v>3</v>
      </c>
      <c r="C1682">
        <v>2014</v>
      </c>
      <c r="D1682" s="1">
        <v>42004</v>
      </c>
      <c r="E1682" s="2">
        <v>1989344000</v>
      </c>
      <c r="F1682" s="2">
        <v>824913000</v>
      </c>
      <c r="G1682" s="2">
        <v>512707000</v>
      </c>
      <c r="H1682" s="2">
        <v>107726000</v>
      </c>
      <c r="I1682" s="2">
        <v>10634000</v>
      </c>
      <c r="J1682" t="s">
        <v>21</v>
      </c>
      <c r="K1682" t="s">
        <v>24</v>
      </c>
      <c r="L1682" s="37">
        <f t="shared" si="104"/>
        <v>0.58533416040664665</v>
      </c>
      <c r="M1682" s="2">
        <f t="shared" si="105"/>
        <v>1164431000</v>
      </c>
      <c r="N1682" s="37">
        <f t="shared" si="106"/>
        <v>0.26811049270513293</v>
      </c>
      <c r="O1682" s="2">
        <f t="shared" si="107"/>
        <v>533364000</v>
      </c>
    </row>
    <row r="1683" spans="1:15" x14ac:dyDescent="0.3">
      <c r="A1683" t="s">
        <v>543</v>
      </c>
      <c r="B1683">
        <v>4</v>
      </c>
      <c r="C1683">
        <v>2015</v>
      </c>
      <c r="D1683" s="1">
        <v>42369</v>
      </c>
      <c r="E1683" s="2">
        <v>2042332000</v>
      </c>
      <c r="F1683" s="2">
        <v>842672000</v>
      </c>
      <c r="G1683" s="2">
        <v>495747000</v>
      </c>
      <c r="H1683" s="2">
        <v>118545000</v>
      </c>
      <c r="I1683" s="2">
        <v>10123000</v>
      </c>
      <c r="J1683" t="s">
        <v>21</v>
      </c>
      <c r="K1683" t="s">
        <v>24</v>
      </c>
      <c r="L1683" s="37">
        <f t="shared" si="104"/>
        <v>0.58739715188323938</v>
      </c>
      <c r="M1683" s="2">
        <f t="shared" si="105"/>
        <v>1199660000</v>
      </c>
      <c r="N1683" s="37">
        <f t="shared" si="106"/>
        <v>0.28166086610795893</v>
      </c>
      <c r="O1683" s="2">
        <f t="shared" si="107"/>
        <v>575245000</v>
      </c>
    </row>
    <row r="1684" spans="1:15" x14ac:dyDescent="0.3">
      <c r="A1684" t="s">
        <v>565</v>
      </c>
      <c r="B1684">
        <v>1</v>
      </c>
      <c r="C1684">
        <v>2012</v>
      </c>
      <c r="D1684" s="1">
        <v>41274</v>
      </c>
      <c r="E1684" s="2">
        <v>20421000000</v>
      </c>
      <c r="F1684" s="2">
        <v>13634000000</v>
      </c>
      <c r="G1684" s="2">
        <v>4398000000</v>
      </c>
      <c r="H1684" s="2">
        <v>655000000</v>
      </c>
      <c r="I1684" s="2">
        <v>301000000</v>
      </c>
      <c r="J1684" t="s">
        <v>18</v>
      </c>
      <c r="K1684" t="s">
        <v>172</v>
      </c>
      <c r="L1684" s="37">
        <f t="shared" si="104"/>
        <v>0.33235394936584883</v>
      </c>
      <c r="M1684" s="2">
        <f t="shared" si="105"/>
        <v>6787000000</v>
      </c>
      <c r="N1684" s="37">
        <f t="shared" si="106"/>
        <v>7.0172861270261011E-2</v>
      </c>
      <c r="O1684" s="2">
        <f t="shared" si="107"/>
        <v>1433000000</v>
      </c>
    </row>
    <row r="1685" spans="1:15" x14ac:dyDescent="0.3">
      <c r="A1685" t="s">
        <v>565</v>
      </c>
      <c r="B1685">
        <v>2</v>
      </c>
      <c r="C1685">
        <v>2013</v>
      </c>
      <c r="D1685" s="1">
        <v>41639</v>
      </c>
      <c r="E1685" s="2">
        <v>20006000000</v>
      </c>
      <c r="F1685" s="2">
        <v>13521000000</v>
      </c>
      <c r="G1685" s="2">
        <v>4219000000</v>
      </c>
      <c r="H1685" s="2">
        <v>603000000</v>
      </c>
      <c r="I1685" s="2">
        <v>305000000</v>
      </c>
      <c r="J1685" t="s">
        <v>18</v>
      </c>
      <c r="K1685" t="s">
        <v>172</v>
      </c>
      <c r="L1685" s="37">
        <f t="shared" si="104"/>
        <v>0.32415275417374789</v>
      </c>
      <c r="M1685" s="2">
        <f t="shared" si="105"/>
        <v>6485000000</v>
      </c>
      <c r="N1685" s="37">
        <f t="shared" si="106"/>
        <v>6.7879636109167252E-2</v>
      </c>
      <c r="O1685" s="2">
        <f t="shared" si="107"/>
        <v>1358000000</v>
      </c>
    </row>
    <row r="1686" spans="1:15" x14ac:dyDescent="0.3">
      <c r="A1686" t="s">
        <v>565</v>
      </c>
      <c r="B1686">
        <v>3</v>
      </c>
      <c r="C1686">
        <v>2014</v>
      </c>
      <c r="D1686" s="1">
        <v>42004</v>
      </c>
      <c r="E1686" s="2">
        <v>19540000000</v>
      </c>
      <c r="F1686" s="2">
        <v>13294000000</v>
      </c>
      <c r="G1686" s="2">
        <v>4020000000</v>
      </c>
      <c r="H1686" s="2">
        <v>577000000</v>
      </c>
      <c r="I1686" s="2">
        <v>315000000</v>
      </c>
      <c r="J1686" t="s">
        <v>18</v>
      </c>
      <c r="K1686" t="s">
        <v>172</v>
      </c>
      <c r="L1686" s="37">
        <f t="shared" si="104"/>
        <v>0.31965199590583415</v>
      </c>
      <c r="M1686" s="2">
        <f t="shared" si="105"/>
        <v>6246000000</v>
      </c>
      <c r="N1686" s="37">
        <f t="shared" si="106"/>
        <v>6.8270214943705221E-2</v>
      </c>
      <c r="O1686" s="2">
        <f t="shared" si="107"/>
        <v>1334000000</v>
      </c>
    </row>
    <row r="1687" spans="1:15" x14ac:dyDescent="0.3">
      <c r="A1687" t="s">
        <v>565</v>
      </c>
      <c r="B1687">
        <v>4</v>
      </c>
      <c r="C1687">
        <v>2015</v>
      </c>
      <c r="D1687" s="1">
        <v>42369</v>
      </c>
      <c r="E1687" s="2">
        <v>18045000000</v>
      </c>
      <c r="F1687" s="2">
        <v>12782000000</v>
      </c>
      <c r="G1687" s="2">
        <v>3792000000</v>
      </c>
      <c r="H1687" s="2">
        <v>563000000</v>
      </c>
      <c r="I1687" s="2">
        <v>310000000</v>
      </c>
      <c r="J1687" t="s">
        <v>18</v>
      </c>
      <c r="K1687" t="s">
        <v>172</v>
      </c>
      <c r="L1687" s="37">
        <f t="shared" si="104"/>
        <v>0.29165973954003876</v>
      </c>
      <c r="M1687" s="2">
        <f t="shared" si="105"/>
        <v>5263000000</v>
      </c>
      <c r="N1687" s="37">
        <f t="shared" si="106"/>
        <v>3.3139373787752842E-2</v>
      </c>
      <c r="O1687" s="2">
        <f t="shared" si="107"/>
        <v>598000000</v>
      </c>
    </row>
    <row r="1688" spans="1:15" x14ac:dyDescent="0.3">
      <c r="A1688" t="s">
        <v>566</v>
      </c>
      <c r="B1688">
        <v>1</v>
      </c>
      <c r="C1688">
        <v>2012</v>
      </c>
      <c r="D1688" s="1">
        <v>41274</v>
      </c>
      <c r="E1688" s="2">
        <v>3791000000</v>
      </c>
      <c r="F1688" s="2">
        <v>2289000000</v>
      </c>
      <c r="G1688" s="2">
        <v>936000000</v>
      </c>
      <c r="H1688" s="2">
        <v>106000000</v>
      </c>
      <c r="I1688">
        <v>0</v>
      </c>
      <c r="J1688" t="s">
        <v>12</v>
      </c>
      <c r="K1688" t="s">
        <v>160</v>
      </c>
      <c r="L1688" s="37">
        <f t="shared" si="104"/>
        <v>0.39620152993933</v>
      </c>
      <c r="M1688" s="2">
        <f t="shared" si="105"/>
        <v>1502000000</v>
      </c>
      <c r="N1688" s="37">
        <f t="shared" si="106"/>
        <v>0.12134001582695858</v>
      </c>
      <c r="O1688" s="2">
        <f t="shared" si="107"/>
        <v>460000000</v>
      </c>
    </row>
    <row r="1689" spans="1:15" x14ac:dyDescent="0.3">
      <c r="A1689" t="s">
        <v>566</v>
      </c>
      <c r="B1689">
        <v>2</v>
      </c>
      <c r="C1689">
        <v>2013</v>
      </c>
      <c r="D1689" s="1">
        <v>41639</v>
      </c>
      <c r="E1689" s="2">
        <v>3837000000</v>
      </c>
      <c r="F1689" s="2">
        <v>2338000000</v>
      </c>
      <c r="G1689" s="2">
        <v>990000000</v>
      </c>
      <c r="H1689" s="2">
        <v>104000000</v>
      </c>
      <c r="I1689">
        <v>0</v>
      </c>
      <c r="J1689" t="s">
        <v>12</v>
      </c>
      <c r="K1689" t="s">
        <v>160</v>
      </c>
      <c r="L1689" s="37">
        <f t="shared" si="104"/>
        <v>0.39066979410998171</v>
      </c>
      <c r="M1689" s="2">
        <f t="shared" si="105"/>
        <v>1499000000</v>
      </c>
      <c r="N1689" s="37">
        <f t="shared" si="106"/>
        <v>0.1055512118842846</v>
      </c>
      <c r="O1689" s="2">
        <f t="shared" si="107"/>
        <v>405000000</v>
      </c>
    </row>
    <row r="1690" spans="1:15" x14ac:dyDescent="0.3">
      <c r="A1690" t="s">
        <v>566</v>
      </c>
      <c r="B1690">
        <v>3</v>
      </c>
      <c r="C1690">
        <v>2014</v>
      </c>
      <c r="D1690" s="1">
        <v>42004</v>
      </c>
      <c r="E1690" s="2">
        <v>3916000000</v>
      </c>
      <c r="F1690" s="2">
        <v>2403000000</v>
      </c>
      <c r="G1690" s="2">
        <v>920000000</v>
      </c>
      <c r="H1690" s="2">
        <v>104000000</v>
      </c>
      <c r="I1690">
        <v>0</v>
      </c>
      <c r="J1690" t="s">
        <v>12</v>
      </c>
      <c r="K1690" t="s">
        <v>160</v>
      </c>
      <c r="L1690" s="37">
        <f t="shared" si="104"/>
        <v>0.38636363636363635</v>
      </c>
      <c r="M1690" s="2">
        <f t="shared" si="105"/>
        <v>1513000000</v>
      </c>
      <c r="N1690" s="37">
        <f t="shared" si="106"/>
        <v>0.12487231869254341</v>
      </c>
      <c r="O1690" s="2">
        <f t="shared" si="107"/>
        <v>489000000</v>
      </c>
    </row>
    <row r="1691" spans="1:15" x14ac:dyDescent="0.3">
      <c r="A1691" t="s">
        <v>566</v>
      </c>
      <c r="B1691">
        <v>4</v>
      </c>
      <c r="C1691">
        <v>2015</v>
      </c>
      <c r="D1691" s="1">
        <v>42369</v>
      </c>
      <c r="E1691" s="2">
        <v>3653000000</v>
      </c>
      <c r="F1691" s="2">
        <v>2249000000</v>
      </c>
      <c r="G1691" s="2">
        <v>854000000</v>
      </c>
      <c r="H1691" s="2">
        <v>95000000</v>
      </c>
      <c r="I1691">
        <v>0</v>
      </c>
      <c r="J1691" t="s">
        <v>12</v>
      </c>
      <c r="K1691" t="s">
        <v>160</v>
      </c>
      <c r="L1691" s="37">
        <f t="shared" si="104"/>
        <v>0.38434163701067614</v>
      </c>
      <c r="M1691" s="2">
        <f t="shared" si="105"/>
        <v>1404000000</v>
      </c>
      <c r="N1691" s="37">
        <f t="shared" si="106"/>
        <v>0.12455516014234876</v>
      </c>
      <c r="O1691" s="2">
        <f t="shared" si="107"/>
        <v>455000000</v>
      </c>
    </row>
    <row r="1692" spans="1:15" x14ac:dyDescent="0.3">
      <c r="A1692" t="s">
        <v>567</v>
      </c>
      <c r="B1692">
        <v>1</v>
      </c>
      <c r="C1692">
        <v>2012</v>
      </c>
      <c r="D1692" s="1">
        <v>41274</v>
      </c>
      <c r="E1692" s="2">
        <v>4986566000</v>
      </c>
      <c r="F1692" s="2">
        <v>1620566000</v>
      </c>
      <c r="G1692" s="2">
        <v>1641819000</v>
      </c>
      <c r="H1692" s="2">
        <v>885824000</v>
      </c>
      <c r="I1692" s="2">
        <v>35819000</v>
      </c>
      <c r="J1692" t="s">
        <v>18</v>
      </c>
      <c r="K1692" t="s">
        <v>53</v>
      </c>
      <c r="L1692" s="37">
        <f t="shared" si="104"/>
        <v>0.67501362661198105</v>
      </c>
      <c r="M1692" s="2">
        <f t="shared" si="105"/>
        <v>3366000000</v>
      </c>
      <c r="N1692" s="37">
        <f t="shared" si="106"/>
        <v>0.16094001362861737</v>
      </c>
      <c r="O1692" s="2">
        <f t="shared" si="107"/>
        <v>802538000</v>
      </c>
    </row>
    <row r="1693" spans="1:15" x14ac:dyDescent="0.3">
      <c r="A1693" t="s">
        <v>567</v>
      </c>
      <c r="B1693">
        <v>2</v>
      </c>
      <c r="C1693">
        <v>2013</v>
      </c>
      <c r="D1693" s="1">
        <v>41639</v>
      </c>
      <c r="E1693" s="2">
        <v>4680380000</v>
      </c>
      <c r="F1693" s="2">
        <v>1349380000</v>
      </c>
      <c r="G1693" s="2">
        <v>1751275000</v>
      </c>
      <c r="H1693" s="2">
        <v>957587000</v>
      </c>
      <c r="I1693" s="2">
        <v>44841000</v>
      </c>
      <c r="J1693" t="s">
        <v>18</v>
      </c>
      <c r="K1693" t="s">
        <v>53</v>
      </c>
      <c r="L1693" s="37">
        <f t="shared" si="104"/>
        <v>0.71169434960409195</v>
      </c>
      <c r="M1693" s="2">
        <f t="shared" si="105"/>
        <v>3331000000</v>
      </c>
      <c r="N1693" s="37">
        <f t="shared" si="106"/>
        <v>0.12334404471431806</v>
      </c>
      <c r="O1693" s="2">
        <f t="shared" si="107"/>
        <v>577297000</v>
      </c>
    </row>
    <row r="1694" spans="1:15" x14ac:dyDescent="0.3">
      <c r="A1694" t="s">
        <v>567</v>
      </c>
      <c r="B1694">
        <v>3</v>
      </c>
      <c r="C1694">
        <v>2014</v>
      </c>
      <c r="D1694" s="1">
        <v>42004</v>
      </c>
      <c r="E1694" s="2">
        <v>4618133000</v>
      </c>
      <c r="F1694" s="2">
        <v>1387375000</v>
      </c>
      <c r="G1694" s="2">
        <v>1770710000</v>
      </c>
      <c r="H1694" s="2">
        <v>1156386000</v>
      </c>
      <c r="I1694" s="2">
        <v>66750000</v>
      </c>
      <c r="J1694" t="s">
        <v>18</v>
      </c>
      <c r="K1694" t="s">
        <v>53</v>
      </c>
      <c r="L1694" s="37">
        <f t="shared" si="104"/>
        <v>0.69958097785403761</v>
      </c>
      <c r="M1694" s="2">
        <f t="shared" si="105"/>
        <v>3230758000</v>
      </c>
      <c r="N1694" s="37">
        <f t="shared" si="106"/>
        <v>5.1300384809185876E-2</v>
      </c>
      <c r="O1694" s="2">
        <f t="shared" si="107"/>
        <v>236912000</v>
      </c>
    </row>
    <row r="1695" spans="1:15" x14ac:dyDescent="0.3">
      <c r="A1695" t="s">
        <v>567</v>
      </c>
      <c r="B1695">
        <v>4</v>
      </c>
      <c r="C1695">
        <v>2015</v>
      </c>
      <c r="D1695" s="1">
        <v>42369</v>
      </c>
      <c r="E1695" s="2">
        <v>4968301000</v>
      </c>
      <c r="F1695" s="2">
        <v>2077748000</v>
      </c>
      <c r="G1695" s="2">
        <v>1768522000</v>
      </c>
      <c r="H1695" s="2">
        <v>1177923000</v>
      </c>
      <c r="I1695" s="2">
        <v>79042000</v>
      </c>
      <c r="J1695" t="s">
        <v>18</v>
      </c>
      <c r="K1695" t="s">
        <v>53</v>
      </c>
      <c r="L1695" s="37">
        <f t="shared" si="104"/>
        <v>0.58179908986995754</v>
      </c>
      <c r="M1695" s="2">
        <f t="shared" si="105"/>
        <v>2890553000</v>
      </c>
      <c r="N1695" s="37">
        <f t="shared" si="106"/>
        <v>-2.7158982517363581E-2</v>
      </c>
      <c r="O1695" s="2">
        <f t="shared" si="107"/>
        <v>-134934000</v>
      </c>
    </row>
    <row r="1696" spans="1:15" x14ac:dyDescent="0.3">
      <c r="A1696" t="s">
        <v>568</v>
      </c>
      <c r="B1696">
        <v>1</v>
      </c>
      <c r="C1696">
        <v>2012</v>
      </c>
      <c r="D1696" s="1">
        <v>41272</v>
      </c>
      <c r="E1696" s="2">
        <v>13633000000</v>
      </c>
      <c r="F1696" s="2">
        <v>9852000000</v>
      </c>
      <c r="G1696" s="2">
        <v>1450000000</v>
      </c>
      <c r="H1696">
        <v>0</v>
      </c>
      <c r="I1696">
        <v>0</v>
      </c>
      <c r="J1696" t="s">
        <v>15</v>
      </c>
      <c r="K1696" t="s">
        <v>151</v>
      </c>
      <c r="L1696" s="37">
        <f t="shared" si="104"/>
        <v>0.2773417442969266</v>
      </c>
      <c r="M1696" s="2">
        <f t="shared" si="105"/>
        <v>3781000000</v>
      </c>
      <c r="N1696" s="37">
        <f t="shared" si="106"/>
        <v>0.17098217560331549</v>
      </c>
      <c r="O1696" s="2">
        <f t="shared" si="107"/>
        <v>2331000000</v>
      </c>
    </row>
    <row r="1697" spans="1:15" x14ac:dyDescent="0.3">
      <c r="A1697" t="s">
        <v>568</v>
      </c>
      <c r="B1697">
        <v>2</v>
      </c>
      <c r="C1697">
        <v>2013</v>
      </c>
      <c r="D1697" s="1">
        <v>41636</v>
      </c>
      <c r="E1697" s="2">
        <v>13084000000</v>
      </c>
      <c r="F1697" s="2">
        <v>9501000000</v>
      </c>
      <c r="G1697" s="2">
        <v>1454000000</v>
      </c>
      <c r="H1697">
        <v>0</v>
      </c>
      <c r="I1697">
        <v>0</v>
      </c>
      <c r="J1697" t="s">
        <v>15</v>
      </c>
      <c r="K1697" t="s">
        <v>151</v>
      </c>
      <c r="L1697" s="37">
        <f t="shared" si="104"/>
        <v>0.27384591867930297</v>
      </c>
      <c r="M1697" s="2">
        <f t="shared" si="105"/>
        <v>3583000000</v>
      </c>
      <c r="N1697" s="37">
        <f t="shared" si="106"/>
        <v>0.16271782329562826</v>
      </c>
      <c r="O1697" s="2">
        <f t="shared" si="107"/>
        <v>2129000000</v>
      </c>
    </row>
    <row r="1698" spans="1:15" x14ac:dyDescent="0.3">
      <c r="A1698" t="s">
        <v>568</v>
      </c>
      <c r="B1698">
        <v>3</v>
      </c>
      <c r="C1698">
        <v>2014</v>
      </c>
      <c r="D1698" s="1">
        <v>42000</v>
      </c>
      <c r="E1698" s="2">
        <v>13279000000</v>
      </c>
      <c r="F1698" s="2">
        <v>9682000000</v>
      </c>
      <c r="G1698" s="2">
        <v>1505000000</v>
      </c>
      <c r="H1698">
        <v>0</v>
      </c>
      <c r="I1698">
        <v>0</v>
      </c>
      <c r="J1698" t="s">
        <v>15</v>
      </c>
      <c r="K1698" t="s">
        <v>151</v>
      </c>
      <c r="L1698" s="37">
        <f t="shared" si="104"/>
        <v>0.27087883123729195</v>
      </c>
      <c r="M1698" s="2">
        <f t="shared" si="105"/>
        <v>3597000000</v>
      </c>
      <c r="N1698" s="37">
        <f t="shared" si="106"/>
        <v>0.15754198358310115</v>
      </c>
      <c r="O1698" s="2">
        <f t="shared" si="107"/>
        <v>2092000000</v>
      </c>
    </row>
    <row r="1699" spans="1:15" x14ac:dyDescent="0.3">
      <c r="A1699" t="s">
        <v>568</v>
      </c>
      <c r="B1699">
        <v>4</v>
      </c>
      <c r="C1699">
        <v>2015</v>
      </c>
      <c r="D1699" s="1">
        <v>42364</v>
      </c>
      <c r="E1699" s="2">
        <v>13105000000</v>
      </c>
      <c r="F1699" s="2">
        <v>9359000000</v>
      </c>
      <c r="G1699" s="2">
        <v>1746000000</v>
      </c>
      <c r="H1699">
        <v>0</v>
      </c>
      <c r="I1699">
        <v>0</v>
      </c>
      <c r="J1699" t="s">
        <v>15</v>
      </c>
      <c r="K1699" t="s">
        <v>151</v>
      </c>
      <c r="L1699" s="37">
        <f t="shared" si="104"/>
        <v>0.28584509729111029</v>
      </c>
      <c r="M1699" s="2">
        <f t="shared" si="105"/>
        <v>3746000000</v>
      </c>
      <c r="N1699" s="37">
        <f t="shared" si="106"/>
        <v>0.15261350629530712</v>
      </c>
      <c r="O1699" s="2">
        <f t="shared" si="107"/>
        <v>2000000000</v>
      </c>
    </row>
    <row r="1700" spans="1:15" x14ac:dyDescent="0.3">
      <c r="A1700" t="s">
        <v>564</v>
      </c>
      <c r="B1700">
        <v>1</v>
      </c>
      <c r="C1700">
        <v>2012</v>
      </c>
      <c r="D1700" s="1">
        <v>41274</v>
      </c>
      <c r="E1700" s="2">
        <v>2928429000</v>
      </c>
      <c r="F1700" s="2">
        <v>1372042000</v>
      </c>
      <c r="G1700" s="2">
        <v>1148731000</v>
      </c>
      <c r="H1700">
        <v>0</v>
      </c>
      <c r="I1700">
        <v>0</v>
      </c>
      <c r="J1700" t="s">
        <v>21</v>
      </c>
      <c r="K1700" t="s">
        <v>162</v>
      </c>
      <c r="L1700" s="37">
        <f t="shared" si="104"/>
        <v>0.53147506734839745</v>
      </c>
      <c r="M1700" s="2">
        <f t="shared" si="105"/>
        <v>1556387000</v>
      </c>
      <c r="N1700" s="37">
        <f t="shared" si="106"/>
        <v>0.13920637993955121</v>
      </c>
      <c r="O1700" s="2">
        <f t="shared" si="107"/>
        <v>407656000</v>
      </c>
    </row>
    <row r="1701" spans="1:15" x14ac:dyDescent="0.3">
      <c r="A1701" t="s">
        <v>564</v>
      </c>
      <c r="B1701">
        <v>2</v>
      </c>
      <c r="C1701">
        <v>2013</v>
      </c>
      <c r="D1701" s="1">
        <v>41639</v>
      </c>
      <c r="E1701" s="2">
        <v>2950800000</v>
      </c>
      <c r="F1701" s="2">
        <v>1373400000</v>
      </c>
      <c r="G1701" s="2">
        <v>1144800000</v>
      </c>
      <c r="H1701">
        <v>0</v>
      </c>
      <c r="I1701">
        <v>0</v>
      </c>
      <c r="J1701" t="s">
        <v>21</v>
      </c>
      <c r="K1701" t="s">
        <v>162</v>
      </c>
      <c r="L1701" s="37">
        <f t="shared" si="104"/>
        <v>0.53456689711264738</v>
      </c>
      <c r="M1701" s="2">
        <f t="shared" si="105"/>
        <v>1577400000</v>
      </c>
      <c r="N1701" s="37">
        <f t="shared" si="106"/>
        <v>0.14660431069540464</v>
      </c>
      <c r="O1701" s="2">
        <f t="shared" si="107"/>
        <v>432600000</v>
      </c>
    </row>
    <row r="1702" spans="1:15" x14ac:dyDescent="0.3">
      <c r="A1702" t="s">
        <v>564</v>
      </c>
      <c r="B1702">
        <v>3</v>
      </c>
      <c r="C1702">
        <v>2014</v>
      </c>
      <c r="D1702" s="1">
        <v>42004</v>
      </c>
      <c r="E1702" s="2">
        <v>2922600000</v>
      </c>
      <c r="F1702" s="2">
        <v>1322800000</v>
      </c>
      <c r="G1702" s="2">
        <v>1143100000</v>
      </c>
      <c r="H1702">
        <v>0</v>
      </c>
      <c r="I1702">
        <v>0</v>
      </c>
      <c r="J1702" t="s">
        <v>21</v>
      </c>
      <c r="K1702" t="s">
        <v>162</v>
      </c>
      <c r="L1702" s="37">
        <f t="shared" si="104"/>
        <v>0.54738931088756582</v>
      </c>
      <c r="M1702" s="2">
        <f t="shared" si="105"/>
        <v>1599800000</v>
      </c>
      <c r="N1702" s="37">
        <f t="shared" si="106"/>
        <v>0.15626496954766303</v>
      </c>
      <c r="O1702" s="2">
        <f t="shared" si="107"/>
        <v>456700000</v>
      </c>
    </row>
    <row r="1703" spans="1:15" x14ac:dyDescent="0.3">
      <c r="A1703" t="s">
        <v>564</v>
      </c>
      <c r="B1703">
        <v>4</v>
      </c>
      <c r="C1703">
        <v>2015</v>
      </c>
      <c r="D1703" s="1">
        <v>42369</v>
      </c>
      <c r="E1703" s="2">
        <v>2674300000</v>
      </c>
      <c r="F1703" s="2">
        <v>1157100000</v>
      </c>
      <c r="G1703" s="2">
        <v>1077300000</v>
      </c>
      <c r="H1703">
        <v>0</v>
      </c>
      <c r="I1703">
        <v>0</v>
      </c>
      <c r="J1703" t="s">
        <v>21</v>
      </c>
      <c r="K1703" t="s">
        <v>162</v>
      </c>
      <c r="L1703" s="37">
        <f t="shared" si="104"/>
        <v>0.56732602924129671</v>
      </c>
      <c r="M1703" s="2">
        <f t="shared" si="105"/>
        <v>1517200000</v>
      </c>
      <c r="N1703" s="37">
        <f t="shared" si="106"/>
        <v>0.16449164267284896</v>
      </c>
      <c r="O1703" s="2">
        <f t="shared" si="107"/>
        <v>439900000</v>
      </c>
    </row>
    <row r="1704" spans="1:15" x14ac:dyDescent="0.3">
      <c r="A1704" t="s">
        <v>569</v>
      </c>
      <c r="B1704">
        <v>1</v>
      </c>
      <c r="C1704">
        <v>2012</v>
      </c>
      <c r="D1704" s="1">
        <v>41274</v>
      </c>
      <c r="E1704" s="2">
        <v>4471700000</v>
      </c>
      <c r="F1704" s="2">
        <v>1125200000</v>
      </c>
      <c r="G1704" s="2">
        <v>1822100000</v>
      </c>
      <c r="H1704" s="2">
        <v>225600000</v>
      </c>
      <c r="I1704">
        <v>0</v>
      </c>
      <c r="J1704" t="s">
        <v>21</v>
      </c>
      <c r="K1704" t="s">
        <v>26</v>
      </c>
      <c r="L1704" s="37">
        <f t="shared" si="104"/>
        <v>0.74837310195227769</v>
      </c>
      <c r="M1704" s="2">
        <f t="shared" si="105"/>
        <v>3346500000</v>
      </c>
      <c r="N1704" s="37">
        <f t="shared" si="106"/>
        <v>0.29044882259543353</v>
      </c>
      <c r="O1704" s="2">
        <f t="shared" si="107"/>
        <v>1298800000</v>
      </c>
    </row>
    <row r="1705" spans="1:15" x14ac:dyDescent="0.3">
      <c r="A1705" t="s">
        <v>569</v>
      </c>
      <c r="B1705">
        <v>2</v>
      </c>
      <c r="C1705">
        <v>2013</v>
      </c>
      <c r="D1705" s="1">
        <v>41639</v>
      </c>
      <c r="E1705" s="2">
        <v>4623400000</v>
      </c>
      <c r="F1705" s="2">
        <v>1266700000</v>
      </c>
      <c r="G1705" s="2">
        <v>1796300000</v>
      </c>
      <c r="H1705" s="2">
        <v>203000000</v>
      </c>
      <c r="I1705" s="2">
        <v>78500000</v>
      </c>
      <c r="J1705" t="s">
        <v>21</v>
      </c>
      <c r="K1705" t="s">
        <v>26</v>
      </c>
      <c r="L1705" s="37">
        <f t="shared" si="104"/>
        <v>0.72602413808020072</v>
      </c>
      <c r="M1705" s="2">
        <f t="shared" si="105"/>
        <v>3356700000</v>
      </c>
      <c r="N1705" s="37">
        <f t="shared" si="106"/>
        <v>0.27661461262274517</v>
      </c>
      <c r="O1705" s="2">
        <f t="shared" si="107"/>
        <v>1278900000</v>
      </c>
    </row>
    <row r="1706" spans="1:15" x14ac:dyDescent="0.3">
      <c r="A1706" t="s">
        <v>569</v>
      </c>
      <c r="B1706">
        <v>3</v>
      </c>
      <c r="C1706">
        <v>2014</v>
      </c>
      <c r="D1706" s="1">
        <v>42004</v>
      </c>
      <c r="E1706" s="2">
        <v>4673300000</v>
      </c>
      <c r="F1706" s="2">
        <v>1242800000</v>
      </c>
      <c r="G1706" s="2">
        <v>1772200000</v>
      </c>
      <c r="H1706" s="2">
        <v>187400000</v>
      </c>
      <c r="I1706" s="2">
        <v>92500000</v>
      </c>
      <c r="J1706" t="s">
        <v>21</v>
      </c>
      <c r="K1706" t="s">
        <v>26</v>
      </c>
      <c r="L1706" s="37">
        <f t="shared" si="104"/>
        <v>0.73406372370701645</v>
      </c>
      <c r="M1706" s="2">
        <f t="shared" si="105"/>
        <v>3430500000</v>
      </c>
      <c r="N1706" s="37">
        <f t="shared" si="106"/>
        <v>0.29495217512250443</v>
      </c>
      <c r="O1706" s="2">
        <f t="shared" si="107"/>
        <v>1378400000</v>
      </c>
    </row>
    <row r="1707" spans="1:15" x14ac:dyDescent="0.3">
      <c r="A1707" t="s">
        <v>569</v>
      </c>
      <c r="B1707">
        <v>4</v>
      </c>
      <c r="C1707">
        <v>2015</v>
      </c>
      <c r="D1707" s="1">
        <v>42369</v>
      </c>
      <c r="E1707" s="2">
        <v>5997800000</v>
      </c>
      <c r="F1707" s="2">
        <v>1800600000</v>
      </c>
      <c r="G1707" s="2">
        <v>2291900000</v>
      </c>
      <c r="H1707" s="2">
        <v>268800000</v>
      </c>
      <c r="I1707" s="2">
        <v>337400000</v>
      </c>
      <c r="J1707" t="s">
        <v>21</v>
      </c>
      <c r="K1707" t="s">
        <v>26</v>
      </c>
      <c r="L1707" s="37">
        <f t="shared" si="104"/>
        <v>0.69978992297175635</v>
      </c>
      <c r="M1707" s="2">
        <f t="shared" si="105"/>
        <v>4197200000</v>
      </c>
      <c r="N1707" s="37">
        <f t="shared" si="106"/>
        <v>0.21659608523125146</v>
      </c>
      <c r="O1707" s="2">
        <f t="shared" si="107"/>
        <v>1299100000</v>
      </c>
    </row>
    <row r="1708" spans="1:15" x14ac:dyDescent="0.3">
      <c r="A1708" t="s">
        <v>571</v>
      </c>
      <c r="B1708">
        <v>1</v>
      </c>
      <c r="C1708">
        <v>2013</v>
      </c>
      <c r="D1708" s="1">
        <v>41639</v>
      </c>
      <c r="E1708" s="2">
        <v>4561000000</v>
      </c>
      <c r="F1708" s="2">
        <v>1669000000</v>
      </c>
      <c r="G1708" s="2">
        <v>1613000000</v>
      </c>
      <c r="H1708" s="2">
        <v>399000000</v>
      </c>
      <c r="I1708" s="2">
        <v>60000000</v>
      </c>
      <c r="J1708" t="s">
        <v>21</v>
      </c>
      <c r="K1708" t="s">
        <v>22</v>
      </c>
      <c r="L1708" s="37">
        <f t="shared" si="104"/>
        <v>0.63407147555360666</v>
      </c>
      <c r="M1708" s="2">
        <f t="shared" si="105"/>
        <v>2892000000</v>
      </c>
      <c r="N1708" s="37">
        <f t="shared" si="106"/>
        <v>0.17978513483885114</v>
      </c>
      <c r="O1708" s="2">
        <f t="shared" si="107"/>
        <v>820000000</v>
      </c>
    </row>
    <row r="1709" spans="1:15" x14ac:dyDescent="0.3">
      <c r="A1709" t="s">
        <v>571</v>
      </c>
      <c r="B1709">
        <v>2</v>
      </c>
      <c r="C1709">
        <v>2014</v>
      </c>
      <c r="D1709" s="1">
        <v>42004</v>
      </c>
      <c r="E1709" s="2">
        <v>4785000000</v>
      </c>
      <c r="F1709" s="2">
        <v>1717000000</v>
      </c>
      <c r="G1709" s="2">
        <v>1643000000</v>
      </c>
      <c r="H1709" s="2">
        <v>396000000</v>
      </c>
      <c r="I1709" s="2">
        <v>60000000</v>
      </c>
      <c r="J1709" t="s">
        <v>21</v>
      </c>
      <c r="K1709" t="s">
        <v>22</v>
      </c>
      <c r="L1709" s="37">
        <f t="shared" si="104"/>
        <v>0.64117032392894457</v>
      </c>
      <c r="M1709" s="2">
        <f t="shared" si="105"/>
        <v>3068000000</v>
      </c>
      <c r="N1709" s="37">
        <f t="shared" si="106"/>
        <v>0.2025078369905956</v>
      </c>
      <c r="O1709" s="2">
        <f t="shared" si="107"/>
        <v>969000000</v>
      </c>
    </row>
    <row r="1710" spans="1:15" x14ac:dyDescent="0.3">
      <c r="A1710" t="s">
        <v>571</v>
      </c>
      <c r="B1710">
        <v>3</v>
      </c>
      <c r="C1710">
        <v>2015</v>
      </c>
      <c r="D1710" s="1">
        <v>42369</v>
      </c>
      <c r="E1710" s="2">
        <v>4765000000</v>
      </c>
      <c r="F1710" s="2">
        <v>1738000000</v>
      </c>
      <c r="G1710" s="2">
        <v>1532000000</v>
      </c>
      <c r="H1710" s="2">
        <v>364000000</v>
      </c>
      <c r="I1710" s="2">
        <v>61000000</v>
      </c>
      <c r="J1710" t="s">
        <v>21</v>
      </c>
      <c r="K1710" t="s">
        <v>22</v>
      </c>
      <c r="L1710" s="37">
        <f t="shared" si="104"/>
        <v>0.63525708289611749</v>
      </c>
      <c r="M1710" s="2">
        <f t="shared" si="105"/>
        <v>3027000000</v>
      </c>
      <c r="N1710" s="37">
        <f t="shared" si="106"/>
        <v>0.22455403987408185</v>
      </c>
      <c r="O1710" s="2">
        <f t="shared" si="107"/>
        <v>1070000000</v>
      </c>
    </row>
    <row r="1711" spans="1:15" x14ac:dyDescent="0.3">
      <c r="A1711" t="s">
        <v>571</v>
      </c>
      <c r="B1711">
        <v>4</v>
      </c>
      <c r="C1711">
        <v>2016</v>
      </c>
      <c r="D1711" s="1">
        <v>42735</v>
      </c>
      <c r="E1711" s="2">
        <v>4888000000</v>
      </c>
      <c r="F1711" s="2">
        <v>1666000000</v>
      </c>
      <c r="G1711" s="2">
        <v>1364000000</v>
      </c>
      <c r="H1711" s="2">
        <v>376000000</v>
      </c>
      <c r="I1711" s="2">
        <v>85000000</v>
      </c>
      <c r="J1711" t="s">
        <v>21</v>
      </c>
      <c r="K1711" t="s">
        <v>22</v>
      </c>
      <c r="L1711" s="37">
        <f t="shared" si="104"/>
        <v>0.6591653027823241</v>
      </c>
      <c r="M1711" s="2">
        <f t="shared" si="105"/>
        <v>3222000000</v>
      </c>
      <c r="N1711" s="37">
        <f t="shared" si="106"/>
        <v>0.28580196399345337</v>
      </c>
      <c r="O1711" s="2">
        <f t="shared" si="107"/>
        <v>1397000000</v>
      </c>
    </row>
  </sheetData>
  <phoneticPr fontId="27"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4F987-E901-42A9-91EA-88343EA01F7A}">
  <dimension ref="A1:T356"/>
  <sheetViews>
    <sheetView tabSelected="1" topLeftCell="L7" zoomScale="85" zoomScaleNormal="85" workbookViewId="0">
      <selection activeCell="R18" sqref="R18"/>
    </sheetView>
  </sheetViews>
  <sheetFormatPr defaultRowHeight="14.4" x14ac:dyDescent="0.3"/>
  <cols>
    <col min="1" max="1" width="12.6640625" bestFit="1" customWidth="1"/>
    <col min="2" max="2" width="5.5546875" bestFit="1" customWidth="1"/>
    <col min="3" max="3" width="5.109375" bestFit="1" customWidth="1"/>
    <col min="4" max="4" width="12.21875" bestFit="1" customWidth="1"/>
    <col min="5" max="5" width="16.21875" bestFit="1" customWidth="1"/>
    <col min="6" max="6" width="17.44140625" bestFit="1" customWidth="1"/>
    <col min="7" max="7" width="23.21875" bestFit="1" customWidth="1"/>
    <col min="8" max="8" width="25.33203125" bestFit="1" customWidth="1"/>
    <col min="9" max="9" width="20.77734375" bestFit="1" customWidth="1"/>
    <col min="10" max="10" width="11" bestFit="1" customWidth="1"/>
    <col min="11" max="11" width="32.109375" bestFit="1" customWidth="1"/>
    <col min="12" max="12" width="12.21875" bestFit="1" customWidth="1"/>
    <col min="13" max="14" width="15.109375" bestFit="1" customWidth="1"/>
    <col min="15" max="15" width="15.88671875" bestFit="1" customWidth="1"/>
    <col min="16" max="16" width="17.109375" bestFit="1" customWidth="1"/>
    <col min="17" max="17" width="17.44140625" bestFit="1" customWidth="1"/>
    <col min="18" max="18" width="23.88671875" bestFit="1" customWidth="1"/>
    <col min="19" max="19" width="25.21875" bestFit="1" customWidth="1"/>
    <col min="20" max="20" width="16.21875" bestFit="1" customWidth="1"/>
  </cols>
  <sheetData>
    <row r="1" spans="1:20" s="38" customFormat="1" ht="21" x14ac:dyDescent="0.4">
      <c r="A1" s="38" t="s">
        <v>616</v>
      </c>
    </row>
    <row r="2" spans="1:20" ht="15" thickBot="1" x14ac:dyDescent="0.35">
      <c r="A2" s="23" t="s">
        <v>0</v>
      </c>
      <c r="B2" s="23" t="s">
        <v>1</v>
      </c>
      <c r="C2" s="23" t="s">
        <v>2</v>
      </c>
      <c r="D2" s="23" t="s">
        <v>3</v>
      </c>
      <c r="E2" s="23" t="s">
        <v>4</v>
      </c>
      <c r="F2" s="23" t="s">
        <v>5</v>
      </c>
      <c r="G2" s="23" t="s">
        <v>6</v>
      </c>
      <c r="H2" s="23" t="s">
        <v>7</v>
      </c>
      <c r="I2" s="23" t="s">
        <v>8</v>
      </c>
      <c r="J2" s="23" t="s">
        <v>9</v>
      </c>
      <c r="K2" s="23" t="s">
        <v>10</v>
      </c>
      <c r="L2" s="23" t="s">
        <v>595</v>
      </c>
      <c r="M2" s="23" t="s">
        <v>575</v>
      </c>
      <c r="N2" s="23" t="s">
        <v>596</v>
      </c>
      <c r="O2" s="23" t="s">
        <v>611</v>
      </c>
      <c r="Q2" s="48" t="s">
        <v>619</v>
      </c>
      <c r="R2" s="48" t="s">
        <v>620</v>
      </c>
      <c r="S2" s="48" t="s">
        <v>621</v>
      </c>
      <c r="T2" s="48" t="s">
        <v>618</v>
      </c>
    </row>
    <row r="3" spans="1:20" ht="15" thickTop="1" x14ac:dyDescent="0.3">
      <c r="A3" t="s">
        <v>42</v>
      </c>
      <c r="B3">
        <v>1</v>
      </c>
      <c r="C3">
        <v>2012</v>
      </c>
      <c r="D3" s="1">
        <v>41274</v>
      </c>
      <c r="E3" s="24">
        <v>25364000000</v>
      </c>
      <c r="F3" s="24">
        <v>17074000000</v>
      </c>
      <c r="G3" s="24">
        <v>0</v>
      </c>
      <c r="H3" s="24">
        <v>0</v>
      </c>
      <c r="I3" s="24">
        <v>3727000000</v>
      </c>
      <c r="J3" t="s">
        <v>43</v>
      </c>
      <c r="K3" t="s">
        <v>44</v>
      </c>
      <c r="L3" s="25">
        <f>1-(F3/E3)</f>
        <v>0.32684119224097141</v>
      </c>
      <c r="M3" s="24">
        <f>E3-F3</f>
        <v>8290000000</v>
      </c>
      <c r="N3" s="25">
        <f t="shared" ref="N3:N66" si="0">O3/E3</f>
        <v>0.17990064658571203</v>
      </c>
      <c r="O3" s="24">
        <f t="shared" ref="O3:O66" si="1">M3-SUM(G3:I3)</f>
        <v>4563000000</v>
      </c>
      <c r="Q3" t="s">
        <v>573</v>
      </c>
      <c r="R3" s="24">
        <f>AVERAGE(O3:O166)</f>
        <v>4424028646.3414631</v>
      </c>
      <c r="S3" s="24">
        <f>AVERAGE(O167:O356)</f>
        <v>2545303415.7894735</v>
      </c>
      <c r="T3" s="24">
        <f>AVERAGE(O3:O356)</f>
        <v>3415673296.6101694</v>
      </c>
    </row>
    <row r="4" spans="1:20" x14ac:dyDescent="0.3">
      <c r="A4" t="s">
        <v>42</v>
      </c>
      <c r="B4">
        <v>2</v>
      </c>
      <c r="C4">
        <v>2013</v>
      </c>
      <c r="D4" s="1">
        <v>41639</v>
      </c>
      <c r="E4" s="24">
        <v>23939000000</v>
      </c>
      <c r="F4" s="24">
        <v>15341000000</v>
      </c>
      <c r="G4" s="24">
        <v>0</v>
      </c>
      <c r="H4" s="24">
        <v>0</v>
      </c>
      <c r="I4" s="24">
        <v>3489000000</v>
      </c>
      <c r="J4" t="s">
        <v>43</v>
      </c>
      <c r="K4" t="s">
        <v>44</v>
      </c>
      <c r="L4" s="25">
        <f t="shared" ref="L4:L67" si="2">1-(F4/E4)</f>
        <v>0.35916287230043031</v>
      </c>
      <c r="M4" s="24">
        <f t="shared" ref="M4:M67" si="3">E4-F4</f>
        <v>8598000000</v>
      </c>
      <c r="N4" s="25">
        <f t="shared" si="0"/>
        <v>0.21341743598312377</v>
      </c>
      <c r="O4" s="24">
        <f t="shared" si="1"/>
        <v>5109000000</v>
      </c>
      <c r="Q4" t="s">
        <v>572</v>
      </c>
      <c r="R4" s="24">
        <f>MEDIAN(O3:O166)</f>
        <v>1795054500</v>
      </c>
      <c r="S4" s="24">
        <f>MEDIAN(O167:O356)</f>
        <v>1253458000</v>
      </c>
      <c r="T4" s="24">
        <f>MEDIAN(O3:O356)</f>
        <v>1393000000</v>
      </c>
    </row>
    <row r="5" spans="1:20" x14ac:dyDescent="0.3">
      <c r="A5" t="s">
        <v>42</v>
      </c>
      <c r="B5">
        <v>3</v>
      </c>
      <c r="C5">
        <v>2014</v>
      </c>
      <c r="D5" s="1">
        <v>42004</v>
      </c>
      <c r="E5" s="24">
        <v>22728000000</v>
      </c>
      <c r="F5" s="24">
        <v>14373000000</v>
      </c>
      <c r="G5" s="24">
        <v>0</v>
      </c>
      <c r="H5" s="24">
        <v>0</v>
      </c>
      <c r="I5" s="24">
        <v>3547000000</v>
      </c>
      <c r="J5" t="s">
        <v>43</v>
      </c>
      <c r="K5" t="s">
        <v>44</v>
      </c>
      <c r="L5" s="25">
        <f t="shared" si="2"/>
        <v>0.36760823653643082</v>
      </c>
      <c r="M5" s="24">
        <f t="shared" si="3"/>
        <v>8355000000</v>
      </c>
      <c r="N5" s="25">
        <f t="shared" si="0"/>
        <v>0.21154523055262231</v>
      </c>
      <c r="O5" s="24">
        <f t="shared" si="1"/>
        <v>4808000000</v>
      </c>
      <c r="Q5" t="s">
        <v>597</v>
      </c>
      <c r="R5" s="24" t="e">
        <f>_xlfn.MODE.SNGL(O3:O166)</f>
        <v>#N/A</v>
      </c>
      <c r="S5" s="24" t="e">
        <f>_xlfn.MODE.SNGL(O167:O356)</f>
        <v>#N/A</v>
      </c>
      <c r="T5" s="24" t="e">
        <f>_xlfn.MODE.SNGL(O3:O356)</f>
        <v>#N/A</v>
      </c>
    </row>
    <row r="6" spans="1:20" x14ac:dyDescent="0.3">
      <c r="A6" t="s">
        <v>42</v>
      </c>
      <c r="B6">
        <v>4</v>
      </c>
      <c r="C6">
        <v>2015</v>
      </c>
      <c r="D6" s="1">
        <v>42369</v>
      </c>
      <c r="E6" s="24">
        <v>20872000000</v>
      </c>
      <c r="F6" s="24">
        <v>13049000000</v>
      </c>
      <c r="G6" s="24">
        <v>0</v>
      </c>
      <c r="H6" s="24">
        <v>0</v>
      </c>
      <c r="I6" s="24">
        <v>3672000000</v>
      </c>
      <c r="J6" t="s">
        <v>43</v>
      </c>
      <c r="K6" t="s">
        <v>44</v>
      </c>
      <c r="L6" s="25">
        <f t="shared" si="2"/>
        <v>0.3748083556918359</v>
      </c>
      <c r="M6" s="24">
        <f t="shared" si="3"/>
        <v>7823000000</v>
      </c>
      <c r="N6" s="25">
        <f t="shared" si="0"/>
        <v>0.19887888079724031</v>
      </c>
      <c r="O6" s="24">
        <f t="shared" si="1"/>
        <v>4151000000</v>
      </c>
      <c r="Q6" t="s">
        <v>587</v>
      </c>
      <c r="R6" s="24">
        <f>MAX(O3:O166)</f>
        <v>36844000000</v>
      </c>
      <c r="S6" s="24">
        <f>MAX(O167:O356)</f>
        <v>22193000000</v>
      </c>
      <c r="T6" s="24">
        <f>MAX(O3:O356)</f>
        <v>36844000000</v>
      </c>
    </row>
    <row r="7" spans="1:20" x14ac:dyDescent="0.3">
      <c r="A7" t="s">
        <v>45</v>
      </c>
      <c r="B7">
        <v>1</v>
      </c>
      <c r="C7">
        <v>2012</v>
      </c>
      <c r="D7" s="1">
        <v>41274</v>
      </c>
      <c r="E7" s="24">
        <v>71214000000</v>
      </c>
      <c r="F7" s="24">
        <v>37745000000</v>
      </c>
      <c r="G7" s="24">
        <v>21491000000</v>
      </c>
      <c r="H7" s="24">
        <v>0</v>
      </c>
      <c r="I7" s="24">
        <v>0</v>
      </c>
      <c r="J7" t="s">
        <v>43</v>
      </c>
      <c r="K7" t="s">
        <v>46</v>
      </c>
      <c r="L7" s="25">
        <f t="shared" si="2"/>
        <v>0.46997781335130728</v>
      </c>
      <c r="M7" s="24">
        <f t="shared" si="3"/>
        <v>33469000000</v>
      </c>
      <c r="N7" s="25">
        <f t="shared" si="0"/>
        <v>0.16819726458280676</v>
      </c>
      <c r="O7" s="24">
        <f t="shared" si="1"/>
        <v>11978000000</v>
      </c>
      <c r="Q7" t="s">
        <v>588</v>
      </c>
      <c r="R7" s="24">
        <f>MIN(O3:O166)</f>
        <v>-1684000000</v>
      </c>
      <c r="S7" s="24">
        <f>MIN(O167:O356)</f>
        <v>-641487000</v>
      </c>
      <c r="T7" s="24">
        <f>MIN(O3:O356)</f>
        <v>-1684000000</v>
      </c>
    </row>
    <row r="8" spans="1:20" x14ac:dyDescent="0.3">
      <c r="A8" t="s">
        <v>45</v>
      </c>
      <c r="B8">
        <v>2</v>
      </c>
      <c r="C8">
        <v>2013</v>
      </c>
      <c r="D8" s="1">
        <v>41639</v>
      </c>
      <c r="E8" s="24">
        <v>68874000000</v>
      </c>
      <c r="F8" s="24">
        <v>34660000000</v>
      </c>
      <c r="G8" s="24">
        <v>22005000000</v>
      </c>
      <c r="H8" s="24">
        <v>0</v>
      </c>
      <c r="I8" s="24">
        <v>0</v>
      </c>
      <c r="J8" t="s">
        <v>43</v>
      </c>
      <c r="K8" t="s">
        <v>46</v>
      </c>
      <c r="L8" s="25">
        <f t="shared" si="2"/>
        <v>0.49676220344397015</v>
      </c>
      <c r="M8" s="24">
        <f t="shared" si="3"/>
        <v>34214000000</v>
      </c>
      <c r="N8" s="25">
        <f t="shared" si="0"/>
        <v>0.17726573162586753</v>
      </c>
      <c r="O8" s="24">
        <f t="shared" si="1"/>
        <v>12209000000</v>
      </c>
      <c r="Q8" t="s">
        <v>598</v>
      </c>
      <c r="R8" s="24">
        <f>R6-R7</f>
        <v>38528000000</v>
      </c>
      <c r="S8" s="24">
        <f>S6-S7</f>
        <v>22834487000</v>
      </c>
      <c r="T8" s="24">
        <f>T6-T7</f>
        <v>38528000000</v>
      </c>
    </row>
    <row r="9" spans="1:20" x14ac:dyDescent="0.3">
      <c r="A9" t="s">
        <v>45</v>
      </c>
      <c r="B9">
        <v>3</v>
      </c>
      <c r="C9">
        <v>2014</v>
      </c>
      <c r="D9" s="1">
        <v>42004</v>
      </c>
      <c r="E9" s="24">
        <v>64406000000</v>
      </c>
      <c r="F9" s="24">
        <v>33611000000</v>
      </c>
      <c r="G9" s="24">
        <v>18491000000</v>
      </c>
      <c r="H9" s="24">
        <v>0</v>
      </c>
      <c r="I9" s="24">
        <v>0</v>
      </c>
      <c r="J9" t="s">
        <v>43</v>
      </c>
      <c r="K9" t="s">
        <v>46</v>
      </c>
      <c r="L9" s="25">
        <f t="shared" si="2"/>
        <v>0.47813868273142257</v>
      </c>
      <c r="M9" s="24">
        <f t="shared" si="3"/>
        <v>30795000000</v>
      </c>
      <c r="N9" s="25">
        <f t="shared" si="0"/>
        <v>0.19103810204018259</v>
      </c>
      <c r="O9" s="24">
        <f t="shared" si="1"/>
        <v>12304000000</v>
      </c>
      <c r="Q9" t="s">
        <v>574</v>
      </c>
      <c r="R9" s="24">
        <f>STDEV(O3:O166)</f>
        <v>7327520501.5134506</v>
      </c>
      <c r="S9" s="24">
        <f>STDEV(O167:O356)</f>
        <v>3460128873.8088064</v>
      </c>
      <c r="T9" s="24">
        <f>STDEV(O3:O356)</f>
        <v>5664204238.7034359</v>
      </c>
    </row>
    <row r="10" spans="1:20" x14ac:dyDescent="0.3">
      <c r="A10" t="s">
        <v>45</v>
      </c>
      <c r="B10">
        <v>4</v>
      </c>
      <c r="C10">
        <v>2015</v>
      </c>
      <c r="D10" s="1">
        <v>42369</v>
      </c>
      <c r="E10" s="24">
        <v>58327000000</v>
      </c>
      <c r="F10" s="24">
        <v>36581000000</v>
      </c>
      <c r="G10" s="24">
        <v>16417000000</v>
      </c>
      <c r="H10" s="24">
        <v>0</v>
      </c>
      <c r="I10" s="24">
        <v>0</v>
      </c>
      <c r="J10" t="s">
        <v>43</v>
      </c>
      <c r="K10" t="s">
        <v>46</v>
      </c>
      <c r="L10" s="25">
        <f t="shared" si="2"/>
        <v>0.37282905001114408</v>
      </c>
      <c r="M10" s="24">
        <f t="shared" si="3"/>
        <v>21746000000</v>
      </c>
      <c r="N10" s="25">
        <f t="shared" si="0"/>
        <v>9.1364205256570713E-2</v>
      </c>
      <c r="O10" s="24">
        <f t="shared" si="1"/>
        <v>5329000000</v>
      </c>
      <c r="Q10" t="s">
        <v>599</v>
      </c>
      <c r="R10" s="24">
        <f>_xlfn.QUARTILE.INC(O3:O166, 1)</f>
        <v>840950000</v>
      </c>
      <c r="S10" s="24">
        <f>_xlfn.QUARTILE.INC(O167:O356, 1)</f>
        <v>576394500</v>
      </c>
      <c r="T10" s="24">
        <f>_xlfn.QUARTILE.INC(O3:O356, 1)</f>
        <v>710910500</v>
      </c>
    </row>
    <row r="11" spans="1:20" x14ac:dyDescent="0.3">
      <c r="A11" t="s">
        <v>50</v>
      </c>
      <c r="B11">
        <v>1</v>
      </c>
      <c r="C11">
        <v>2013</v>
      </c>
      <c r="D11" s="1">
        <v>41639</v>
      </c>
      <c r="E11" s="24">
        <v>9047657000</v>
      </c>
      <c r="F11" s="24">
        <v>6709936000</v>
      </c>
      <c r="G11" s="24">
        <v>0</v>
      </c>
      <c r="H11" s="24">
        <v>0</v>
      </c>
      <c r="I11" s="24">
        <v>1470287000</v>
      </c>
      <c r="J11" t="s">
        <v>43</v>
      </c>
      <c r="K11" t="s">
        <v>51</v>
      </c>
      <c r="L11" s="25">
        <f t="shared" si="2"/>
        <v>0.25837860564342796</v>
      </c>
      <c r="M11" s="24">
        <f t="shared" si="3"/>
        <v>2337721000</v>
      </c>
      <c r="N11" s="25">
        <f t="shared" si="0"/>
        <v>9.5873882044821113E-2</v>
      </c>
      <c r="O11" s="24">
        <f t="shared" si="1"/>
        <v>867434000</v>
      </c>
      <c r="Q11" t="s">
        <v>600</v>
      </c>
      <c r="R11" s="24">
        <f>_xlfn.QUARTILE.INC(O3:O166, 3)</f>
        <v>4398000000</v>
      </c>
      <c r="S11" s="24">
        <f>_xlfn.QUARTILE.INC(O167:O356, 3)</f>
        <v>2727250000</v>
      </c>
      <c r="T11" s="24">
        <f>_xlfn.QUARTILE.INC(O3:O357, 3)</f>
        <v>3762000000</v>
      </c>
    </row>
    <row r="12" spans="1:20" x14ac:dyDescent="0.3">
      <c r="A12" t="s">
        <v>50</v>
      </c>
      <c r="B12">
        <v>2</v>
      </c>
      <c r="C12">
        <v>2014</v>
      </c>
      <c r="D12" s="1">
        <v>42004</v>
      </c>
      <c r="E12" s="24">
        <v>10381653000</v>
      </c>
      <c r="F12" s="24">
        <v>8093563000</v>
      </c>
      <c r="G12" s="24">
        <v>0</v>
      </c>
      <c r="H12" s="24">
        <v>0</v>
      </c>
      <c r="I12" s="24">
        <v>1485558000</v>
      </c>
      <c r="J12" t="s">
        <v>43</v>
      </c>
      <c r="K12" t="s">
        <v>51</v>
      </c>
      <c r="L12" s="25">
        <f t="shared" si="2"/>
        <v>0.22039746464267296</v>
      </c>
      <c r="M12" s="24">
        <f t="shared" si="3"/>
        <v>2288090000</v>
      </c>
      <c r="N12" s="25">
        <f t="shared" si="0"/>
        <v>7.7302911203061792E-2</v>
      </c>
      <c r="O12" s="24">
        <f t="shared" si="1"/>
        <v>802532000</v>
      </c>
      <c r="Q12" s="24"/>
    </row>
    <row r="13" spans="1:20" x14ac:dyDescent="0.3">
      <c r="A13" t="s">
        <v>50</v>
      </c>
      <c r="B13">
        <v>3</v>
      </c>
      <c r="C13">
        <v>2015</v>
      </c>
      <c r="D13" s="1">
        <v>42369</v>
      </c>
      <c r="E13" s="24">
        <v>10325494000</v>
      </c>
      <c r="F13" s="24">
        <v>8666624000</v>
      </c>
      <c r="G13" s="24">
        <v>0</v>
      </c>
      <c r="H13" s="24">
        <v>0</v>
      </c>
      <c r="I13" s="24">
        <v>1402573000</v>
      </c>
      <c r="J13" t="s">
        <v>43</v>
      </c>
      <c r="K13" t="s">
        <v>51</v>
      </c>
      <c r="L13" s="25">
        <f t="shared" si="2"/>
        <v>0.16065768862971597</v>
      </c>
      <c r="M13" s="24">
        <f t="shared" si="3"/>
        <v>1658870000</v>
      </c>
      <c r="N13" s="25">
        <f t="shared" si="0"/>
        <v>2.4821766396842609E-2</v>
      </c>
      <c r="O13" s="24">
        <f t="shared" si="1"/>
        <v>256297000</v>
      </c>
    </row>
    <row r="14" spans="1:20" x14ac:dyDescent="0.3">
      <c r="A14" t="s">
        <v>50</v>
      </c>
      <c r="B14">
        <v>4</v>
      </c>
      <c r="C14">
        <v>2016</v>
      </c>
      <c r="D14" s="1">
        <v>42735</v>
      </c>
      <c r="E14" s="24">
        <v>7531780000</v>
      </c>
      <c r="F14" s="24">
        <v>5251228000</v>
      </c>
      <c r="G14" s="24">
        <v>0</v>
      </c>
      <c r="H14" s="24">
        <v>0</v>
      </c>
      <c r="I14" s="24">
        <v>1351314000</v>
      </c>
      <c r="J14" t="s">
        <v>43</v>
      </c>
      <c r="K14" t="s">
        <v>51</v>
      </c>
      <c r="L14" s="25">
        <f t="shared" si="2"/>
        <v>0.30279057540183063</v>
      </c>
      <c r="M14" s="24">
        <f t="shared" si="3"/>
        <v>2280552000</v>
      </c>
      <c r="N14" s="25">
        <f t="shared" si="0"/>
        <v>0.12337561638815792</v>
      </c>
      <c r="O14" s="24">
        <f t="shared" si="1"/>
        <v>929238000</v>
      </c>
    </row>
    <row r="15" spans="1:20" x14ac:dyDescent="0.3">
      <c r="A15" t="s">
        <v>58</v>
      </c>
      <c r="B15">
        <v>1</v>
      </c>
      <c r="C15">
        <v>2012</v>
      </c>
      <c r="D15" s="1">
        <v>41274</v>
      </c>
      <c r="E15" s="24">
        <v>33315000000</v>
      </c>
      <c r="F15" s="24">
        <v>21618000000</v>
      </c>
      <c r="G15" s="24">
        <v>0</v>
      </c>
      <c r="H15" s="24">
        <v>0</v>
      </c>
      <c r="I15" s="24">
        <v>8002000000</v>
      </c>
      <c r="J15" t="s">
        <v>43</v>
      </c>
      <c r="K15" t="s">
        <v>46</v>
      </c>
      <c r="L15" s="25">
        <f t="shared" si="2"/>
        <v>0.35110310670868983</v>
      </c>
      <c r="M15" s="24">
        <f t="shared" si="3"/>
        <v>11697000000</v>
      </c>
      <c r="N15" s="25">
        <f t="shared" si="0"/>
        <v>0.11091100105057781</v>
      </c>
      <c r="O15" s="24">
        <f t="shared" si="1"/>
        <v>3695000000</v>
      </c>
    </row>
    <row r="16" spans="1:20" x14ac:dyDescent="0.3">
      <c r="A16" t="s">
        <v>58</v>
      </c>
      <c r="B16">
        <v>2</v>
      </c>
      <c r="C16">
        <v>2013</v>
      </c>
      <c r="D16" s="1">
        <v>41639</v>
      </c>
      <c r="E16" s="24">
        <v>34507000000</v>
      </c>
      <c r="F16" s="24">
        <v>19828000000</v>
      </c>
      <c r="G16" s="24">
        <v>1278000000</v>
      </c>
      <c r="H16" s="24">
        <v>0</v>
      </c>
      <c r="I16" s="24">
        <v>8389000000</v>
      </c>
      <c r="J16" t="s">
        <v>43</v>
      </c>
      <c r="K16" t="s">
        <v>46</v>
      </c>
      <c r="L16" s="25">
        <f t="shared" si="2"/>
        <v>0.42539194945952996</v>
      </c>
      <c r="M16" s="24">
        <f t="shared" si="3"/>
        <v>14679000000</v>
      </c>
      <c r="N16" s="25">
        <f t="shared" si="0"/>
        <v>0.1452458921378271</v>
      </c>
      <c r="O16" s="24">
        <f t="shared" si="1"/>
        <v>5012000000</v>
      </c>
    </row>
    <row r="17" spans="1:18" x14ac:dyDescent="0.3">
      <c r="A17" t="s">
        <v>58</v>
      </c>
      <c r="B17">
        <v>3</v>
      </c>
      <c r="C17">
        <v>2014</v>
      </c>
      <c r="D17" s="1">
        <v>42004</v>
      </c>
      <c r="E17" s="24">
        <v>35239000000</v>
      </c>
      <c r="F17" s="24">
        <v>21193000000</v>
      </c>
      <c r="G17" s="24">
        <v>919000000</v>
      </c>
      <c r="H17" s="24">
        <v>0</v>
      </c>
      <c r="I17" s="24">
        <v>8476000000</v>
      </c>
      <c r="J17" t="s">
        <v>43</v>
      </c>
      <c r="K17" t="s">
        <v>46</v>
      </c>
      <c r="L17" s="25">
        <f t="shared" si="2"/>
        <v>0.3985924685717529</v>
      </c>
      <c r="M17" s="24">
        <f t="shared" si="3"/>
        <v>14046000000</v>
      </c>
      <c r="N17" s="25">
        <f t="shared" si="0"/>
        <v>0.13198444904792986</v>
      </c>
      <c r="O17" s="24">
        <f t="shared" si="1"/>
        <v>4651000000</v>
      </c>
    </row>
    <row r="18" spans="1:18" x14ac:dyDescent="0.3">
      <c r="A18" t="s">
        <v>58</v>
      </c>
      <c r="B18">
        <v>4</v>
      </c>
      <c r="C18">
        <v>2015</v>
      </c>
      <c r="D18" s="1">
        <v>42369</v>
      </c>
      <c r="E18" s="24">
        <v>35653000000</v>
      </c>
      <c r="F18" s="24">
        <v>22837000000</v>
      </c>
      <c r="G18" s="24">
        <v>761000000</v>
      </c>
      <c r="H18" s="24">
        <v>0</v>
      </c>
      <c r="I18" s="24">
        <v>8445000000</v>
      </c>
      <c r="J18" t="s">
        <v>43</v>
      </c>
      <c r="K18" t="s">
        <v>46</v>
      </c>
      <c r="L18" s="25">
        <f t="shared" si="2"/>
        <v>0.35946484166830284</v>
      </c>
      <c r="M18" s="24">
        <f t="shared" si="3"/>
        <v>12816000000</v>
      </c>
      <c r="N18" s="25">
        <f t="shared" si="0"/>
        <v>0.10125375143746669</v>
      </c>
      <c r="O18" s="24">
        <f t="shared" si="1"/>
        <v>3610000000</v>
      </c>
      <c r="Q18" cm="1">
        <f t="array" ref="Q18:Q23">_xlfn.UNIQUE(C3:C356)</f>
        <v>2012</v>
      </c>
      <c r="R18">
        <f>COUNTIF($C$3:$C$356, Q18)</f>
        <v>59</v>
      </c>
    </row>
    <row r="19" spans="1:18" x14ac:dyDescent="0.3">
      <c r="A19" t="s">
        <v>68</v>
      </c>
      <c r="B19">
        <v>1</v>
      </c>
      <c r="C19">
        <v>2012</v>
      </c>
      <c r="D19" s="1">
        <v>41274</v>
      </c>
      <c r="E19" s="24">
        <v>10259000000</v>
      </c>
      <c r="F19" s="24">
        <v>1899000000</v>
      </c>
      <c r="G19" s="24">
        <v>3927000000</v>
      </c>
      <c r="H19" s="24">
        <v>0</v>
      </c>
      <c r="I19" s="24">
        <v>2877000000</v>
      </c>
      <c r="J19" t="s">
        <v>43</v>
      </c>
      <c r="K19" t="s">
        <v>69</v>
      </c>
      <c r="L19" s="25">
        <f t="shared" si="2"/>
        <v>0.8148942392046008</v>
      </c>
      <c r="M19" s="24">
        <f t="shared" si="3"/>
        <v>8360000000</v>
      </c>
      <c r="N19" s="25">
        <f t="shared" si="0"/>
        <v>0.15167170289501899</v>
      </c>
      <c r="O19" s="24">
        <f t="shared" si="1"/>
        <v>1556000000</v>
      </c>
      <c r="Q19">
        <v>2013</v>
      </c>
      <c r="R19">
        <f t="shared" ref="R19:R23" si="4">COUNTIF($C$3:$C$356, Q19)</f>
        <v>88</v>
      </c>
    </row>
    <row r="20" spans="1:18" x14ac:dyDescent="0.3">
      <c r="A20" t="s">
        <v>68</v>
      </c>
      <c r="B20">
        <v>2</v>
      </c>
      <c r="C20">
        <v>2013</v>
      </c>
      <c r="D20" s="1">
        <v>41639</v>
      </c>
      <c r="E20" s="24">
        <v>11230000000</v>
      </c>
      <c r="F20" s="24">
        <v>1954000000</v>
      </c>
      <c r="G20" s="24">
        <v>3862000000</v>
      </c>
      <c r="H20" s="24">
        <v>0</v>
      </c>
      <c r="I20" s="24">
        <v>3132000000</v>
      </c>
      <c r="J20" t="s">
        <v>43</v>
      </c>
      <c r="K20" t="s">
        <v>69</v>
      </c>
      <c r="L20" s="25">
        <f t="shared" si="2"/>
        <v>0.8260017809439002</v>
      </c>
      <c r="M20" s="24">
        <f t="shared" si="3"/>
        <v>9276000000</v>
      </c>
      <c r="N20" s="25">
        <f t="shared" si="0"/>
        <v>0.20320569902048086</v>
      </c>
      <c r="O20" s="24">
        <f t="shared" si="1"/>
        <v>2282000000</v>
      </c>
      <c r="Q20">
        <v>2014</v>
      </c>
      <c r="R20">
        <f t="shared" si="4"/>
        <v>88</v>
      </c>
    </row>
    <row r="21" spans="1:18" x14ac:dyDescent="0.3">
      <c r="A21" t="s">
        <v>68</v>
      </c>
      <c r="B21">
        <v>3</v>
      </c>
      <c r="C21">
        <v>2014</v>
      </c>
      <c r="D21" s="1">
        <v>42004</v>
      </c>
      <c r="E21" s="24">
        <v>12296000000</v>
      </c>
      <c r="F21" s="24">
        <v>1982000000</v>
      </c>
      <c r="G21" s="24">
        <v>3808000000</v>
      </c>
      <c r="H21" s="24">
        <v>0</v>
      </c>
      <c r="I21" s="24">
        <v>3603000000</v>
      </c>
      <c r="J21" t="s">
        <v>43</v>
      </c>
      <c r="K21" t="s">
        <v>69</v>
      </c>
      <c r="L21" s="25">
        <f t="shared" si="2"/>
        <v>0.83880936890045543</v>
      </c>
      <c r="M21" s="24">
        <f t="shared" si="3"/>
        <v>10314000000</v>
      </c>
      <c r="N21" s="25">
        <f t="shared" si="0"/>
        <v>0.23609303838646714</v>
      </c>
      <c r="O21" s="24">
        <f t="shared" si="1"/>
        <v>2903000000</v>
      </c>
      <c r="Q21">
        <v>2015</v>
      </c>
      <c r="R21">
        <f t="shared" si="4"/>
        <v>87</v>
      </c>
    </row>
    <row r="22" spans="1:18" x14ac:dyDescent="0.3">
      <c r="A22" t="s">
        <v>68</v>
      </c>
      <c r="B22">
        <v>4</v>
      </c>
      <c r="C22">
        <v>2015</v>
      </c>
      <c r="D22" s="1">
        <v>42369</v>
      </c>
      <c r="E22" s="24">
        <v>12200000000</v>
      </c>
      <c r="F22" s="24">
        <v>2261000000</v>
      </c>
      <c r="G22" s="24">
        <v>3750000000</v>
      </c>
      <c r="H22" s="24">
        <v>0</v>
      </c>
      <c r="I22" s="24">
        <v>3630000000</v>
      </c>
      <c r="J22" t="s">
        <v>43</v>
      </c>
      <c r="K22" t="s">
        <v>69</v>
      </c>
      <c r="L22" s="25">
        <f t="shared" si="2"/>
        <v>0.814672131147541</v>
      </c>
      <c r="M22" s="24">
        <f t="shared" si="3"/>
        <v>9939000000</v>
      </c>
      <c r="N22" s="25">
        <f t="shared" si="0"/>
        <v>0.20975409836065573</v>
      </c>
      <c r="O22" s="24">
        <f t="shared" si="1"/>
        <v>2559000000</v>
      </c>
      <c r="Q22">
        <v>2016</v>
      </c>
      <c r="R22">
        <f t="shared" si="4"/>
        <v>31</v>
      </c>
    </row>
    <row r="23" spans="1:18" x14ac:dyDescent="0.3">
      <c r="A23" t="s">
        <v>95</v>
      </c>
      <c r="B23">
        <v>1</v>
      </c>
      <c r="C23">
        <v>2012</v>
      </c>
      <c r="D23" s="1">
        <v>41274</v>
      </c>
      <c r="E23" s="24">
        <v>33781000000</v>
      </c>
      <c r="F23" s="24">
        <v>480000000</v>
      </c>
      <c r="G23" s="24">
        <v>23392000000</v>
      </c>
      <c r="H23" s="24">
        <v>0</v>
      </c>
      <c r="I23" s="24">
        <v>1712000000</v>
      </c>
      <c r="J23" t="s">
        <v>43</v>
      </c>
      <c r="K23" t="s">
        <v>96</v>
      </c>
      <c r="L23" s="25">
        <f t="shared" si="2"/>
        <v>0.98579082916432315</v>
      </c>
      <c r="M23" s="24">
        <f t="shared" si="3"/>
        <v>33301000000</v>
      </c>
      <c r="N23" s="25">
        <f t="shared" si="0"/>
        <v>0.24265119445842337</v>
      </c>
      <c r="O23" s="24">
        <f t="shared" si="1"/>
        <v>8197000000</v>
      </c>
      <c r="Q23">
        <v>2017</v>
      </c>
      <c r="R23">
        <f t="shared" si="4"/>
        <v>1</v>
      </c>
    </row>
    <row r="24" spans="1:18" x14ac:dyDescent="0.3">
      <c r="A24" t="s">
        <v>95</v>
      </c>
      <c r="B24">
        <v>2</v>
      </c>
      <c r="C24">
        <v>2013</v>
      </c>
      <c r="D24" s="1">
        <v>41639</v>
      </c>
      <c r="E24" s="24">
        <v>34828000000</v>
      </c>
      <c r="F24" s="24">
        <v>442000000</v>
      </c>
      <c r="G24" s="24">
        <v>23150000000</v>
      </c>
      <c r="H24" s="24">
        <v>0</v>
      </c>
      <c r="I24" s="24">
        <v>1832000000</v>
      </c>
      <c r="J24" t="s">
        <v>43</v>
      </c>
      <c r="K24" t="s">
        <v>96</v>
      </c>
      <c r="L24" s="25">
        <f t="shared" si="2"/>
        <v>0.98730906167451471</v>
      </c>
      <c r="M24" s="24">
        <f t="shared" si="3"/>
        <v>34386000000</v>
      </c>
      <c r="N24" s="25">
        <f t="shared" si="0"/>
        <v>0.27001263351326521</v>
      </c>
      <c r="O24" s="24">
        <f t="shared" si="1"/>
        <v>9404000000</v>
      </c>
    </row>
    <row r="25" spans="1:18" x14ac:dyDescent="0.3">
      <c r="A25" t="s">
        <v>95</v>
      </c>
      <c r="B25">
        <v>3</v>
      </c>
      <c r="C25">
        <v>2014</v>
      </c>
      <c r="D25" s="1">
        <v>42004</v>
      </c>
      <c r="E25" s="24">
        <v>35895000000</v>
      </c>
      <c r="F25" s="24">
        <v>373000000</v>
      </c>
      <c r="G25" s="24">
        <v>23153000000</v>
      </c>
      <c r="H25" s="24">
        <v>0</v>
      </c>
      <c r="I25" s="24">
        <v>2044000000</v>
      </c>
      <c r="J25" t="s">
        <v>43</v>
      </c>
      <c r="K25" t="s">
        <v>96</v>
      </c>
      <c r="L25" s="25">
        <f t="shared" si="2"/>
        <v>0.98960858058225376</v>
      </c>
      <c r="M25" s="24">
        <f t="shared" si="3"/>
        <v>35522000000</v>
      </c>
      <c r="N25" s="25">
        <f t="shared" si="0"/>
        <v>0.28764451873519986</v>
      </c>
      <c r="O25" s="24">
        <f t="shared" si="1"/>
        <v>10325000000</v>
      </c>
    </row>
    <row r="26" spans="1:18" x14ac:dyDescent="0.3">
      <c r="A26" t="s">
        <v>95</v>
      </c>
      <c r="B26">
        <v>4</v>
      </c>
      <c r="C26">
        <v>2015</v>
      </c>
      <c r="D26" s="1">
        <v>42369</v>
      </c>
      <c r="E26" s="24">
        <v>34441000000</v>
      </c>
      <c r="F26" s="24">
        <v>475000000</v>
      </c>
      <c r="G26" s="24">
        <v>22892000000</v>
      </c>
      <c r="H26" s="24">
        <v>0</v>
      </c>
      <c r="I26" s="24">
        <v>1988000000</v>
      </c>
      <c r="J26" t="s">
        <v>43</v>
      </c>
      <c r="K26" t="s">
        <v>96</v>
      </c>
      <c r="L26" s="25">
        <f t="shared" si="2"/>
        <v>0.98620829824917977</v>
      </c>
      <c r="M26" s="24">
        <f t="shared" si="3"/>
        <v>33966000000</v>
      </c>
      <c r="N26" s="25">
        <f t="shared" si="0"/>
        <v>0.26381347812200573</v>
      </c>
      <c r="O26" s="24">
        <f t="shared" si="1"/>
        <v>9086000000</v>
      </c>
    </row>
    <row r="27" spans="1:18" x14ac:dyDescent="0.3">
      <c r="A27" t="s">
        <v>100</v>
      </c>
      <c r="B27">
        <v>1</v>
      </c>
      <c r="C27">
        <v>2012</v>
      </c>
      <c r="D27" s="1">
        <v>41274</v>
      </c>
      <c r="E27" s="24">
        <v>100078000000</v>
      </c>
      <c r="F27" s="24">
        <v>3753000000</v>
      </c>
      <c r="G27" s="24">
        <v>70829000000</v>
      </c>
      <c r="H27" s="24">
        <v>0</v>
      </c>
      <c r="I27" s="24">
        <v>9433000000</v>
      </c>
      <c r="J27" t="s">
        <v>43</v>
      </c>
      <c r="K27" t="s">
        <v>101</v>
      </c>
      <c r="L27" s="25">
        <f t="shared" si="2"/>
        <v>0.962499250584544</v>
      </c>
      <c r="M27" s="24">
        <f t="shared" si="3"/>
        <v>96325000000</v>
      </c>
      <c r="N27" s="25">
        <f t="shared" si="0"/>
        <v>0.16050480625112412</v>
      </c>
      <c r="O27" s="24">
        <f t="shared" si="1"/>
        <v>16063000000</v>
      </c>
    </row>
    <row r="28" spans="1:18" x14ac:dyDescent="0.3">
      <c r="A28" t="s">
        <v>100</v>
      </c>
      <c r="B28">
        <v>2</v>
      </c>
      <c r="C28">
        <v>2013</v>
      </c>
      <c r="D28" s="1">
        <v>41639</v>
      </c>
      <c r="E28" s="24">
        <v>101697000000</v>
      </c>
      <c r="F28" s="24">
        <v>3034000000</v>
      </c>
      <c r="G28" s="24">
        <v>68128000000</v>
      </c>
      <c r="H28" s="24">
        <v>0</v>
      </c>
      <c r="I28" s="24">
        <v>4642000000</v>
      </c>
      <c r="J28" t="s">
        <v>43</v>
      </c>
      <c r="K28" t="s">
        <v>101</v>
      </c>
      <c r="L28" s="25">
        <f t="shared" si="2"/>
        <v>0.97016627825796242</v>
      </c>
      <c r="M28" s="24">
        <f t="shared" si="3"/>
        <v>98663000000</v>
      </c>
      <c r="N28" s="25">
        <f t="shared" si="0"/>
        <v>0.25460928050974957</v>
      </c>
      <c r="O28" s="24">
        <f t="shared" si="1"/>
        <v>25893000000</v>
      </c>
    </row>
    <row r="29" spans="1:18" x14ac:dyDescent="0.3">
      <c r="A29" t="s">
        <v>100</v>
      </c>
      <c r="B29">
        <v>3</v>
      </c>
      <c r="C29">
        <v>2014</v>
      </c>
      <c r="D29" s="1">
        <v>42004</v>
      </c>
      <c r="E29" s="24">
        <v>95181000000</v>
      </c>
      <c r="F29" s="24">
        <v>2656000000</v>
      </c>
      <c r="G29" s="24">
        <v>74181000000</v>
      </c>
      <c r="H29" s="24">
        <v>0</v>
      </c>
      <c r="I29" s="24">
        <v>3211000000</v>
      </c>
      <c r="J29" t="s">
        <v>43</v>
      </c>
      <c r="K29" t="s">
        <v>101</v>
      </c>
      <c r="L29" s="25">
        <f t="shared" si="2"/>
        <v>0.97209527111503347</v>
      </c>
      <c r="M29" s="24">
        <f t="shared" si="3"/>
        <v>92525000000</v>
      </c>
      <c r="N29" s="25">
        <f t="shared" si="0"/>
        <v>0.15899181559344827</v>
      </c>
      <c r="O29" s="24">
        <f t="shared" si="1"/>
        <v>15133000000</v>
      </c>
    </row>
    <row r="30" spans="1:18" x14ac:dyDescent="0.3">
      <c r="A30" t="s">
        <v>100</v>
      </c>
      <c r="B30">
        <v>4</v>
      </c>
      <c r="C30">
        <v>2015</v>
      </c>
      <c r="D30" s="1">
        <v>42369</v>
      </c>
      <c r="E30" s="24">
        <v>93056000000</v>
      </c>
      <c r="F30" s="24">
        <v>2204000000</v>
      </c>
      <c r="G30" s="24">
        <v>56358000000</v>
      </c>
      <c r="H30" s="24">
        <v>0</v>
      </c>
      <c r="I30" s="24">
        <v>3995000000</v>
      </c>
      <c r="J30" t="s">
        <v>43</v>
      </c>
      <c r="K30" t="s">
        <v>101</v>
      </c>
      <c r="L30" s="25">
        <f t="shared" si="2"/>
        <v>0.97631533700137552</v>
      </c>
      <c r="M30" s="24">
        <f t="shared" si="3"/>
        <v>90852000000</v>
      </c>
      <c r="N30" s="25">
        <f t="shared" si="0"/>
        <v>0.3277488823933975</v>
      </c>
      <c r="O30" s="24">
        <f t="shared" si="1"/>
        <v>30499000000</v>
      </c>
    </row>
    <row r="31" spans="1:18" x14ac:dyDescent="0.3">
      <c r="A31" t="s">
        <v>104</v>
      </c>
      <c r="B31">
        <v>1</v>
      </c>
      <c r="C31">
        <v>2012</v>
      </c>
      <c r="D31" s="1">
        <v>41274</v>
      </c>
      <c r="E31" s="24">
        <v>10737000000</v>
      </c>
      <c r="F31" s="24">
        <v>429000000</v>
      </c>
      <c r="G31" s="24">
        <v>5650000000</v>
      </c>
      <c r="H31" s="24">
        <v>0</v>
      </c>
      <c r="I31" s="24">
        <v>1167000000</v>
      </c>
      <c r="J31" t="s">
        <v>43</v>
      </c>
      <c r="K31" t="s">
        <v>101</v>
      </c>
      <c r="L31" s="25">
        <f t="shared" si="2"/>
        <v>0.96004470522492313</v>
      </c>
      <c r="M31" s="24">
        <f t="shared" si="3"/>
        <v>10308000000</v>
      </c>
      <c r="N31" s="25">
        <f t="shared" si="0"/>
        <v>0.32513737543075349</v>
      </c>
      <c r="O31" s="24">
        <f t="shared" si="1"/>
        <v>3491000000</v>
      </c>
    </row>
    <row r="32" spans="1:18" x14ac:dyDescent="0.3">
      <c r="A32" t="s">
        <v>104</v>
      </c>
      <c r="B32">
        <v>2</v>
      </c>
      <c r="C32">
        <v>2013</v>
      </c>
      <c r="D32" s="1">
        <v>41639</v>
      </c>
      <c r="E32" s="24">
        <v>10543000000</v>
      </c>
      <c r="F32" s="24">
        <v>301000000</v>
      </c>
      <c r="G32" s="24">
        <v>5625000000</v>
      </c>
      <c r="H32" s="24">
        <v>0</v>
      </c>
      <c r="I32" s="24">
        <v>698000000</v>
      </c>
      <c r="J32" t="s">
        <v>43</v>
      </c>
      <c r="K32" t="s">
        <v>101</v>
      </c>
      <c r="L32" s="25">
        <f t="shared" si="2"/>
        <v>0.97145025135160767</v>
      </c>
      <c r="M32" s="24">
        <f t="shared" si="3"/>
        <v>10242000000</v>
      </c>
      <c r="N32" s="25">
        <f t="shared" si="0"/>
        <v>0.37171583040880207</v>
      </c>
      <c r="O32" s="24">
        <f t="shared" si="1"/>
        <v>3919000000</v>
      </c>
    </row>
    <row r="33" spans="1:17" x14ac:dyDescent="0.3">
      <c r="A33" t="s">
        <v>104</v>
      </c>
      <c r="B33">
        <v>3</v>
      </c>
      <c r="C33">
        <v>2014</v>
      </c>
      <c r="D33" s="1">
        <v>42004</v>
      </c>
      <c r="E33" s="24">
        <v>9998000000</v>
      </c>
      <c r="F33" s="24">
        <v>239000000</v>
      </c>
      <c r="G33" s="24">
        <v>5715000000</v>
      </c>
      <c r="H33" s="24">
        <v>0</v>
      </c>
      <c r="I33" s="24">
        <v>342000000</v>
      </c>
      <c r="J33" t="s">
        <v>43</v>
      </c>
      <c r="K33" t="s">
        <v>101</v>
      </c>
      <c r="L33" s="25">
        <f t="shared" si="2"/>
        <v>0.9760952190438088</v>
      </c>
      <c r="M33" s="24">
        <f t="shared" si="3"/>
        <v>9759000000</v>
      </c>
      <c r="N33" s="25">
        <f t="shared" si="0"/>
        <v>0.37027405481096221</v>
      </c>
      <c r="O33" s="24">
        <f t="shared" si="1"/>
        <v>3702000000</v>
      </c>
    </row>
    <row r="34" spans="1:17" x14ac:dyDescent="0.3">
      <c r="A34" t="s">
        <v>104</v>
      </c>
      <c r="B34">
        <v>4</v>
      </c>
      <c r="C34">
        <v>2015</v>
      </c>
      <c r="D34" s="1">
        <v>42369</v>
      </c>
      <c r="E34" s="24">
        <v>10346000000</v>
      </c>
      <c r="F34" s="24">
        <v>233000000</v>
      </c>
      <c r="G34" s="24">
        <v>5996000000</v>
      </c>
      <c r="H34" s="24">
        <v>0</v>
      </c>
      <c r="I34" s="24">
        <v>533000000</v>
      </c>
      <c r="J34" t="s">
        <v>43</v>
      </c>
      <c r="K34" t="s">
        <v>101</v>
      </c>
      <c r="L34" s="25">
        <f t="shared" si="2"/>
        <v>0.9774792190218442</v>
      </c>
      <c r="M34" s="24">
        <f t="shared" si="3"/>
        <v>10113000000</v>
      </c>
      <c r="N34" s="25">
        <f t="shared" si="0"/>
        <v>0.34641407307171856</v>
      </c>
      <c r="O34" s="24">
        <f t="shared" si="1"/>
        <v>3584000000</v>
      </c>
      <c r="Q34" s="24"/>
    </row>
    <row r="35" spans="1:17" x14ac:dyDescent="0.3">
      <c r="A35" t="s">
        <v>124</v>
      </c>
      <c r="B35">
        <v>1</v>
      </c>
      <c r="C35">
        <v>2012</v>
      </c>
      <c r="D35" s="1">
        <v>41274</v>
      </c>
      <c r="E35" s="24">
        <v>17936000000</v>
      </c>
      <c r="F35" s="24">
        <v>12620000000</v>
      </c>
      <c r="G35" s="24">
        <v>2096000000</v>
      </c>
      <c r="H35" s="24">
        <v>0</v>
      </c>
      <c r="I35" s="24">
        <v>-6000000</v>
      </c>
      <c r="J35" t="s">
        <v>43</v>
      </c>
      <c r="K35" t="s">
        <v>46</v>
      </c>
      <c r="L35" s="25">
        <f t="shared" si="2"/>
        <v>0.29638715432649421</v>
      </c>
      <c r="M35" s="24">
        <f t="shared" si="3"/>
        <v>5316000000</v>
      </c>
      <c r="N35" s="25">
        <f t="shared" si="0"/>
        <v>0.17986173059768065</v>
      </c>
      <c r="O35" s="24">
        <f t="shared" si="1"/>
        <v>3226000000</v>
      </c>
      <c r="Q35" s="24"/>
    </row>
    <row r="36" spans="1:17" x14ac:dyDescent="0.3">
      <c r="A36" t="s">
        <v>124</v>
      </c>
      <c r="B36">
        <v>2</v>
      </c>
      <c r="C36">
        <v>2013</v>
      </c>
      <c r="D36" s="1">
        <v>41639</v>
      </c>
      <c r="E36" s="24">
        <v>19261000000</v>
      </c>
      <c r="F36" s="24">
        <v>12522000000</v>
      </c>
      <c r="G36" s="24">
        <v>2211000000</v>
      </c>
      <c r="H36" s="24">
        <v>0</v>
      </c>
      <c r="I36" s="24">
        <v>15000000</v>
      </c>
      <c r="J36" t="s">
        <v>43</v>
      </c>
      <c r="K36" t="s">
        <v>46</v>
      </c>
      <c r="L36" s="25">
        <f t="shared" si="2"/>
        <v>0.34987799179689527</v>
      </c>
      <c r="M36" s="24">
        <f t="shared" si="3"/>
        <v>6739000000</v>
      </c>
      <c r="N36" s="25">
        <f t="shared" si="0"/>
        <v>0.2343076683453611</v>
      </c>
      <c r="O36" s="24">
        <f t="shared" si="1"/>
        <v>4513000000</v>
      </c>
      <c r="Q36" s="24"/>
    </row>
    <row r="37" spans="1:17" x14ac:dyDescent="0.3">
      <c r="A37" t="s">
        <v>124</v>
      </c>
      <c r="B37">
        <v>3</v>
      </c>
      <c r="C37">
        <v>2014</v>
      </c>
      <c r="D37" s="1">
        <v>42004</v>
      </c>
      <c r="E37" s="24">
        <v>19171000000</v>
      </c>
      <c r="F37" s="24">
        <v>13241000000</v>
      </c>
      <c r="G37" s="24">
        <v>2245000000</v>
      </c>
      <c r="H37" s="24">
        <v>0</v>
      </c>
      <c r="I37" s="24">
        <v>-82000000</v>
      </c>
      <c r="J37" t="s">
        <v>43</v>
      </c>
      <c r="K37" t="s">
        <v>46</v>
      </c>
      <c r="L37" s="25">
        <f t="shared" si="2"/>
        <v>0.30932137082051014</v>
      </c>
      <c r="M37" s="24">
        <f t="shared" si="3"/>
        <v>5930000000</v>
      </c>
      <c r="N37" s="25">
        <f t="shared" si="0"/>
        <v>0.19649470554483334</v>
      </c>
      <c r="O37" s="24">
        <f t="shared" si="1"/>
        <v>3767000000</v>
      </c>
      <c r="Q37" s="24"/>
    </row>
    <row r="38" spans="1:17" x14ac:dyDescent="0.3">
      <c r="A38" t="s">
        <v>124</v>
      </c>
      <c r="B38">
        <v>4</v>
      </c>
      <c r="C38">
        <v>2015</v>
      </c>
      <c r="D38" s="1">
        <v>42369</v>
      </c>
      <c r="E38" s="24">
        <v>18987000000</v>
      </c>
      <c r="F38" s="24">
        <v>12968000000</v>
      </c>
      <c r="G38" s="24">
        <v>2270000000</v>
      </c>
      <c r="H38" s="24">
        <v>0</v>
      </c>
      <c r="I38" s="24">
        <v>120000000</v>
      </c>
      <c r="J38" t="s">
        <v>43</v>
      </c>
      <c r="K38" t="s">
        <v>46</v>
      </c>
      <c r="L38" s="25">
        <f t="shared" si="2"/>
        <v>0.31700637278137678</v>
      </c>
      <c r="M38" s="24">
        <f t="shared" si="3"/>
        <v>6019000000</v>
      </c>
      <c r="N38" s="25">
        <f t="shared" si="0"/>
        <v>0.1911307736872597</v>
      </c>
      <c r="O38" s="24">
        <f t="shared" si="1"/>
        <v>3629000000</v>
      </c>
    </row>
    <row r="39" spans="1:17" x14ac:dyDescent="0.3">
      <c r="A39" t="s">
        <v>135</v>
      </c>
      <c r="B39">
        <v>1</v>
      </c>
      <c r="C39">
        <v>2012</v>
      </c>
      <c r="D39" s="1">
        <v>41274</v>
      </c>
      <c r="E39" s="24">
        <v>5513000000</v>
      </c>
      <c r="F39" s="24">
        <v>375000000</v>
      </c>
      <c r="G39" s="24">
        <v>3380000000</v>
      </c>
      <c r="H39" s="24">
        <v>0</v>
      </c>
      <c r="I39" s="24">
        <v>490000000</v>
      </c>
      <c r="J39" t="s">
        <v>43</v>
      </c>
      <c r="K39" t="s">
        <v>136</v>
      </c>
      <c r="L39" s="25">
        <f t="shared" si="2"/>
        <v>0.93197895882459636</v>
      </c>
      <c r="M39" s="24">
        <f t="shared" si="3"/>
        <v>5138000000</v>
      </c>
      <c r="N39" s="25">
        <f t="shared" si="0"/>
        <v>0.23000181389443133</v>
      </c>
      <c r="O39" s="24">
        <f t="shared" si="1"/>
        <v>1268000000</v>
      </c>
    </row>
    <row r="40" spans="1:17" x14ac:dyDescent="0.3">
      <c r="A40" t="s">
        <v>135</v>
      </c>
      <c r="B40">
        <v>2</v>
      </c>
      <c r="C40">
        <v>2013</v>
      </c>
      <c r="D40" s="1">
        <v>41639</v>
      </c>
      <c r="E40" s="24">
        <v>5133000000</v>
      </c>
      <c r="F40" s="24">
        <v>216000000</v>
      </c>
      <c r="G40" s="24">
        <v>3142000000</v>
      </c>
      <c r="H40" s="24">
        <v>0</v>
      </c>
      <c r="I40" s="24">
        <v>581000000</v>
      </c>
      <c r="J40" t="s">
        <v>43</v>
      </c>
      <c r="K40" t="s">
        <v>136</v>
      </c>
      <c r="L40" s="25">
        <f t="shared" si="2"/>
        <v>0.95791934541203971</v>
      </c>
      <c r="M40" s="24">
        <f t="shared" si="3"/>
        <v>4917000000</v>
      </c>
      <c r="N40" s="25">
        <f t="shared" si="0"/>
        <v>0.23261250730566921</v>
      </c>
      <c r="O40" s="24">
        <f t="shared" si="1"/>
        <v>1194000000</v>
      </c>
    </row>
    <row r="41" spans="1:17" x14ac:dyDescent="0.3">
      <c r="A41" t="s">
        <v>135</v>
      </c>
      <c r="B41">
        <v>3</v>
      </c>
      <c r="C41">
        <v>2014</v>
      </c>
      <c r="D41" s="1">
        <v>42004</v>
      </c>
      <c r="E41" s="24">
        <v>5342000000</v>
      </c>
      <c r="F41" s="24">
        <v>160000000</v>
      </c>
      <c r="G41" s="24">
        <v>3247000000</v>
      </c>
      <c r="H41" s="24">
        <v>0</v>
      </c>
      <c r="I41" s="24">
        <v>464000000</v>
      </c>
      <c r="J41" t="s">
        <v>43</v>
      </c>
      <c r="K41" t="s">
        <v>136</v>
      </c>
      <c r="L41" s="25">
        <f t="shared" si="2"/>
        <v>0.97004867090977165</v>
      </c>
      <c r="M41" s="24">
        <f t="shared" si="3"/>
        <v>5182000000</v>
      </c>
      <c r="N41" s="25">
        <f t="shared" si="0"/>
        <v>0.27536503182328714</v>
      </c>
      <c r="O41" s="24">
        <f t="shared" si="1"/>
        <v>1471000000</v>
      </c>
    </row>
    <row r="42" spans="1:17" x14ac:dyDescent="0.3">
      <c r="A42" t="s">
        <v>135</v>
      </c>
      <c r="B42">
        <v>4</v>
      </c>
      <c r="C42">
        <v>2015</v>
      </c>
      <c r="D42" s="1">
        <v>42369</v>
      </c>
      <c r="E42" s="24">
        <v>5276000000</v>
      </c>
      <c r="F42" s="24">
        <v>237000000</v>
      </c>
      <c r="G42" s="24">
        <v>3113000000</v>
      </c>
      <c r="H42" s="24">
        <v>0</v>
      </c>
      <c r="I42" s="24">
        <v>448000000</v>
      </c>
      <c r="J42" t="s">
        <v>43</v>
      </c>
      <c r="K42" t="s">
        <v>136</v>
      </c>
      <c r="L42" s="25">
        <f t="shared" si="2"/>
        <v>0.95507960576194084</v>
      </c>
      <c r="M42" s="24">
        <f t="shared" si="3"/>
        <v>5039000000</v>
      </c>
      <c r="N42" s="25">
        <f t="shared" si="0"/>
        <v>0.28013646702047007</v>
      </c>
      <c r="O42" s="24">
        <f t="shared" si="1"/>
        <v>1478000000</v>
      </c>
    </row>
    <row r="43" spans="1:17" x14ac:dyDescent="0.3">
      <c r="A43" t="s">
        <v>146</v>
      </c>
      <c r="B43">
        <v>1</v>
      </c>
      <c r="C43">
        <v>2012</v>
      </c>
      <c r="D43" s="1">
        <v>41274</v>
      </c>
      <c r="E43" s="24">
        <v>4111000000</v>
      </c>
      <c r="F43" s="24">
        <v>3477000000</v>
      </c>
      <c r="G43" s="24">
        <v>0</v>
      </c>
      <c r="H43" s="24">
        <v>0</v>
      </c>
      <c r="I43" s="24">
        <v>14000000</v>
      </c>
      <c r="J43" t="s">
        <v>43</v>
      </c>
      <c r="K43" t="s">
        <v>46</v>
      </c>
      <c r="L43" s="25">
        <f t="shared" si="2"/>
        <v>0.15422038433471175</v>
      </c>
      <c r="M43" s="24">
        <f t="shared" si="3"/>
        <v>634000000</v>
      </c>
      <c r="N43" s="25">
        <f t="shared" si="0"/>
        <v>0.15081488688883482</v>
      </c>
      <c r="O43" s="24">
        <f t="shared" si="1"/>
        <v>620000000</v>
      </c>
    </row>
    <row r="44" spans="1:17" x14ac:dyDescent="0.3">
      <c r="A44" t="s">
        <v>146</v>
      </c>
      <c r="B44">
        <v>2</v>
      </c>
      <c r="C44">
        <v>2013</v>
      </c>
      <c r="D44" s="1">
        <v>41639</v>
      </c>
      <c r="E44" s="24">
        <v>4531000000</v>
      </c>
      <c r="F44" s="24">
        <v>3748000000</v>
      </c>
      <c r="G44" s="24">
        <v>0</v>
      </c>
      <c r="H44" s="24">
        <v>0</v>
      </c>
      <c r="I44" s="24">
        <v>15000000</v>
      </c>
      <c r="J44" t="s">
        <v>43</v>
      </c>
      <c r="K44" t="s">
        <v>46</v>
      </c>
      <c r="L44" s="25">
        <f t="shared" si="2"/>
        <v>0.17280953431913482</v>
      </c>
      <c r="M44" s="24">
        <f t="shared" si="3"/>
        <v>783000000</v>
      </c>
      <c r="N44" s="25">
        <f t="shared" si="0"/>
        <v>0.16949900684175678</v>
      </c>
      <c r="O44" s="24">
        <f t="shared" si="1"/>
        <v>768000000</v>
      </c>
    </row>
    <row r="45" spans="1:17" x14ac:dyDescent="0.3">
      <c r="A45" t="s">
        <v>146</v>
      </c>
      <c r="B45">
        <v>3</v>
      </c>
      <c r="C45">
        <v>2014</v>
      </c>
      <c r="D45" s="1">
        <v>42004</v>
      </c>
      <c r="E45" s="24">
        <v>4945000000</v>
      </c>
      <c r="F45" s="24">
        <v>4157000000</v>
      </c>
      <c r="G45" s="24">
        <v>0</v>
      </c>
      <c r="H45" s="24">
        <v>0</v>
      </c>
      <c r="I45" s="24">
        <v>14000000</v>
      </c>
      <c r="J45" t="s">
        <v>43</v>
      </c>
      <c r="K45" t="s">
        <v>46</v>
      </c>
      <c r="L45" s="25">
        <f t="shared" si="2"/>
        <v>0.15935288169868556</v>
      </c>
      <c r="M45" s="24">
        <f t="shared" si="3"/>
        <v>788000000</v>
      </c>
      <c r="N45" s="25">
        <f t="shared" si="0"/>
        <v>0.15652173913043479</v>
      </c>
      <c r="O45" s="24">
        <f t="shared" si="1"/>
        <v>774000000</v>
      </c>
    </row>
    <row r="46" spans="1:17" x14ac:dyDescent="0.3">
      <c r="A46" t="s">
        <v>146</v>
      </c>
      <c r="B46">
        <v>4</v>
      </c>
      <c r="C46">
        <v>2015</v>
      </c>
      <c r="D46" s="1">
        <v>42369</v>
      </c>
      <c r="E46" s="24">
        <v>5142000000</v>
      </c>
      <c r="F46" s="24">
        <v>4195000000</v>
      </c>
      <c r="G46" s="24">
        <v>0</v>
      </c>
      <c r="H46" s="24">
        <v>0</v>
      </c>
      <c r="I46" s="24">
        <v>13000000</v>
      </c>
      <c r="J46" t="s">
        <v>43</v>
      </c>
      <c r="K46" t="s">
        <v>46</v>
      </c>
      <c r="L46" s="25">
        <f t="shared" si="2"/>
        <v>0.18416958381952553</v>
      </c>
      <c r="M46" s="24">
        <f t="shared" si="3"/>
        <v>947000000</v>
      </c>
      <c r="N46" s="25">
        <f t="shared" si="0"/>
        <v>0.18164138467522364</v>
      </c>
      <c r="O46" s="24">
        <f t="shared" si="1"/>
        <v>934000000</v>
      </c>
    </row>
    <row r="47" spans="1:17" x14ac:dyDescent="0.3">
      <c r="A47" t="s">
        <v>149</v>
      </c>
      <c r="B47">
        <v>1</v>
      </c>
      <c r="C47">
        <v>2013</v>
      </c>
      <c r="D47" s="1">
        <v>41639</v>
      </c>
      <c r="E47" s="24">
        <v>2666000000</v>
      </c>
      <c r="F47" s="24">
        <v>55000000</v>
      </c>
      <c r="G47" s="24">
        <v>1670000000</v>
      </c>
      <c r="H47" s="24">
        <v>0</v>
      </c>
      <c r="I47" s="24">
        <v>46000000</v>
      </c>
      <c r="J47" t="s">
        <v>43</v>
      </c>
      <c r="K47" t="s">
        <v>136</v>
      </c>
      <c r="L47" s="25">
        <f t="shared" si="2"/>
        <v>0.9793698424606152</v>
      </c>
      <c r="M47" s="24">
        <f t="shared" si="3"/>
        <v>2611000000</v>
      </c>
      <c r="N47" s="25">
        <f t="shared" si="0"/>
        <v>0.33570892723180795</v>
      </c>
      <c r="O47" s="24">
        <f t="shared" si="1"/>
        <v>895000000</v>
      </c>
    </row>
    <row r="48" spans="1:17" x14ac:dyDescent="0.3">
      <c r="A48" t="s">
        <v>149</v>
      </c>
      <c r="B48">
        <v>2</v>
      </c>
      <c r="C48">
        <v>2014</v>
      </c>
      <c r="D48" s="1">
        <v>42004</v>
      </c>
      <c r="E48" s="24">
        <v>2607000000</v>
      </c>
      <c r="F48" s="24">
        <v>45000000</v>
      </c>
      <c r="G48" s="24">
        <v>1611000000</v>
      </c>
      <c r="H48" s="24">
        <v>0</v>
      </c>
      <c r="I48" s="24">
        <v>27000000</v>
      </c>
      <c r="J48" t="s">
        <v>43</v>
      </c>
      <c r="K48" t="s">
        <v>136</v>
      </c>
      <c r="L48" s="25">
        <f t="shared" si="2"/>
        <v>0.98273878020713468</v>
      </c>
      <c r="M48" s="24">
        <f t="shared" si="3"/>
        <v>2562000000</v>
      </c>
      <c r="N48" s="25">
        <f t="shared" si="0"/>
        <v>0.35443037974683544</v>
      </c>
      <c r="O48" s="24">
        <f t="shared" si="1"/>
        <v>924000000</v>
      </c>
    </row>
    <row r="49" spans="1:15" x14ac:dyDescent="0.3">
      <c r="A49" t="s">
        <v>149</v>
      </c>
      <c r="B49">
        <v>3</v>
      </c>
      <c r="C49">
        <v>2015</v>
      </c>
      <c r="D49" s="1">
        <v>42369</v>
      </c>
      <c r="E49" s="24">
        <v>2819000000</v>
      </c>
      <c r="F49" s="24">
        <v>43000000</v>
      </c>
      <c r="G49" s="24">
        <v>1859000000</v>
      </c>
      <c r="H49" s="24">
        <v>0</v>
      </c>
      <c r="I49" s="24">
        <v>147000000</v>
      </c>
      <c r="J49" t="s">
        <v>43</v>
      </c>
      <c r="K49" t="s">
        <v>136</v>
      </c>
      <c r="L49" s="25">
        <f t="shared" si="2"/>
        <v>0.98474636395885062</v>
      </c>
      <c r="M49" s="24">
        <f t="shared" si="3"/>
        <v>2776000000</v>
      </c>
      <c r="N49" s="25">
        <f t="shared" si="0"/>
        <v>0.27314650585313943</v>
      </c>
      <c r="O49" s="24">
        <f t="shared" si="1"/>
        <v>770000000</v>
      </c>
    </row>
    <row r="50" spans="1:15" x14ac:dyDescent="0.3">
      <c r="A50" t="s">
        <v>149</v>
      </c>
      <c r="B50">
        <v>4</v>
      </c>
      <c r="C50">
        <v>2016</v>
      </c>
      <c r="D50" s="1">
        <v>42735</v>
      </c>
      <c r="E50" s="24">
        <v>2960000000</v>
      </c>
      <c r="F50" s="24">
        <v>40000000</v>
      </c>
      <c r="G50" s="24">
        <v>1836000000</v>
      </c>
      <c r="H50" s="24">
        <v>0</v>
      </c>
      <c r="I50" s="24">
        <v>248000000</v>
      </c>
      <c r="J50" t="s">
        <v>43</v>
      </c>
      <c r="K50" t="s">
        <v>136</v>
      </c>
      <c r="L50" s="25">
        <f t="shared" si="2"/>
        <v>0.98648648648648651</v>
      </c>
      <c r="M50" s="24">
        <f t="shared" si="3"/>
        <v>2920000000</v>
      </c>
      <c r="N50" s="25">
        <f t="shared" si="0"/>
        <v>0.28243243243243243</v>
      </c>
      <c r="O50" s="24">
        <f t="shared" si="1"/>
        <v>836000000</v>
      </c>
    </row>
    <row r="51" spans="1:15" x14ac:dyDescent="0.3">
      <c r="A51" t="s">
        <v>157</v>
      </c>
      <c r="B51">
        <v>1</v>
      </c>
      <c r="C51">
        <v>2012</v>
      </c>
      <c r="D51" s="1">
        <v>41274</v>
      </c>
      <c r="E51" s="24">
        <v>23771000000</v>
      </c>
      <c r="F51" s="24">
        <v>1403000000</v>
      </c>
      <c r="G51" s="24">
        <v>11188000000</v>
      </c>
      <c r="H51" s="24">
        <v>0</v>
      </c>
      <c r="I51" s="24">
        <v>5024000000</v>
      </c>
      <c r="J51" t="s">
        <v>43</v>
      </c>
      <c r="K51" t="s">
        <v>96</v>
      </c>
      <c r="L51" s="25">
        <f t="shared" si="2"/>
        <v>0.94097850321820709</v>
      </c>
      <c r="M51" s="24">
        <f t="shared" si="3"/>
        <v>22368000000</v>
      </c>
      <c r="N51" s="25">
        <f t="shared" si="0"/>
        <v>0.25897101510243575</v>
      </c>
      <c r="O51" s="24">
        <f t="shared" si="1"/>
        <v>6156000000</v>
      </c>
    </row>
    <row r="52" spans="1:15" x14ac:dyDescent="0.3">
      <c r="A52" t="s">
        <v>157</v>
      </c>
      <c r="B52">
        <v>2</v>
      </c>
      <c r="C52">
        <v>2013</v>
      </c>
      <c r="D52" s="1">
        <v>41639</v>
      </c>
      <c r="E52" s="24">
        <v>24176000000</v>
      </c>
      <c r="F52" s="24">
        <v>1241000000</v>
      </c>
      <c r="G52" s="24">
        <v>11682000000</v>
      </c>
      <c r="H52" s="24">
        <v>0</v>
      </c>
      <c r="I52" s="24">
        <v>4124000000</v>
      </c>
      <c r="J52" t="s">
        <v>43</v>
      </c>
      <c r="K52" t="s">
        <v>96</v>
      </c>
      <c r="L52" s="25">
        <f t="shared" si="2"/>
        <v>0.948668100595632</v>
      </c>
      <c r="M52" s="24">
        <f t="shared" si="3"/>
        <v>22935000000</v>
      </c>
      <c r="N52" s="25">
        <f t="shared" si="0"/>
        <v>0.29487921906022502</v>
      </c>
      <c r="O52" s="24">
        <f t="shared" si="1"/>
        <v>7129000000</v>
      </c>
    </row>
    <row r="53" spans="1:15" x14ac:dyDescent="0.3">
      <c r="A53" t="s">
        <v>157</v>
      </c>
      <c r="B53">
        <v>3</v>
      </c>
      <c r="C53">
        <v>2014</v>
      </c>
      <c r="D53" s="1">
        <v>42004</v>
      </c>
      <c r="E53" s="24">
        <v>23869000000</v>
      </c>
      <c r="F53" s="24">
        <v>1088000000</v>
      </c>
      <c r="G53" s="24">
        <v>11648000000</v>
      </c>
      <c r="H53" s="24">
        <v>0</v>
      </c>
      <c r="I53" s="24">
        <v>4073000000</v>
      </c>
      <c r="J53" t="s">
        <v>43</v>
      </c>
      <c r="K53" t="s">
        <v>96</v>
      </c>
      <c r="L53" s="25">
        <f t="shared" si="2"/>
        <v>0.95441786417529018</v>
      </c>
      <c r="M53" s="24">
        <f t="shared" si="3"/>
        <v>22781000000</v>
      </c>
      <c r="N53" s="25">
        <f t="shared" si="0"/>
        <v>0.29578113871548872</v>
      </c>
      <c r="O53" s="24">
        <f t="shared" si="1"/>
        <v>7060000000</v>
      </c>
    </row>
    <row r="54" spans="1:15" x14ac:dyDescent="0.3">
      <c r="A54" t="s">
        <v>157</v>
      </c>
      <c r="B54">
        <v>4</v>
      </c>
      <c r="C54">
        <v>2015</v>
      </c>
      <c r="D54" s="1">
        <v>42369</v>
      </c>
      <c r="E54" s="24">
        <v>25038000000</v>
      </c>
      <c r="F54" s="24">
        <v>1091000000</v>
      </c>
      <c r="G54" s="24">
        <v>12566000000</v>
      </c>
      <c r="H54" s="24">
        <v>0</v>
      </c>
      <c r="I54" s="24">
        <v>4966000000</v>
      </c>
      <c r="J54" t="s">
        <v>43</v>
      </c>
      <c r="K54" t="s">
        <v>96</v>
      </c>
      <c r="L54" s="25">
        <f t="shared" si="2"/>
        <v>0.95642623212716671</v>
      </c>
      <c r="M54" s="24">
        <f t="shared" si="3"/>
        <v>23947000000</v>
      </c>
      <c r="N54" s="25">
        <f t="shared" si="0"/>
        <v>0.2562105599488777</v>
      </c>
      <c r="O54" s="24">
        <f t="shared" si="1"/>
        <v>6415000000</v>
      </c>
    </row>
    <row r="55" spans="1:15" x14ac:dyDescent="0.3">
      <c r="A55" t="s">
        <v>191</v>
      </c>
      <c r="B55">
        <v>1</v>
      </c>
      <c r="C55">
        <v>2012</v>
      </c>
      <c r="D55" s="1">
        <v>41243</v>
      </c>
      <c r="E55" s="24">
        <v>8984000000</v>
      </c>
      <c r="F55" s="24">
        <v>845000000</v>
      </c>
      <c r="G55" s="24">
        <v>3052000000</v>
      </c>
      <c r="H55" s="24">
        <v>0</v>
      </c>
      <c r="I55" s="24">
        <v>848000000</v>
      </c>
      <c r="J55" t="s">
        <v>43</v>
      </c>
      <c r="K55" t="s">
        <v>96</v>
      </c>
      <c r="L55" s="25">
        <f t="shared" si="2"/>
        <v>0.90594390026714156</v>
      </c>
      <c r="M55" s="24">
        <f t="shared" si="3"/>
        <v>8139000000</v>
      </c>
      <c r="N55" s="25">
        <f t="shared" si="0"/>
        <v>0.47183882457702581</v>
      </c>
      <c r="O55" s="24">
        <f t="shared" si="1"/>
        <v>4239000000</v>
      </c>
    </row>
    <row r="56" spans="1:15" x14ac:dyDescent="0.3">
      <c r="A56" t="s">
        <v>191</v>
      </c>
      <c r="B56">
        <v>2</v>
      </c>
      <c r="C56">
        <v>2013</v>
      </c>
      <c r="D56" s="1">
        <v>41639</v>
      </c>
      <c r="E56" s="24">
        <v>9370000000</v>
      </c>
      <c r="F56" s="24">
        <v>698000000</v>
      </c>
      <c r="G56" s="24">
        <v>3194000000</v>
      </c>
      <c r="H56" s="24">
        <v>0</v>
      </c>
      <c r="I56" s="24">
        <v>1086000000</v>
      </c>
      <c r="J56" t="s">
        <v>43</v>
      </c>
      <c r="K56" t="s">
        <v>96</v>
      </c>
      <c r="L56" s="25">
        <f t="shared" si="2"/>
        <v>0.92550693703308429</v>
      </c>
      <c r="M56" s="24">
        <f t="shared" si="3"/>
        <v>8672000000</v>
      </c>
      <c r="N56" s="25">
        <f t="shared" si="0"/>
        <v>0.46872998932764143</v>
      </c>
      <c r="O56" s="24">
        <f t="shared" si="1"/>
        <v>4392000000</v>
      </c>
    </row>
    <row r="57" spans="1:15" x14ac:dyDescent="0.3">
      <c r="A57" t="s">
        <v>191</v>
      </c>
      <c r="B57">
        <v>3</v>
      </c>
      <c r="C57">
        <v>2014</v>
      </c>
      <c r="D57" s="1">
        <v>42004</v>
      </c>
      <c r="E57" s="24">
        <v>9611000000</v>
      </c>
      <c r="F57" s="24">
        <v>614000000</v>
      </c>
      <c r="G57" s="24">
        <v>3340000000</v>
      </c>
      <c r="H57" s="24">
        <v>0</v>
      </c>
      <c r="I57" s="24">
        <v>1443000000</v>
      </c>
      <c r="J57" t="s">
        <v>43</v>
      </c>
      <c r="K57" t="s">
        <v>96</v>
      </c>
      <c r="L57" s="25">
        <f t="shared" si="2"/>
        <v>0.93611486837998126</v>
      </c>
      <c r="M57" s="24">
        <f t="shared" si="3"/>
        <v>8997000000</v>
      </c>
      <c r="N57" s="25">
        <f t="shared" si="0"/>
        <v>0.43845593590677351</v>
      </c>
      <c r="O57" s="24">
        <f t="shared" si="1"/>
        <v>4214000000</v>
      </c>
    </row>
    <row r="58" spans="1:15" x14ac:dyDescent="0.3">
      <c r="A58" t="s">
        <v>191</v>
      </c>
      <c r="B58">
        <v>4</v>
      </c>
      <c r="C58">
        <v>2015</v>
      </c>
      <c r="D58" s="1">
        <v>42369</v>
      </c>
      <c r="E58" s="24">
        <v>10002000000</v>
      </c>
      <c r="F58" s="24">
        <v>623000000</v>
      </c>
      <c r="G58" s="24">
        <v>3615000000</v>
      </c>
      <c r="H58" s="24">
        <v>0</v>
      </c>
      <c r="I58" s="24">
        <v>1512000000</v>
      </c>
      <c r="J58" t="s">
        <v>43</v>
      </c>
      <c r="K58" t="s">
        <v>96</v>
      </c>
      <c r="L58" s="25">
        <f t="shared" si="2"/>
        <v>0.9377124575084983</v>
      </c>
      <c r="M58" s="24">
        <f t="shared" si="3"/>
        <v>9379000000</v>
      </c>
      <c r="N58" s="25">
        <f t="shared" si="0"/>
        <v>0.4251149770045991</v>
      </c>
      <c r="O58" s="24">
        <f t="shared" si="1"/>
        <v>4252000000</v>
      </c>
    </row>
    <row r="59" spans="1:15" x14ac:dyDescent="0.3">
      <c r="A59" t="s">
        <v>231</v>
      </c>
      <c r="B59">
        <v>1</v>
      </c>
      <c r="C59">
        <v>2012</v>
      </c>
      <c r="D59" s="1">
        <v>41274</v>
      </c>
      <c r="E59" s="24">
        <v>1365000000</v>
      </c>
      <c r="F59" s="24">
        <v>0</v>
      </c>
      <c r="G59" s="24">
        <v>921000000</v>
      </c>
      <c r="H59" s="24">
        <v>0</v>
      </c>
      <c r="I59" s="24">
        <v>471000000</v>
      </c>
      <c r="J59" t="s">
        <v>43</v>
      </c>
      <c r="K59" t="s">
        <v>232</v>
      </c>
      <c r="L59" s="25">
        <f t="shared" si="2"/>
        <v>1</v>
      </c>
      <c r="M59" s="24">
        <f t="shared" si="3"/>
        <v>1365000000</v>
      </c>
      <c r="N59" s="25">
        <f t="shared" si="0"/>
        <v>-1.9780219780219779E-2</v>
      </c>
      <c r="O59" s="24">
        <f t="shared" si="1"/>
        <v>-27000000</v>
      </c>
    </row>
    <row r="60" spans="1:15" x14ac:dyDescent="0.3">
      <c r="A60" t="s">
        <v>231</v>
      </c>
      <c r="B60">
        <v>2</v>
      </c>
      <c r="C60">
        <v>2013</v>
      </c>
      <c r="D60" s="1">
        <v>41639</v>
      </c>
      <c r="E60" s="24">
        <v>1466000000</v>
      </c>
      <c r="F60" s="24">
        <v>0</v>
      </c>
      <c r="G60" s="24">
        <v>888000000</v>
      </c>
      <c r="H60" s="24">
        <v>0</v>
      </c>
      <c r="I60" s="24">
        <v>256000000</v>
      </c>
      <c r="J60" t="s">
        <v>43</v>
      </c>
      <c r="K60" t="s">
        <v>232</v>
      </c>
      <c r="L60" s="25">
        <f t="shared" si="2"/>
        <v>1</v>
      </c>
      <c r="M60" s="24">
        <f t="shared" si="3"/>
        <v>1466000000</v>
      </c>
      <c r="N60" s="25">
        <f t="shared" si="0"/>
        <v>0.21964529331514324</v>
      </c>
      <c r="O60" s="24">
        <f t="shared" si="1"/>
        <v>322000000</v>
      </c>
    </row>
    <row r="61" spans="1:15" x14ac:dyDescent="0.3">
      <c r="A61" t="s">
        <v>231</v>
      </c>
      <c r="B61">
        <v>3</v>
      </c>
      <c r="C61">
        <v>2014</v>
      </c>
      <c r="D61" s="1">
        <v>42004</v>
      </c>
      <c r="E61" s="24">
        <v>1665000000</v>
      </c>
      <c r="F61" s="24">
        <v>0</v>
      </c>
      <c r="G61" s="24">
        <v>958000000</v>
      </c>
      <c r="H61" s="24">
        <v>0</v>
      </c>
      <c r="I61" s="24">
        <v>136000000</v>
      </c>
      <c r="J61" t="s">
        <v>43</v>
      </c>
      <c r="K61" t="s">
        <v>232</v>
      </c>
      <c r="L61" s="25">
        <f t="shared" si="2"/>
        <v>1</v>
      </c>
      <c r="M61" s="24">
        <f t="shared" si="3"/>
        <v>1665000000</v>
      </c>
      <c r="N61" s="25">
        <f t="shared" si="0"/>
        <v>0.34294294294294292</v>
      </c>
      <c r="O61" s="24">
        <f t="shared" si="1"/>
        <v>571000000</v>
      </c>
    </row>
    <row r="62" spans="1:15" x14ac:dyDescent="0.3">
      <c r="A62" t="s">
        <v>231</v>
      </c>
      <c r="B62">
        <v>4</v>
      </c>
      <c r="C62">
        <v>2015</v>
      </c>
      <c r="D62" s="1">
        <v>42369</v>
      </c>
      <c r="E62" s="24">
        <v>1403000000</v>
      </c>
      <c r="F62" s="24">
        <v>0</v>
      </c>
      <c r="G62" s="24">
        <v>1048000000</v>
      </c>
      <c r="H62" s="24">
        <v>0</v>
      </c>
      <c r="I62" s="24">
        <v>61000000</v>
      </c>
      <c r="J62" t="s">
        <v>43</v>
      </c>
      <c r="K62" t="s">
        <v>232</v>
      </c>
      <c r="L62" s="25">
        <f t="shared" si="2"/>
        <v>1</v>
      </c>
      <c r="M62" s="24">
        <f t="shared" si="3"/>
        <v>1403000000</v>
      </c>
      <c r="N62" s="25">
        <f t="shared" si="0"/>
        <v>0.20955096222380612</v>
      </c>
      <c r="O62" s="24">
        <f t="shared" si="1"/>
        <v>294000000</v>
      </c>
    </row>
    <row r="63" spans="1:15" x14ac:dyDescent="0.3">
      <c r="A63" t="s">
        <v>283</v>
      </c>
      <c r="B63">
        <v>1</v>
      </c>
      <c r="C63">
        <v>2012</v>
      </c>
      <c r="D63" s="1">
        <v>41274</v>
      </c>
      <c r="E63" s="24">
        <v>3036584000</v>
      </c>
      <c r="F63" s="24">
        <v>162167000</v>
      </c>
      <c r="G63" s="24">
        <v>1789327000</v>
      </c>
      <c r="H63" s="24">
        <v>0</v>
      </c>
      <c r="I63" s="24">
        <v>193937000</v>
      </c>
      <c r="J63" t="s">
        <v>43</v>
      </c>
      <c r="K63" t="s">
        <v>101</v>
      </c>
      <c r="L63" s="25">
        <f t="shared" si="2"/>
        <v>0.94659558240443864</v>
      </c>
      <c r="M63" s="24">
        <f t="shared" si="3"/>
        <v>2874417000</v>
      </c>
      <c r="N63" s="25">
        <f t="shared" si="0"/>
        <v>0.29347220429271842</v>
      </c>
      <c r="O63" s="24">
        <f t="shared" si="1"/>
        <v>891153000</v>
      </c>
    </row>
    <row r="64" spans="1:15" x14ac:dyDescent="0.3">
      <c r="A64" t="s">
        <v>283</v>
      </c>
      <c r="B64">
        <v>2</v>
      </c>
      <c r="C64">
        <v>2013</v>
      </c>
      <c r="D64" s="1">
        <v>41639</v>
      </c>
      <c r="E64" s="24">
        <v>2872833000</v>
      </c>
      <c r="F64" s="24">
        <v>116241000</v>
      </c>
      <c r="G64" s="24">
        <v>1716639000</v>
      </c>
      <c r="H64" s="24">
        <v>0</v>
      </c>
      <c r="I64" s="24">
        <v>131409000</v>
      </c>
      <c r="J64" t="s">
        <v>43</v>
      </c>
      <c r="K64" t="s">
        <v>101</v>
      </c>
      <c r="L64" s="25">
        <f t="shared" si="2"/>
        <v>0.95953784992027036</v>
      </c>
      <c r="M64" s="24">
        <f t="shared" si="3"/>
        <v>2756592000</v>
      </c>
      <c r="N64" s="25">
        <f t="shared" si="0"/>
        <v>0.31625367711941488</v>
      </c>
      <c r="O64" s="24">
        <f t="shared" si="1"/>
        <v>908544000</v>
      </c>
    </row>
    <row r="65" spans="1:15" x14ac:dyDescent="0.3">
      <c r="A65" t="s">
        <v>283</v>
      </c>
      <c r="B65">
        <v>3</v>
      </c>
      <c r="C65">
        <v>2014</v>
      </c>
      <c r="D65" s="1">
        <v>42004</v>
      </c>
      <c r="E65" s="24">
        <v>2955641000</v>
      </c>
      <c r="F65" s="24">
        <v>86453000</v>
      </c>
      <c r="G65" s="24">
        <v>1843069000</v>
      </c>
      <c r="H65" s="24">
        <v>0</v>
      </c>
      <c r="I65" s="24">
        <v>120266000</v>
      </c>
      <c r="J65" t="s">
        <v>43</v>
      </c>
      <c r="K65" t="s">
        <v>101</v>
      </c>
      <c r="L65" s="25">
        <f t="shared" si="2"/>
        <v>0.97074983057820619</v>
      </c>
      <c r="M65" s="24">
        <f t="shared" si="3"/>
        <v>2869188000</v>
      </c>
      <c r="N65" s="25">
        <f t="shared" si="0"/>
        <v>0.30648275619400328</v>
      </c>
      <c r="O65" s="24">
        <f t="shared" si="1"/>
        <v>905853000</v>
      </c>
    </row>
    <row r="66" spans="1:15" x14ac:dyDescent="0.3">
      <c r="A66" t="s">
        <v>283</v>
      </c>
      <c r="B66">
        <v>4</v>
      </c>
      <c r="C66">
        <v>2015</v>
      </c>
      <c r="D66" s="1">
        <v>42369</v>
      </c>
      <c r="E66" s="24">
        <v>3153251000</v>
      </c>
      <c r="F66" s="24">
        <v>82175000</v>
      </c>
      <c r="G66" s="24">
        <v>1948041000</v>
      </c>
      <c r="H66" s="24">
        <v>0</v>
      </c>
      <c r="I66" s="24">
        <v>127821000</v>
      </c>
      <c r="J66" t="s">
        <v>43</v>
      </c>
      <c r="K66" t="s">
        <v>101</v>
      </c>
      <c r="L66" s="25">
        <f t="shared" si="2"/>
        <v>0.9739395944059005</v>
      </c>
      <c r="M66" s="24">
        <f t="shared" si="3"/>
        <v>3071076000</v>
      </c>
      <c r="N66" s="25">
        <f t="shared" si="0"/>
        <v>0.31561521743749549</v>
      </c>
      <c r="O66" s="24">
        <f t="shared" si="1"/>
        <v>995214000</v>
      </c>
    </row>
    <row r="67" spans="1:15" x14ac:dyDescent="0.3">
      <c r="A67" t="s">
        <v>292</v>
      </c>
      <c r="B67">
        <v>1</v>
      </c>
      <c r="C67">
        <v>2012</v>
      </c>
      <c r="D67" s="1">
        <v>41274</v>
      </c>
      <c r="E67" s="24">
        <v>22086000000</v>
      </c>
      <c r="F67" s="24">
        <v>13195000000</v>
      </c>
      <c r="G67" s="24">
        <v>0</v>
      </c>
      <c r="H67" s="24">
        <v>0</v>
      </c>
      <c r="I67" s="24">
        <v>7080000000</v>
      </c>
      <c r="J67" t="s">
        <v>43</v>
      </c>
      <c r="K67" t="s">
        <v>46</v>
      </c>
      <c r="L67" s="25">
        <f t="shared" si="2"/>
        <v>0.40256270940867522</v>
      </c>
      <c r="M67" s="24">
        <f t="shared" si="3"/>
        <v>8891000000</v>
      </c>
      <c r="N67" s="25">
        <f t="shared" ref="N67:N130" si="5">O67/E67</f>
        <v>8.199764556732772E-2</v>
      </c>
      <c r="O67" s="24">
        <f t="shared" ref="O67:O130" si="6">M67-SUM(G67:I67)</f>
        <v>1811000000</v>
      </c>
    </row>
    <row r="68" spans="1:15" x14ac:dyDescent="0.3">
      <c r="A68" t="s">
        <v>292</v>
      </c>
      <c r="B68">
        <v>2</v>
      </c>
      <c r="C68">
        <v>2013</v>
      </c>
      <c r="D68" s="1">
        <v>41639</v>
      </c>
      <c r="E68" s="24">
        <v>20673000000</v>
      </c>
      <c r="F68" s="24">
        <v>11048000000</v>
      </c>
      <c r="G68" s="24">
        <v>0</v>
      </c>
      <c r="H68" s="24">
        <v>0</v>
      </c>
      <c r="I68" s="24">
        <v>5970000000</v>
      </c>
      <c r="J68" t="s">
        <v>43</v>
      </c>
      <c r="K68" t="s">
        <v>46</v>
      </c>
      <c r="L68" s="25">
        <f t="shared" ref="L68:L131" si="7">1-(F68/E68)</f>
        <v>0.46558312775117305</v>
      </c>
      <c r="M68" s="24">
        <f t="shared" ref="M68:M131" si="8">E68-F68</f>
        <v>9625000000</v>
      </c>
      <c r="N68" s="25">
        <f t="shared" si="5"/>
        <v>0.17680065786291299</v>
      </c>
      <c r="O68" s="24">
        <f t="shared" si="6"/>
        <v>3655000000</v>
      </c>
    </row>
    <row r="69" spans="1:15" x14ac:dyDescent="0.3">
      <c r="A69" t="s">
        <v>292</v>
      </c>
      <c r="B69">
        <v>3</v>
      </c>
      <c r="C69">
        <v>2014</v>
      </c>
      <c r="D69" s="1">
        <v>42004</v>
      </c>
      <c r="E69" s="24">
        <v>18614000000</v>
      </c>
      <c r="F69" s="24">
        <v>10805000000</v>
      </c>
      <c r="G69" s="24">
        <v>0</v>
      </c>
      <c r="H69" s="24">
        <v>0</v>
      </c>
      <c r="I69" s="24">
        <v>5757000000</v>
      </c>
      <c r="J69" t="s">
        <v>43</v>
      </c>
      <c r="K69" t="s">
        <v>46</v>
      </c>
      <c r="L69" s="25">
        <f t="shared" si="7"/>
        <v>0.41952293972278931</v>
      </c>
      <c r="M69" s="24">
        <f t="shared" si="8"/>
        <v>7809000000</v>
      </c>
      <c r="N69" s="25">
        <f t="shared" si="5"/>
        <v>0.11023960459868916</v>
      </c>
      <c r="O69" s="24">
        <f t="shared" si="6"/>
        <v>2052000000</v>
      </c>
    </row>
    <row r="70" spans="1:15" x14ac:dyDescent="0.3">
      <c r="A70" t="s">
        <v>292</v>
      </c>
      <c r="B70">
        <v>4</v>
      </c>
      <c r="C70">
        <v>2015</v>
      </c>
      <c r="D70" s="1">
        <v>42369</v>
      </c>
      <c r="E70" s="24">
        <v>18377000000</v>
      </c>
      <c r="F70" s="24">
        <v>10775000000</v>
      </c>
      <c r="G70" s="24">
        <v>0</v>
      </c>
      <c r="H70" s="24">
        <v>0</v>
      </c>
      <c r="I70" s="24">
        <v>5274000000</v>
      </c>
      <c r="J70" t="s">
        <v>43</v>
      </c>
      <c r="K70" t="s">
        <v>46</v>
      </c>
      <c r="L70" s="25">
        <f t="shared" si="7"/>
        <v>0.41366926048865427</v>
      </c>
      <c r="M70" s="24">
        <f t="shared" si="8"/>
        <v>7602000000</v>
      </c>
      <c r="N70" s="25">
        <f t="shared" si="5"/>
        <v>0.12668008924198726</v>
      </c>
      <c r="O70" s="24">
        <f t="shared" si="6"/>
        <v>2328000000</v>
      </c>
    </row>
    <row r="71" spans="1:15" x14ac:dyDescent="0.3">
      <c r="A71" t="s">
        <v>302</v>
      </c>
      <c r="B71">
        <v>1</v>
      </c>
      <c r="C71">
        <v>2013</v>
      </c>
      <c r="D71" s="1">
        <v>41394</v>
      </c>
      <c r="E71" s="24">
        <v>2807114000</v>
      </c>
      <c r="F71" s="24">
        <v>1123773000</v>
      </c>
      <c r="G71" s="24">
        <v>828095000</v>
      </c>
      <c r="H71" s="24">
        <v>0</v>
      </c>
      <c r="I71" s="24">
        <v>92407000</v>
      </c>
      <c r="J71" t="s">
        <v>43</v>
      </c>
      <c r="K71" t="s">
        <v>96</v>
      </c>
      <c r="L71" s="25">
        <f t="shared" si="7"/>
        <v>0.59966962510250743</v>
      </c>
      <c r="M71" s="24">
        <f t="shared" si="8"/>
        <v>1683341000</v>
      </c>
      <c r="N71" s="25">
        <f t="shared" si="5"/>
        <v>0.27175205566998706</v>
      </c>
      <c r="O71" s="24">
        <f t="shared" si="6"/>
        <v>762839000</v>
      </c>
    </row>
    <row r="72" spans="1:15" x14ac:dyDescent="0.3">
      <c r="A72" t="s">
        <v>302</v>
      </c>
      <c r="B72">
        <v>2</v>
      </c>
      <c r="C72">
        <v>2014</v>
      </c>
      <c r="D72" s="1">
        <v>41759</v>
      </c>
      <c r="E72" s="24">
        <v>3024295000</v>
      </c>
      <c r="F72" s="24">
        <v>1179405000</v>
      </c>
      <c r="G72" s="24">
        <v>830789000</v>
      </c>
      <c r="H72" s="24">
        <v>0</v>
      </c>
      <c r="I72" s="24">
        <v>115604000</v>
      </c>
      <c r="J72" t="s">
        <v>43</v>
      </c>
      <c r="K72" t="s">
        <v>96</v>
      </c>
      <c r="L72" s="25">
        <f t="shared" si="7"/>
        <v>0.61002316242297794</v>
      </c>
      <c r="M72" s="24">
        <f t="shared" si="8"/>
        <v>1844890000</v>
      </c>
      <c r="N72" s="25">
        <f t="shared" si="5"/>
        <v>0.2970930415187672</v>
      </c>
      <c r="O72" s="24">
        <f t="shared" si="6"/>
        <v>898497000</v>
      </c>
    </row>
    <row r="73" spans="1:15" x14ac:dyDescent="0.3">
      <c r="A73" t="s">
        <v>302</v>
      </c>
      <c r="B73">
        <v>3</v>
      </c>
      <c r="C73">
        <v>2015</v>
      </c>
      <c r="D73" s="1">
        <v>42124</v>
      </c>
      <c r="E73" s="24">
        <v>3078658000</v>
      </c>
      <c r="F73" s="24">
        <v>1231104000</v>
      </c>
      <c r="G73" s="24">
        <v>818091000</v>
      </c>
      <c r="H73" s="24">
        <v>0</v>
      </c>
      <c r="I73" s="24">
        <v>159804000</v>
      </c>
      <c r="J73" t="s">
        <v>43</v>
      </c>
      <c r="K73" t="s">
        <v>96</v>
      </c>
      <c r="L73" s="25">
        <f t="shared" si="7"/>
        <v>0.60011667421324488</v>
      </c>
      <c r="M73" s="24">
        <f t="shared" si="8"/>
        <v>1847554000</v>
      </c>
      <c r="N73" s="25">
        <f t="shared" si="5"/>
        <v>0.28247989870911289</v>
      </c>
      <c r="O73" s="24">
        <f t="shared" si="6"/>
        <v>869659000</v>
      </c>
    </row>
    <row r="74" spans="1:15" x14ac:dyDescent="0.3">
      <c r="A74" t="s">
        <v>302</v>
      </c>
      <c r="B74">
        <v>4</v>
      </c>
      <c r="C74">
        <v>2016</v>
      </c>
      <c r="D74" s="1">
        <v>42490</v>
      </c>
      <c r="E74" s="24">
        <v>3038153000</v>
      </c>
      <c r="F74" s="24">
        <v>1250320000</v>
      </c>
      <c r="G74" s="24">
        <v>905648000</v>
      </c>
      <c r="H74" s="24">
        <v>0</v>
      </c>
      <c r="I74" s="24">
        <v>173598000</v>
      </c>
      <c r="J74" t="s">
        <v>43</v>
      </c>
      <c r="K74" t="s">
        <v>96</v>
      </c>
      <c r="L74" s="25">
        <f t="shared" si="7"/>
        <v>0.58846048898788172</v>
      </c>
      <c r="M74" s="24">
        <f t="shared" si="8"/>
        <v>1787833000</v>
      </c>
      <c r="N74" s="25">
        <f t="shared" si="5"/>
        <v>0.23322953123163975</v>
      </c>
      <c r="O74" s="24">
        <f t="shared" si="6"/>
        <v>708587000</v>
      </c>
    </row>
    <row r="75" spans="1:15" x14ac:dyDescent="0.3">
      <c r="A75" t="s">
        <v>323</v>
      </c>
      <c r="B75">
        <v>1</v>
      </c>
      <c r="C75">
        <v>2012</v>
      </c>
      <c r="D75" s="1">
        <v>41274</v>
      </c>
      <c r="E75" s="24">
        <v>4050400000</v>
      </c>
      <c r="F75" s="24">
        <v>0</v>
      </c>
      <c r="G75" s="24">
        <v>3207800000</v>
      </c>
      <c r="H75" s="24">
        <v>0</v>
      </c>
      <c r="I75" s="24">
        <v>0</v>
      </c>
      <c r="J75" t="s">
        <v>43</v>
      </c>
      <c r="K75" t="s">
        <v>69</v>
      </c>
      <c r="L75" s="25">
        <f t="shared" si="7"/>
        <v>1</v>
      </c>
      <c r="M75" s="24">
        <f t="shared" si="8"/>
        <v>4050400000</v>
      </c>
      <c r="N75" s="25">
        <f t="shared" si="5"/>
        <v>0.20802883665810784</v>
      </c>
      <c r="O75" s="24">
        <f t="shared" si="6"/>
        <v>842600000</v>
      </c>
    </row>
    <row r="76" spans="1:15" x14ac:dyDescent="0.3">
      <c r="A76" t="s">
        <v>323</v>
      </c>
      <c r="B76">
        <v>2</v>
      </c>
      <c r="C76">
        <v>2013</v>
      </c>
      <c r="D76" s="1">
        <v>41639</v>
      </c>
      <c r="E76" s="24">
        <v>4644600000</v>
      </c>
      <c r="F76" s="24">
        <v>0</v>
      </c>
      <c r="G76" s="24">
        <v>3524400000</v>
      </c>
      <c r="H76" s="24">
        <v>0</v>
      </c>
      <c r="I76" s="24">
        <v>0</v>
      </c>
      <c r="J76" t="s">
        <v>43</v>
      </c>
      <c r="K76" t="s">
        <v>69</v>
      </c>
      <c r="L76" s="25">
        <f t="shared" si="7"/>
        <v>1</v>
      </c>
      <c r="M76" s="24">
        <f t="shared" si="8"/>
        <v>4644600000</v>
      </c>
      <c r="N76" s="25">
        <f t="shared" si="5"/>
        <v>0.24118330964991602</v>
      </c>
      <c r="O76" s="24">
        <f t="shared" si="6"/>
        <v>1120200000</v>
      </c>
    </row>
    <row r="77" spans="1:15" x14ac:dyDescent="0.3">
      <c r="A77" t="s">
        <v>323</v>
      </c>
      <c r="B77">
        <v>3</v>
      </c>
      <c r="C77">
        <v>2014</v>
      </c>
      <c r="D77" s="1">
        <v>42004</v>
      </c>
      <c r="E77" s="24">
        <v>5147100000</v>
      </c>
      <c r="F77" s="24">
        <v>0</v>
      </c>
      <c r="G77" s="24">
        <v>3870200000</v>
      </c>
      <c r="H77" s="24">
        <v>0</v>
      </c>
      <c r="I77" s="24">
        <v>0</v>
      </c>
      <c r="J77" t="s">
        <v>43</v>
      </c>
      <c r="K77" t="s">
        <v>69</v>
      </c>
      <c r="L77" s="25">
        <f t="shared" si="7"/>
        <v>1</v>
      </c>
      <c r="M77" s="24">
        <f t="shared" si="8"/>
        <v>5147100000</v>
      </c>
      <c r="N77" s="25">
        <f t="shared" si="5"/>
        <v>0.24808144391987721</v>
      </c>
      <c r="O77" s="24">
        <f t="shared" si="6"/>
        <v>1276900000</v>
      </c>
    </row>
    <row r="78" spans="1:15" x14ac:dyDescent="0.3">
      <c r="A78" t="s">
        <v>323</v>
      </c>
      <c r="B78">
        <v>4</v>
      </c>
      <c r="C78">
        <v>2015</v>
      </c>
      <c r="D78" s="1">
        <v>42369</v>
      </c>
      <c r="E78" s="24">
        <v>5122900000</v>
      </c>
      <c r="F78" s="24">
        <v>0</v>
      </c>
      <c r="G78" s="24">
        <v>3764500000</v>
      </c>
      <c r="H78" s="24">
        <v>0</v>
      </c>
      <c r="I78" s="24">
        <v>0</v>
      </c>
      <c r="J78" t="s">
        <v>43</v>
      </c>
      <c r="K78" t="s">
        <v>69</v>
      </c>
      <c r="L78" s="25">
        <f t="shared" si="7"/>
        <v>1</v>
      </c>
      <c r="M78" s="24">
        <f t="shared" si="8"/>
        <v>5122900000</v>
      </c>
      <c r="N78" s="25">
        <f t="shared" si="5"/>
        <v>0.26516231041011928</v>
      </c>
      <c r="O78" s="24">
        <f t="shared" si="6"/>
        <v>1358400000</v>
      </c>
    </row>
    <row r="79" spans="1:15" x14ac:dyDescent="0.3">
      <c r="A79" t="s">
        <v>328</v>
      </c>
      <c r="B79">
        <v>1</v>
      </c>
      <c r="C79">
        <v>2012</v>
      </c>
      <c r="D79" s="1">
        <v>41274</v>
      </c>
      <c r="E79" s="24">
        <v>93646000000</v>
      </c>
      <c r="F79" s="24">
        <v>0</v>
      </c>
      <c r="G79" s="24">
        <v>64729000000</v>
      </c>
      <c r="H79" s="24">
        <v>0</v>
      </c>
      <c r="I79" s="24">
        <v>3385000000</v>
      </c>
      <c r="J79" t="s">
        <v>43</v>
      </c>
      <c r="K79" t="s">
        <v>101</v>
      </c>
      <c r="L79" s="25">
        <f t="shared" si="7"/>
        <v>1</v>
      </c>
      <c r="M79" s="24">
        <f t="shared" si="8"/>
        <v>93646000000</v>
      </c>
      <c r="N79" s="25">
        <f t="shared" si="5"/>
        <v>0.27264378617346174</v>
      </c>
      <c r="O79" s="24">
        <f t="shared" si="6"/>
        <v>25532000000</v>
      </c>
    </row>
    <row r="80" spans="1:15" x14ac:dyDescent="0.3">
      <c r="A80" t="s">
        <v>328</v>
      </c>
      <c r="B80">
        <v>2</v>
      </c>
      <c r="C80">
        <v>2013</v>
      </c>
      <c r="D80" s="1">
        <v>41639</v>
      </c>
      <c r="E80" s="24">
        <v>97142000000</v>
      </c>
      <c r="F80" s="24">
        <v>0</v>
      </c>
      <c r="G80" s="24">
        <v>70467000000</v>
      </c>
      <c r="H80" s="24">
        <v>0</v>
      </c>
      <c r="I80" s="24">
        <v>225000000</v>
      </c>
      <c r="J80" t="s">
        <v>43</v>
      </c>
      <c r="K80" t="s">
        <v>101</v>
      </c>
      <c r="L80" s="25">
        <f t="shared" si="7"/>
        <v>1</v>
      </c>
      <c r="M80" s="24">
        <f t="shared" si="8"/>
        <v>97142000000</v>
      </c>
      <c r="N80" s="25">
        <f t="shared" si="5"/>
        <v>0.27228181425130221</v>
      </c>
      <c r="O80" s="24">
        <f t="shared" si="6"/>
        <v>26450000000</v>
      </c>
    </row>
    <row r="81" spans="1:15" x14ac:dyDescent="0.3">
      <c r="A81" t="s">
        <v>328</v>
      </c>
      <c r="B81">
        <v>3</v>
      </c>
      <c r="C81">
        <v>2014</v>
      </c>
      <c r="D81" s="1">
        <v>42004</v>
      </c>
      <c r="E81" s="24">
        <v>91973000000</v>
      </c>
      <c r="F81" s="24">
        <v>0</v>
      </c>
      <c r="G81" s="24">
        <v>61274000000</v>
      </c>
      <c r="H81" s="24">
        <v>0</v>
      </c>
      <c r="I81" s="24">
        <v>3139000000</v>
      </c>
      <c r="J81" t="s">
        <v>43</v>
      </c>
      <c r="K81" t="s">
        <v>101</v>
      </c>
      <c r="L81" s="25">
        <f t="shared" si="7"/>
        <v>1</v>
      </c>
      <c r="M81" s="24">
        <f t="shared" si="8"/>
        <v>91973000000</v>
      </c>
      <c r="N81" s="25">
        <f t="shared" si="5"/>
        <v>0.29965315907929502</v>
      </c>
      <c r="O81" s="24">
        <f t="shared" si="6"/>
        <v>27560000000</v>
      </c>
    </row>
    <row r="82" spans="1:15" x14ac:dyDescent="0.3">
      <c r="A82" t="s">
        <v>328</v>
      </c>
      <c r="B82">
        <v>4</v>
      </c>
      <c r="C82">
        <v>2015</v>
      </c>
      <c r="D82" s="1">
        <v>42369</v>
      </c>
      <c r="E82" s="24">
        <v>89716000000</v>
      </c>
      <c r="F82" s="24">
        <v>0</v>
      </c>
      <c r="G82" s="24">
        <v>59014000000</v>
      </c>
      <c r="H82" s="24">
        <v>0</v>
      </c>
      <c r="I82" s="24">
        <v>3827000000</v>
      </c>
      <c r="J82" t="s">
        <v>43</v>
      </c>
      <c r="K82" t="s">
        <v>101</v>
      </c>
      <c r="L82" s="25">
        <f t="shared" si="7"/>
        <v>1</v>
      </c>
      <c r="M82" s="24">
        <f t="shared" si="8"/>
        <v>89716000000</v>
      </c>
      <c r="N82" s="25">
        <f t="shared" si="5"/>
        <v>0.29955637790360695</v>
      </c>
      <c r="O82" s="24">
        <f t="shared" si="6"/>
        <v>26875000000</v>
      </c>
    </row>
    <row r="83" spans="1:15" x14ac:dyDescent="0.3">
      <c r="A83" t="s">
        <v>332</v>
      </c>
      <c r="B83">
        <v>1</v>
      </c>
      <c r="C83">
        <v>2013</v>
      </c>
      <c r="D83" s="1">
        <v>41547</v>
      </c>
      <c r="E83" s="24">
        <v>1287577000</v>
      </c>
      <c r="F83" s="24">
        <v>1073447000</v>
      </c>
      <c r="G83" s="24">
        <v>174085000</v>
      </c>
      <c r="H83" s="24">
        <v>0</v>
      </c>
      <c r="I83" s="24">
        <v>12784000</v>
      </c>
      <c r="J83" t="s">
        <v>43</v>
      </c>
      <c r="K83" t="s">
        <v>101</v>
      </c>
      <c r="L83" s="25">
        <f t="shared" si="7"/>
        <v>0.16630461712192746</v>
      </c>
      <c r="M83" s="24">
        <f t="shared" si="8"/>
        <v>214130000</v>
      </c>
      <c r="N83" s="25">
        <f t="shared" si="5"/>
        <v>2.1172326004580695E-2</v>
      </c>
      <c r="O83" s="24">
        <f t="shared" si="6"/>
        <v>27261000</v>
      </c>
    </row>
    <row r="84" spans="1:15" x14ac:dyDescent="0.3">
      <c r="A84" t="s">
        <v>332</v>
      </c>
      <c r="B84">
        <v>2</v>
      </c>
      <c r="C84">
        <v>2014</v>
      </c>
      <c r="D84" s="1">
        <v>41912</v>
      </c>
      <c r="E84" s="24">
        <v>1463767000</v>
      </c>
      <c r="F84" s="24">
        <v>1200308000</v>
      </c>
      <c r="G84" s="24">
        <v>194491000</v>
      </c>
      <c r="H84" s="24">
        <v>0</v>
      </c>
      <c r="I84" s="24">
        <v>13279000</v>
      </c>
      <c r="J84" t="s">
        <v>43</v>
      </c>
      <c r="K84" t="s">
        <v>101</v>
      </c>
      <c r="L84" s="25">
        <f t="shared" si="7"/>
        <v>0.17998697880195413</v>
      </c>
      <c r="M84" s="24">
        <f t="shared" si="8"/>
        <v>263459000</v>
      </c>
      <c r="N84" s="25">
        <f t="shared" si="5"/>
        <v>3.8044989400635484E-2</v>
      </c>
      <c r="O84" s="24">
        <f t="shared" si="6"/>
        <v>55689000</v>
      </c>
    </row>
    <row r="85" spans="1:15" x14ac:dyDescent="0.3">
      <c r="A85" t="s">
        <v>332</v>
      </c>
      <c r="B85">
        <v>3</v>
      </c>
      <c r="C85">
        <v>2015</v>
      </c>
      <c r="D85" s="1">
        <v>42277</v>
      </c>
      <c r="E85" s="24">
        <v>1627413000</v>
      </c>
      <c r="F85" s="24">
        <v>1354969000</v>
      </c>
      <c r="G85" s="24">
        <v>207519000</v>
      </c>
      <c r="H85" s="24">
        <v>0</v>
      </c>
      <c r="I85" s="24">
        <v>13338000</v>
      </c>
      <c r="J85" t="s">
        <v>43</v>
      </c>
      <c r="K85" t="s">
        <v>101</v>
      </c>
      <c r="L85" s="25">
        <f t="shared" si="7"/>
        <v>0.16740925628589665</v>
      </c>
      <c r="M85" s="24">
        <f t="shared" si="8"/>
        <v>272444000</v>
      </c>
      <c r="N85" s="25">
        <f t="shared" si="5"/>
        <v>3.1698775909987202E-2</v>
      </c>
      <c r="O85" s="24">
        <f t="shared" si="6"/>
        <v>51587000</v>
      </c>
    </row>
    <row r="86" spans="1:15" x14ac:dyDescent="0.3">
      <c r="A86" t="s">
        <v>332</v>
      </c>
      <c r="B86">
        <v>4</v>
      </c>
      <c r="C86">
        <v>2016</v>
      </c>
      <c r="D86" s="1">
        <v>42643</v>
      </c>
      <c r="E86" s="24">
        <v>1822114000</v>
      </c>
      <c r="F86" s="24">
        <v>1524907000</v>
      </c>
      <c r="G86" s="24">
        <v>224088000</v>
      </c>
      <c r="H86" s="24">
        <v>0</v>
      </c>
      <c r="I86" s="24">
        <v>13794000</v>
      </c>
      <c r="J86" t="s">
        <v>43</v>
      </c>
      <c r="K86" t="s">
        <v>101</v>
      </c>
      <c r="L86" s="25">
        <f t="shared" si="7"/>
        <v>0.16311108964642174</v>
      </c>
      <c r="M86" s="24">
        <f t="shared" si="8"/>
        <v>297207000</v>
      </c>
      <c r="N86" s="25">
        <f t="shared" si="5"/>
        <v>3.2558336086545625E-2</v>
      </c>
      <c r="O86" s="24">
        <f t="shared" si="6"/>
        <v>59325000</v>
      </c>
    </row>
    <row r="87" spans="1:15" x14ac:dyDescent="0.3">
      <c r="A87" t="s">
        <v>358</v>
      </c>
      <c r="B87">
        <v>1</v>
      </c>
      <c r="C87">
        <v>2012</v>
      </c>
      <c r="D87" s="1">
        <v>41274</v>
      </c>
      <c r="E87" s="24">
        <v>7810610000</v>
      </c>
      <c r="F87" s="24">
        <v>7479746000</v>
      </c>
      <c r="G87" s="24">
        <v>360586000</v>
      </c>
      <c r="H87" s="24">
        <v>0</v>
      </c>
      <c r="I87" s="24">
        <v>116388000</v>
      </c>
      <c r="J87" t="s">
        <v>43</v>
      </c>
      <c r="K87" t="s">
        <v>359</v>
      </c>
      <c r="L87" s="25">
        <f t="shared" si="7"/>
        <v>4.2360839934396877E-2</v>
      </c>
      <c r="M87" s="24">
        <f t="shared" si="8"/>
        <v>330864000</v>
      </c>
      <c r="N87" s="25">
        <f t="shared" si="5"/>
        <v>-1.8706605502003044E-2</v>
      </c>
      <c r="O87" s="24">
        <f t="shared" si="6"/>
        <v>-146110000</v>
      </c>
    </row>
    <row r="88" spans="1:15" x14ac:dyDescent="0.3">
      <c r="A88" t="s">
        <v>358</v>
      </c>
      <c r="B88">
        <v>2</v>
      </c>
      <c r="C88">
        <v>2013</v>
      </c>
      <c r="D88" s="1">
        <v>41639</v>
      </c>
      <c r="E88" s="24">
        <v>9531778000</v>
      </c>
      <c r="F88" s="24">
        <v>7567707000</v>
      </c>
      <c r="G88" s="24">
        <v>2177616000</v>
      </c>
      <c r="H88" s="24">
        <v>0</v>
      </c>
      <c r="I88" s="24">
        <v>167425000</v>
      </c>
      <c r="J88" t="s">
        <v>43</v>
      </c>
      <c r="K88" t="s">
        <v>359</v>
      </c>
      <c r="L88" s="25">
        <f t="shared" si="7"/>
        <v>0.20605505079954656</v>
      </c>
      <c r="M88" s="24">
        <f t="shared" si="8"/>
        <v>1964071000</v>
      </c>
      <c r="N88" s="25">
        <f t="shared" si="5"/>
        <v>-3.9968408832014343E-2</v>
      </c>
      <c r="O88" s="24">
        <f t="shared" si="6"/>
        <v>-380970000</v>
      </c>
    </row>
    <row r="89" spans="1:15" x14ac:dyDescent="0.3">
      <c r="A89" t="s">
        <v>358</v>
      </c>
      <c r="B89">
        <v>3</v>
      </c>
      <c r="C89">
        <v>2014</v>
      </c>
      <c r="D89" s="1">
        <v>42004</v>
      </c>
      <c r="E89" s="24">
        <v>10681897000</v>
      </c>
      <c r="F89" s="24">
        <v>8024286000</v>
      </c>
      <c r="G89" s="24">
        <v>2856642000</v>
      </c>
      <c r="H89" s="24">
        <v>0</v>
      </c>
      <c r="I89" s="24">
        <v>185993000</v>
      </c>
      <c r="J89" t="s">
        <v>43</v>
      </c>
      <c r="K89" t="s">
        <v>359</v>
      </c>
      <c r="L89" s="25">
        <f t="shared" si="7"/>
        <v>0.24879578973659833</v>
      </c>
      <c r="M89" s="24">
        <f t="shared" si="8"/>
        <v>2657611000</v>
      </c>
      <c r="N89" s="25">
        <f t="shared" si="5"/>
        <v>-3.6044534037353103E-2</v>
      </c>
      <c r="O89" s="24">
        <f t="shared" si="6"/>
        <v>-385024000</v>
      </c>
    </row>
    <row r="90" spans="1:15" x14ac:dyDescent="0.3">
      <c r="A90" t="s">
        <v>358</v>
      </c>
      <c r="B90">
        <v>4</v>
      </c>
      <c r="C90">
        <v>2015</v>
      </c>
      <c r="D90" s="1">
        <v>42369</v>
      </c>
      <c r="E90" s="24">
        <v>10116502000</v>
      </c>
      <c r="F90" s="24">
        <v>7677233000</v>
      </c>
      <c r="G90" s="24">
        <v>2620072000</v>
      </c>
      <c r="H90" s="24">
        <v>0</v>
      </c>
      <c r="I90" s="24">
        <v>224133000</v>
      </c>
      <c r="J90" t="s">
        <v>43</v>
      </c>
      <c r="K90" t="s">
        <v>359</v>
      </c>
      <c r="L90" s="25">
        <f t="shared" si="7"/>
        <v>0.24111782906779433</v>
      </c>
      <c r="M90" s="24">
        <f t="shared" si="8"/>
        <v>2439269000</v>
      </c>
      <c r="N90" s="25">
        <f t="shared" si="5"/>
        <v>-4.0027274249538031E-2</v>
      </c>
      <c r="O90" s="24">
        <f t="shared" si="6"/>
        <v>-404936000</v>
      </c>
    </row>
    <row r="91" spans="1:15" x14ac:dyDescent="0.3">
      <c r="A91" t="s">
        <v>374</v>
      </c>
      <c r="B91">
        <v>1</v>
      </c>
      <c r="C91">
        <v>2012</v>
      </c>
      <c r="D91" s="1">
        <v>41274</v>
      </c>
      <c r="E91" s="24">
        <v>2730300000</v>
      </c>
      <c r="F91" s="24">
        <v>795000000</v>
      </c>
      <c r="G91" s="24">
        <v>752200000</v>
      </c>
      <c r="H91" s="24">
        <v>0</v>
      </c>
      <c r="I91" s="24">
        <v>93500000</v>
      </c>
      <c r="J91" t="s">
        <v>43</v>
      </c>
      <c r="K91" t="s">
        <v>375</v>
      </c>
      <c r="L91" s="25">
        <f t="shared" si="7"/>
        <v>0.70882320624107242</v>
      </c>
      <c r="M91" s="24">
        <f t="shared" si="8"/>
        <v>1935300000</v>
      </c>
      <c r="N91" s="25">
        <f t="shared" si="5"/>
        <v>0.39907702450280191</v>
      </c>
      <c r="O91" s="24">
        <f t="shared" si="6"/>
        <v>1089600000</v>
      </c>
    </row>
    <row r="92" spans="1:15" x14ac:dyDescent="0.3">
      <c r="A92" t="s">
        <v>374</v>
      </c>
      <c r="B92">
        <v>2</v>
      </c>
      <c r="C92">
        <v>2013</v>
      </c>
      <c r="D92" s="1">
        <v>41639</v>
      </c>
      <c r="E92" s="24">
        <v>2972500000</v>
      </c>
      <c r="F92" s="24">
        <v>822400000</v>
      </c>
      <c r="G92" s="24">
        <v>822100000</v>
      </c>
      <c r="H92" s="24">
        <v>0</v>
      </c>
      <c r="I92" s="24">
        <v>93400000</v>
      </c>
      <c r="J92" t="s">
        <v>43</v>
      </c>
      <c r="K92" t="s">
        <v>375</v>
      </c>
      <c r="L92" s="25">
        <f t="shared" si="7"/>
        <v>0.72333052985702273</v>
      </c>
      <c r="M92" s="24">
        <f t="shared" si="8"/>
        <v>2150100000</v>
      </c>
      <c r="N92" s="25">
        <f t="shared" si="5"/>
        <v>0.41534062237174096</v>
      </c>
      <c r="O92" s="24">
        <f t="shared" si="6"/>
        <v>1234600000</v>
      </c>
    </row>
    <row r="93" spans="1:15" x14ac:dyDescent="0.3">
      <c r="A93" t="s">
        <v>374</v>
      </c>
      <c r="B93">
        <v>3</v>
      </c>
      <c r="C93">
        <v>2014</v>
      </c>
      <c r="D93" s="1">
        <v>42004</v>
      </c>
      <c r="E93" s="24">
        <v>3334300000</v>
      </c>
      <c r="F93" s="24">
        <v>930300000</v>
      </c>
      <c r="G93" s="24">
        <v>869300000</v>
      </c>
      <c r="H93" s="24">
        <v>0</v>
      </c>
      <c r="I93" s="24">
        <v>95600000</v>
      </c>
      <c r="J93" t="s">
        <v>43</v>
      </c>
      <c r="K93" t="s">
        <v>375</v>
      </c>
      <c r="L93" s="25">
        <f t="shared" si="7"/>
        <v>0.72099091263533577</v>
      </c>
      <c r="M93" s="24">
        <f t="shared" si="8"/>
        <v>2404000000</v>
      </c>
      <c r="N93" s="25">
        <f t="shared" si="5"/>
        <v>0.43160483459796661</v>
      </c>
      <c r="O93" s="24">
        <f t="shared" si="6"/>
        <v>1439100000</v>
      </c>
    </row>
    <row r="94" spans="1:15" x14ac:dyDescent="0.3">
      <c r="A94" t="s">
        <v>374</v>
      </c>
      <c r="B94">
        <v>4</v>
      </c>
      <c r="C94">
        <v>2015</v>
      </c>
      <c r="D94" s="1">
        <v>42369</v>
      </c>
      <c r="E94" s="24">
        <v>3484500000</v>
      </c>
      <c r="F94" s="24">
        <v>976300000</v>
      </c>
      <c r="G94" s="24">
        <v>921300000</v>
      </c>
      <c r="H94" s="24">
        <v>0</v>
      </c>
      <c r="I94" s="24">
        <v>113500000</v>
      </c>
      <c r="J94" t="s">
        <v>43</v>
      </c>
      <c r="K94" t="s">
        <v>375</v>
      </c>
      <c r="L94" s="25">
        <f t="shared" si="7"/>
        <v>0.71981632945903284</v>
      </c>
      <c r="M94" s="24">
        <f t="shared" si="8"/>
        <v>2508200000</v>
      </c>
      <c r="N94" s="25">
        <f t="shared" si="5"/>
        <v>0.42284402353278805</v>
      </c>
      <c r="O94" s="24">
        <f t="shared" si="6"/>
        <v>1473400000</v>
      </c>
    </row>
    <row r="95" spans="1:15" x14ac:dyDescent="0.3">
      <c r="A95" t="s">
        <v>377</v>
      </c>
      <c r="B95">
        <v>1</v>
      </c>
      <c r="C95">
        <v>2012</v>
      </c>
      <c r="D95" s="1">
        <v>41274</v>
      </c>
      <c r="E95" s="24">
        <v>68150000000</v>
      </c>
      <c r="F95" s="24">
        <v>37987000000</v>
      </c>
      <c r="G95" s="24">
        <v>9098000000</v>
      </c>
      <c r="H95" s="24">
        <v>0</v>
      </c>
      <c r="I95" s="24">
        <v>17755000000</v>
      </c>
      <c r="J95" t="s">
        <v>43</v>
      </c>
      <c r="K95" t="s">
        <v>44</v>
      </c>
      <c r="L95" s="25">
        <f t="shared" si="7"/>
        <v>0.44259721203228175</v>
      </c>
      <c r="M95" s="24">
        <f t="shared" si="8"/>
        <v>30163000000</v>
      </c>
      <c r="N95" s="25">
        <f t="shared" si="5"/>
        <v>4.8569332355099047E-2</v>
      </c>
      <c r="O95" s="24">
        <f t="shared" si="6"/>
        <v>3310000000</v>
      </c>
    </row>
    <row r="96" spans="1:15" x14ac:dyDescent="0.3">
      <c r="A96" t="s">
        <v>377</v>
      </c>
      <c r="B96">
        <v>2</v>
      </c>
      <c r="C96">
        <v>2013</v>
      </c>
      <c r="D96" s="1">
        <v>41639</v>
      </c>
      <c r="E96" s="24">
        <v>68199000000</v>
      </c>
      <c r="F96" s="24">
        <v>38107000000</v>
      </c>
      <c r="G96" s="24">
        <v>9438000000</v>
      </c>
      <c r="H96" s="24">
        <v>0</v>
      </c>
      <c r="I96" s="24">
        <v>16602000000</v>
      </c>
      <c r="J96" t="s">
        <v>43</v>
      </c>
      <c r="K96" t="s">
        <v>44</v>
      </c>
      <c r="L96" s="25">
        <f t="shared" si="7"/>
        <v>0.44123814132172023</v>
      </c>
      <c r="M96" s="24">
        <f t="shared" si="8"/>
        <v>30092000000</v>
      </c>
      <c r="N96" s="25">
        <f t="shared" si="5"/>
        <v>5.9414360914382909E-2</v>
      </c>
      <c r="O96" s="24">
        <f t="shared" si="6"/>
        <v>4052000000</v>
      </c>
    </row>
    <row r="97" spans="1:15" x14ac:dyDescent="0.3">
      <c r="A97" t="s">
        <v>377</v>
      </c>
      <c r="B97">
        <v>3</v>
      </c>
      <c r="C97">
        <v>2014</v>
      </c>
      <c r="D97" s="1">
        <v>42004</v>
      </c>
      <c r="E97" s="24">
        <v>73316000000</v>
      </c>
      <c r="F97" s="24">
        <v>39102000000</v>
      </c>
      <c r="G97" s="24">
        <v>8319000000</v>
      </c>
      <c r="H97" s="24">
        <v>0</v>
      </c>
      <c r="I97" s="24">
        <v>17091000000</v>
      </c>
      <c r="J97" t="s">
        <v>43</v>
      </c>
      <c r="K97" t="s">
        <v>44</v>
      </c>
      <c r="L97" s="25">
        <f t="shared" si="7"/>
        <v>0.46666484805499486</v>
      </c>
      <c r="M97" s="24">
        <f t="shared" si="8"/>
        <v>34214000000</v>
      </c>
      <c r="N97" s="25">
        <f t="shared" si="5"/>
        <v>0.12008292869223634</v>
      </c>
      <c r="O97" s="24">
        <f t="shared" si="6"/>
        <v>8804000000</v>
      </c>
    </row>
    <row r="98" spans="1:15" x14ac:dyDescent="0.3">
      <c r="A98" t="s">
        <v>377</v>
      </c>
      <c r="B98">
        <v>4</v>
      </c>
      <c r="C98">
        <v>2015</v>
      </c>
      <c r="D98" s="1">
        <v>42369</v>
      </c>
      <c r="E98" s="24">
        <v>69951000000</v>
      </c>
      <c r="F98" s="24">
        <v>38714000000</v>
      </c>
      <c r="G98" s="24">
        <v>6998000000</v>
      </c>
      <c r="H98" s="24">
        <v>0</v>
      </c>
      <c r="I98" s="24">
        <v>16769000000</v>
      </c>
      <c r="J98" t="s">
        <v>43</v>
      </c>
      <c r="K98" t="s">
        <v>44</v>
      </c>
      <c r="L98" s="25">
        <f t="shared" si="7"/>
        <v>0.44655544595502561</v>
      </c>
      <c r="M98" s="24">
        <f t="shared" si="8"/>
        <v>31237000000</v>
      </c>
      <c r="N98" s="25">
        <f t="shared" si="5"/>
        <v>0.10678903804091436</v>
      </c>
      <c r="O98" s="24">
        <f t="shared" si="6"/>
        <v>7470000000</v>
      </c>
    </row>
    <row r="99" spans="1:15" x14ac:dyDescent="0.3">
      <c r="A99" t="s">
        <v>384</v>
      </c>
      <c r="B99">
        <v>1</v>
      </c>
      <c r="C99">
        <v>2012</v>
      </c>
      <c r="D99" s="1">
        <v>41274</v>
      </c>
      <c r="E99" s="24">
        <v>11924000000</v>
      </c>
      <c r="F99" s="24">
        <v>0</v>
      </c>
      <c r="G99" s="24">
        <v>7134000000</v>
      </c>
      <c r="H99" s="24">
        <v>0</v>
      </c>
      <c r="I99" s="24">
        <v>2961000000</v>
      </c>
      <c r="J99" t="s">
        <v>43</v>
      </c>
      <c r="K99" t="s">
        <v>385</v>
      </c>
      <c r="L99" s="25">
        <f t="shared" si="7"/>
        <v>1</v>
      </c>
      <c r="M99" s="24">
        <f t="shared" si="8"/>
        <v>11924000000</v>
      </c>
      <c r="N99" s="25">
        <f t="shared" si="5"/>
        <v>0.15338812479033881</v>
      </c>
      <c r="O99" s="24">
        <f t="shared" si="6"/>
        <v>1829000000</v>
      </c>
    </row>
    <row r="100" spans="1:15" x14ac:dyDescent="0.3">
      <c r="A100" t="s">
        <v>384</v>
      </c>
      <c r="B100">
        <v>2</v>
      </c>
      <c r="C100">
        <v>2013</v>
      </c>
      <c r="D100" s="1">
        <v>41639</v>
      </c>
      <c r="E100" s="24">
        <v>12261000000</v>
      </c>
      <c r="F100" s="24">
        <v>0</v>
      </c>
      <c r="G100" s="24">
        <v>7226000000</v>
      </c>
      <c r="H100" s="24">
        <v>0</v>
      </c>
      <c r="I100" s="24">
        <v>2958000000</v>
      </c>
      <c r="J100" t="s">
        <v>43</v>
      </c>
      <c r="K100" t="s">
        <v>385</v>
      </c>
      <c r="L100" s="25">
        <f t="shared" si="7"/>
        <v>1</v>
      </c>
      <c r="M100" s="24">
        <f t="shared" si="8"/>
        <v>12261000000</v>
      </c>
      <c r="N100" s="25">
        <f t="shared" si="5"/>
        <v>0.16939890710382513</v>
      </c>
      <c r="O100" s="24">
        <f t="shared" si="6"/>
        <v>2077000000</v>
      </c>
    </row>
    <row r="101" spans="1:15" x14ac:dyDescent="0.3">
      <c r="A101" t="s">
        <v>384</v>
      </c>
      <c r="B101">
        <v>3</v>
      </c>
      <c r="C101">
        <v>2014</v>
      </c>
      <c r="D101" s="1">
        <v>42004</v>
      </c>
      <c r="E101" s="24">
        <v>12951000000</v>
      </c>
      <c r="F101" s="24">
        <v>0</v>
      </c>
      <c r="G101" s="24">
        <v>7515000000</v>
      </c>
      <c r="H101" s="24">
        <v>0</v>
      </c>
      <c r="I101" s="24">
        <v>3135000000</v>
      </c>
      <c r="J101" t="s">
        <v>43</v>
      </c>
      <c r="K101" t="s">
        <v>385</v>
      </c>
      <c r="L101" s="25">
        <f t="shared" si="7"/>
        <v>1</v>
      </c>
      <c r="M101" s="24">
        <f t="shared" si="8"/>
        <v>12951000000</v>
      </c>
      <c r="N101" s="25">
        <f t="shared" si="5"/>
        <v>0.17766967801714154</v>
      </c>
      <c r="O101" s="24">
        <f t="shared" si="6"/>
        <v>2301000000</v>
      </c>
    </row>
    <row r="102" spans="1:15" x14ac:dyDescent="0.3">
      <c r="A102" t="s">
        <v>384</v>
      </c>
      <c r="B102">
        <v>4</v>
      </c>
      <c r="C102">
        <v>2015</v>
      </c>
      <c r="D102" s="1">
        <v>42369</v>
      </c>
      <c r="E102" s="24">
        <v>12893000000</v>
      </c>
      <c r="F102" s="24">
        <v>0</v>
      </c>
      <c r="G102" s="24">
        <v>7334000000</v>
      </c>
      <c r="H102" s="24">
        <v>0</v>
      </c>
      <c r="I102" s="24">
        <v>3140000000</v>
      </c>
      <c r="J102" t="s">
        <v>43</v>
      </c>
      <c r="K102" t="s">
        <v>385</v>
      </c>
      <c r="L102" s="25">
        <f t="shared" si="7"/>
        <v>1</v>
      </c>
      <c r="M102" s="24">
        <f t="shared" si="8"/>
        <v>12893000000</v>
      </c>
      <c r="N102" s="25">
        <f t="shared" si="5"/>
        <v>0.18762118979291087</v>
      </c>
      <c r="O102" s="24">
        <f t="shared" si="6"/>
        <v>2419000000</v>
      </c>
    </row>
    <row r="103" spans="1:15" x14ac:dyDescent="0.3">
      <c r="A103" t="s">
        <v>397</v>
      </c>
      <c r="B103">
        <v>1</v>
      </c>
      <c r="C103">
        <v>2012</v>
      </c>
      <c r="D103" s="1">
        <v>41274</v>
      </c>
      <c r="E103" s="24">
        <v>4608955000</v>
      </c>
      <c r="F103" s="24">
        <v>116586000</v>
      </c>
      <c r="G103" s="24">
        <v>2448629000</v>
      </c>
      <c r="H103" s="24">
        <v>0</v>
      </c>
      <c r="I103" s="24">
        <v>264631000</v>
      </c>
      <c r="J103" t="s">
        <v>43</v>
      </c>
      <c r="K103" t="s">
        <v>101</v>
      </c>
      <c r="L103" s="25">
        <f t="shared" si="7"/>
        <v>0.97470446120649912</v>
      </c>
      <c r="M103" s="24">
        <f t="shared" si="8"/>
        <v>4492369000</v>
      </c>
      <c r="N103" s="25">
        <f t="shared" si="5"/>
        <v>0.38601136266246905</v>
      </c>
      <c r="O103" s="24">
        <f t="shared" si="6"/>
        <v>1779109000</v>
      </c>
    </row>
    <row r="104" spans="1:15" x14ac:dyDescent="0.3">
      <c r="A104" t="s">
        <v>397</v>
      </c>
      <c r="B104">
        <v>2</v>
      </c>
      <c r="C104">
        <v>2013</v>
      </c>
      <c r="D104" s="1">
        <v>41639</v>
      </c>
      <c r="E104" s="24">
        <v>4822539000</v>
      </c>
      <c r="F104" s="24">
        <v>83692000</v>
      </c>
      <c r="G104" s="24">
        <v>2540954000</v>
      </c>
      <c r="H104" s="24">
        <v>0</v>
      </c>
      <c r="I104" s="24">
        <v>231912000</v>
      </c>
      <c r="J104" t="s">
        <v>43</v>
      </c>
      <c r="K104" t="s">
        <v>101</v>
      </c>
      <c r="L104" s="25">
        <f t="shared" si="7"/>
        <v>0.98264565615747224</v>
      </c>
      <c r="M104" s="24">
        <f t="shared" si="8"/>
        <v>4738847000</v>
      </c>
      <c r="N104" s="25">
        <f t="shared" si="5"/>
        <v>0.40766513241261504</v>
      </c>
      <c r="O104" s="24">
        <f t="shared" si="6"/>
        <v>1965981000</v>
      </c>
    </row>
    <row r="105" spans="1:15" x14ac:dyDescent="0.3">
      <c r="A105" t="s">
        <v>397</v>
      </c>
      <c r="B105">
        <v>3</v>
      </c>
      <c r="C105">
        <v>2014</v>
      </c>
      <c r="D105" s="1">
        <v>42004</v>
      </c>
      <c r="E105" s="24">
        <v>4736150000</v>
      </c>
      <c r="F105" s="24">
        <v>63083000</v>
      </c>
      <c r="G105" s="24">
        <v>2655650000</v>
      </c>
      <c r="H105" s="24">
        <v>0</v>
      </c>
      <c r="I105" s="24">
        <v>157824000</v>
      </c>
      <c r="J105" t="s">
        <v>43</v>
      </c>
      <c r="K105" t="s">
        <v>101</v>
      </c>
      <c r="L105" s="25">
        <f t="shared" si="7"/>
        <v>0.98668053165545855</v>
      </c>
      <c r="M105" s="24">
        <f t="shared" si="8"/>
        <v>4673067000</v>
      </c>
      <c r="N105" s="25">
        <f t="shared" si="5"/>
        <v>0.39263811323543385</v>
      </c>
      <c r="O105" s="24">
        <f t="shared" si="6"/>
        <v>1859593000</v>
      </c>
    </row>
    <row r="106" spans="1:15" x14ac:dyDescent="0.3">
      <c r="A106" t="s">
        <v>397</v>
      </c>
      <c r="B106">
        <v>4</v>
      </c>
      <c r="C106">
        <v>2015</v>
      </c>
      <c r="D106" s="1">
        <v>42369</v>
      </c>
      <c r="E106" s="24">
        <v>4995881000</v>
      </c>
      <c r="F106" s="24">
        <v>73814000</v>
      </c>
      <c r="G106" s="24">
        <v>2796508000</v>
      </c>
      <c r="H106" s="24">
        <v>0</v>
      </c>
      <c r="I106" s="24">
        <v>196424000</v>
      </c>
      <c r="J106" t="s">
        <v>43</v>
      </c>
      <c r="K106" t="s">
        <v>101</v>
      </c>
      <c r="L106" s="25">
        <f t="shared" si="7"/>
        <v>0.98522502837837811</v>
      </c>
      <c r="M106" s="24">
        <f t="shared" si="8"/>
        <v>4922067000</v>
      </c>
      <c r="N106" s="25">
        <f t="shared" si="5"/>
        <v>0.38614510633860172</v>
      </c>
      <c r="O106" s="24">
        <f t="shared" si="6"/>
        <v>1929135000</v>
      </c>
    </row>
    <row r="107" spans="1:15" x14ac:dyDescent="0.3">
      <c r="A107" t="s">
        <v>403</v>
      </c>
      <c r="B107">
        <v>1</v>
      </c>
      <c r="C107">
        <v>2012</v>
      </c>
      <c r="D107" s="1">
        <v>41274</v>
      </c>
      <c r="E107" s="24">
        <v>3023000000</v>
      </c>
      <c r="F107" s="24">
        <v>1446000000</v>
      </c>
      <c r="G107" s="24">
        <v>832000000</v>
      </c>
      <c r="H107" s="24">
        <v>0</v>
      </c>
      <c r="I107" s="24">
        <v>104000000</v>
      </c>
      <c r="J107" t="s">
        <v>43</v>
      </c>
      <c r="K107" t="s">
        <v>375</v>
      </c>
      <c r="L107" s="25">
        <f t="shared" si="7"/>
        <v>0.52166721799536886</v>
      </c>
      <c r="M107" s="24">
        <f t="shared" si="8"/>
        <v>1577000000</v>
      </c>
      <c r="N107" s="25">
        <f t="shared" si="5"/>
        <v>0.2120410188554416</v>
      </c>
      <c r="O107" s="24">
        <f t="shared" si="6"/>
        <v>641000000</v>
      </c>
    </row>
    <row r="108" spans="1:15" x14ac:dyDescent="0.3">
      <c r="A108" t="s">
        <v>403</v>
      </c>
      <c r="B108">
        <v>2</v>
      </c>
      <c r="C108">
        <v>2013</v>
      </c>
      <c r="D108" s="1">
        <v>41639</v>
      </c>
      <c r="E108" s="24">
        <v>3100000000</v>
      </c>
      <c r="F108" s="24">
        <v>1316000000</v>
      </c>
      <c r="G108" s="24">
        <v>1054000000</v>
      </c>
      <c r="H108" s="24">
        <v>0</v>
      </c>
      <c r="I108" s="24">
        <v>122000000</v>
      </c>
      <c r="J108" t="s">
        <v>43</v>
      </c>
      <c r="K108" t="s">
        <v>375</v>
      </c>
      <c r="L108" s="25">
        <f t="shared" si="7"/>
        <v>0.5754838709677419</v>
      </c>
      <c r="M108" s="24">
        <f t="shared" si="8"/>
        <v>1784000000</v>
      </c>
      <c r="N108" s="25">
        <f t="shared" si="5"/>
        <v>0.19612903225806452</v>
      </c>
      <c r="O108" s="24">
        <f t="shared" si="6"/>
        <v>608000000</v>
      </c>
    </row>
    <row r="109" spans="1:15" x14ac:dyDescent="0.3">
      <c r="A109" t="s">
        <v>403</v>
      </c>
      <c r="B109">
        <v>3</v>
      </c>
      <c r="C109">
        <v>2014</v>
      </c>
      <c r="D109" s="1">
        <v>42004</v>
      </c>
      <c r="E109" s="24">
        <v>3383000000</v>
      </c>
      <c r="F109" s="24">
        <v>1433000000</v>
      </c>
      <c r="G109" s="24">
        <v>1095000000</v>
      </c>
      <c r="H109" s="24">
        <v>0</v>
      </c>
      <c r="I109" s="24">
        <v>137000000</v>
      </c>
      <c r="J109" t="s">
        <v>43</v>
      </c>
      <c r="K109" t="s">
        <v>375</v>
      </c>
      <c r="L109" s="25">
        <f t="shared" si="7"/>
        <v>0.57641146911025709</v>
      </c>
      <c r="M109" s="24">
        <f t="shared" si="8"/>
        <v>1950000000</v>
      </c>
      <c r="N109" s="25">
        <f t="shared" si="5"/>
        <v>0.21223765888264853</v>
      </c>
      <c r="O109" s="24">
        <f t="shared" si="6"/>
        <v>718000000</v>
      </c>
    </row>
    <row r="110" spans="1:15" x14ac:dyDescent="0.3">
      <c r="A110" t="s">
        <v>403</v>
      </c>
      <c r="B110">
        <v>4</v>
      </c>
      <c r="C110">
        <v>2015</v>
      </c>
      <c r="D110" s="1">
        <v>42369</v>
      </c>
      <c r="E110" s="24">
        <v>3292000000</v>
      </c>
      <c r="F110" s="24">
        <v>1313000000</v>
      </c>
      <c r="G110" s="24">
        <v>1050000000</v>
      </c>
      <c r="H110" s="24">
        <v>0</v>
      </c>
      <c r="I110" s="24">
        <v>138000000</v>
      </c>
      <c r="J110" t="s">
        <v>43</v>
      </c>
      <c r="K110" t="s">
        <v>375</v>
      </c>
      <c r="L110" s="25">
        <f t="shared" si="7"/>
        <v>0.6011543134872418</v>
      </c>
      <c r="M110" s="24">
        <f t="shared" si="8"/>
        <v>1979000000</v>
      </c>
      <c r="N110" s="25">
        <f t="shared" si="5"/>
        <v>0.24027946537059539</v>
      </c>
      <c r="O110" s="24">
        <f t="shared" si="6"/>
        <v>791000000</v>
      </c>
    </row>
    <row r="111" spans="1:15" x14ac:dyDescent="0.3">
      <c r="A111" t="s">
        <v>424</v>
      </c>
      <c r="B111">
        <v>1</v>
      </c>
      <c r="C111">
        <v>2012</v>
      </c>
      <c r="D111" s="1">
        <v>41274</v>
      </c>
      <c r="E111" s="24">
        <v>1355300000</v>
      </c>
      <c r="F111" s="24">
        <v>90800000</v>
      </c>
      <c r="G111" s="24">
        <v>803800000</v>
      </c>
      <c r="H111" s="24">
        <v>0</v>
      </c>
      <c r="I111" s="24">
        <v>76000000</v>
      </c>
      <c r="J111" t="s">
        <v>43</v>
      </c>
      <c r="K111" t="s">
        <v>425</v>
      </c>
      <c r="L111" s="25">
        <f t="shared" si="7"/>
        <v>0.93300376300450083</v>
      </c>
      <c r="M111" s="24">
        <f t="shared" si="8"/>
        <v>1264500000</v>
      </c>
      <c r="N111" s="25">
        <f t="shared" si="5"/>
        <v>0.28384859440714233</v>
      </c>
      <c r="O111" s="24">
        <f t="shared" si="6"/>
        <v>384700000</v>
      </c>
    </row>
    <row r="112" spans="1:15" x14ac:dyDescent="0.3">
      <c r="A112" t="s">
        <v>424</v>
      </c>
      <c r="B112">
        <v>2</v>
      </c>
      <c r="C112">
        <v>2013</v>
      </c>
      <c r="D112" s="1">
        <v>41639</v>
      </c>
      <c r="E112" s="24">
        <v>1346100000</v>
      </c>
      <c r="F112" s="24">
        <v>81100000</v>
      </c>
      <c r="G112" s="24">
        <v>812800000</v>
      </c>
      <c r="H112" s="24">
        <v>0</v>
      </c>
      <c r="I112" s="24">
        <v>69900000</v>
      </c>
      <c r="J112" t="s">
        <v>43</v>
      </c>
      <c r="K112" t="s">
        <v>425</v>
      </c>
      <c r="L112" s="25">
        <f t="shared" si="7"/>
        <v>0.93975187578931729</v>
      </c>
      <c r="M112" s="24">
        <f t="shared" si="8"/>
        <v>1265000000</v>
      </c>
      <c r="N112" s="25">
        <f t="shared" si="5"/>
        <v>0.28400564594012334</v>
      </c>
      <c r="O112" s="24">
        <f t="shared" si="6"/>
        <v>382300000</v>
      </c>
    </row>
    <row r="113" spans="1:15" x14ac:dyDescent="0.3">
      <c r="A113" t="s">
        <v>424</v>
      </c>
      <c r="B113">
        <v>3</v>
      </c>
      <c r="C113">
        <v>2014</v>
      </c>
      <c r="D113" s="1">
        <v>42004</v>
      </c>
      <c r="E113" s="24">
        <v>1381400000</v>
      </c>
      <c r="F113" s="24">
        <v>80900000</v>
      </c>
      <c r="G113" s="24">
        <v>816700000</v>
      </c>
      <c r="H113" s="24">
        <v>0</v>
      </c>
      <c r="I113" s="24">
        <v>65400000</v>
      </c>
      <c r="J113" t="s">
        <v>43</v>
      </c>
      <c r="K113" t="s">
        <v>425</v>
      </c>
      <c r="L113" s="25">
        <f t="shared" si="7"/>
        <v>0.94143622412045747</v>
      </c>
      <c r="M113" s="24">
        <f t="shared" si="8"/>
        <v>1300500000</v>
      </c>
      <c r="N113" s="25">
        <f t="shared" si="5"/>
        <v>0.30288113508035325</v>
      </c>
      <c r="O113" s="24">
        <f t="shared" si="6"/>
        <v>418400000</v>
      </c>
    </row>
    <row r="114" spans="1:15" x14ac:dyDescent="0.3">
      <c r="A114" t="s">
        <v>424</v>
      </c>
      <c r="B114">
        <v>4</v>
      </c>
      <c r="C114">
        <v>2015</v>
      </c>
      <c r="D114" s="1">
        <v>42369</v>
      </c>
      <c r="E114" s="24">
        <v>1421300000</v>
      </c>
      <c r="F114" s="24">
        <v>95500000</v>
      </c>
      <c r="G114" s="24">
        <v>836700000</v>
      </c>
      <c r="H114" s="24">
        <v>0</v>
      </c>
      <c r="I114" s="24">
        <v>57300000</v>
      </c>
      <c r="J114" t="s">
        <v>43</v>
      </c>
      <c r="K114" t="s">
        <v>425</v>
      </c>
      <c r="L114" s="25">
        <f t="shared" si="7"/>
        <v>0.93280799268275527</v>
      </c>
      <c r="M114" s="24">
        <f t="shared" si="8"/>
        <v>1325800000</v>
      </c>
      <c r="N114" s="25">
        <f t="shared" si="5"/>
        <v>0.30380637444592978</v>
      </c>
      <c r="O114" s="24">
        <f t="shared" si="6"/>
        <v>431800000</v>
      </c>
    </row>
    <row r="115" spans="1:15" x14ac:dyDescent="0.3">
      <c r="A115" t="s">
        <v>435</v>
      </c>
      <c r="B115">
        <v>1</v>
      </c>
      <c r="C115">
        <v>2013</v>
      </c>
      <c r="D115" s="1">
        <v>41639</v>
      </c>
      <c r="E115" s="24">
        <v>9289500000</v>
      </c>
      <c r="F115" s="24">
        <v>4683600000</v>
      </c>
      <c r="G115" s="24">
        <v>189000000</v>
      </c>
      <c r="H115" s="24">
        <v>0</v>
      </c>
      <c r="I115" s="24">
        <v>3292900000</v>
      </c>
      <c r="J115" t="s">
        <v>43</v>
      </c>
      <c r="K115" t="s">
        <v>375</v>
      </c>
      <c r="L115" s="25">
        <f t="shared" si="7"/>
        <v>0.49581785887292107</v>
      </c>
      <c r="M115" s="24">
        <f t="shared" si="8"/>
        <v>4605900000</v>
      </c>
      <c r="N115" s="25">
        <f t="shared" si="5"/>
        <v>0.12099682437160235</v>
      </c>
      <c r="O115" s="24">
        <f t="shared" si="6"/>
        <v>1124000000</v>
      </c>
    </row>
    <row r="116" spans="1:15" x14ac:dyDescent="0.3">
      <c r="A116" t="s">
        <v>435</v>
      </c>
      <c r="B116">
        <v>2</v>
      </c>
      <c r="C116">
        <v>2014</v>
      </c>
      <c r="D116" s="1">
        <v>42004</v>
      </c>
      <c r="E116" s="24">
        <v>10477600000</v>
      </c>
      <c r="F116" s="24">
        <v>5231000000</v>
      </c>
      <c r="G116" s="24">
        <v>177400000</v>
      </c>
      <c r="H116" s="24">
        <v>0</v>
      </c>
      <c r="I116" s="24">
        <v>3574300000</v>
      </c>
      <c r="J116" t="s">
        <v>43</v>
      </c>
      <c r="K116" t="s">
        <v>375</v>
      </c>
      <c r="L116" s="25">
        <f t="shared" si="7"/>
        <v>0.50074444529281514</v>
      </c>
      <c r="M116" s="24">
        <f t="shared" si="8"/>
        <v>5246600000</v>
      </c>
      <c r="N116" s="25">
        <f t="shared" si="5"/>
        <v>0.14267580361914942</v>
      </c>
      <c r="O116" s="24">
        <f t="shared" si="6"/>
        <v>1494900000</v>
      </c>
    </row>
    <row r="117" spans="1:15" x14ac:dyDescent="0.3">
      <c r="A117" t="s">
        <v>435</v>
      </c>
      <c r="B117">
        <v>3</v>
      </c>
      <c r="C117">
        <v>2015</v>
      </c>
      <c r="D117" s="1">
        <v>42369</v>
      </c>
      <c r="E117" s="24">
        <v>11964400000</v>
      </c>
      <c r="F117" s="24">
        <v>6697700000</v>
      </c>
      <c r="G117" s="24">
        <v>163500000</v>
      </c>
      <c r="H117" s="24">
        <v>0</v>
      </c>
      <c r="I117" s="24">
        <v>3672400000</v>
      </c>
      <c r="J117" t="s">
        <v>43</v>
      </c>
      <c r="K117" t="s">
        <v>375</v>
      </c>
      <c r="L117" s="25">
        <f t="shared" si="7"/>
        <v>0.44019758617231119</v>
      </c>
      <c r="M117" s="24">
        <f t="shared" si="8"/>
        <v>5266700000</v>
      </c>
      <c r="N117" s="25">
        <f t="shared" si="5"/>
        <v>0.11958811139714487</v>
      </c>
      <c r="O117" s="24">
        <f t="shared" si="6"/>
        <v>1430800000</v>
      </c>
    </row>
    <row r="118" spans="1:15" x14ac:dyDescent="0.3">
      <c r="A118" t="s">
        <v>435</v>
      </c>
      <c r="B118">
        <v>4</v>
      </c>
      <c r="C118">
        <v>2016</v>
      </c>
      <c r="D118" s="1">
        <v>42735</v>
      </c>
      <c r="E118" s="24">
        <v>12394100000</v>
      </c>
      <c r="F118" s="24">
        <v>6913200000</v>
      </c>
      <c r="G118" s="24">
        <v>156600000</v>
      </c>
      <c r="H118" s="24">
        <v>0</v>
      </c>
      <c r="I118" s="24">
        <v>3732600000</v>
      </c>
      <c r="J118" t="s">
        <v>43</v>
      </c>
      <c r="K118" t="s">
        <v>375</v>
      </c>
      <c r="L118" s="25">
        <f t="shared" si="7"/>
        <v>0.44221847491951816</v>
      </c>
      <c r="M118" s="24">
        <f t="shared" si="8"/>
        <v>5480900000</v>
      </c>
      <c r="N118" s="25">
        <f t="shared" si="5"/>
        <v>0.12842400819744879</v>
      </c>
      <c r="O118" s="24">
        <f t="shared" si="6"/>
        <v>1591700000</v>
      </c>
    </row>
    <row r="119" spans="1:15" x14ac:dyDescent="0.3">
      <c r="A119" t="s">
        <v>437</v>
      </c>
      <c r="B119">
        <v>1</v>
      </c>
      <c r="C119">
        <v>2012</v>
      </c>
      <c r="D119" s="1">
        <v>41274</v>
      </c>
      <c r="E119" s="24">
        <v>17083900000</v>
      </c>
      <c r="F119" s="24">
        <v>15590900000</v>
      </c>
      <c r="G119" s="24">
        <v>15400000</v>
      </c>
      <c r="H119" s="24">
        <v>0</v>
      </c>
      <c r="I119" s="24">
        <v>36100000</v>
      </c>
      <c r="J119" t="s">
        <v>43</v>
      </c>
      <c r="K119" t="s">
        <v>46</v>
      </c>
      <c r="L119" s="25">
        <f t="shared" si="7"/>
        <v>8.7392223087234155E-2</v>
      </c>
      <c r="M119" s="24">
        <f t="shared" si="8"/>
        <v>1493000000</v>
      </c>
      <c r="N119" s="25">
        <f t="shared" si="5"/>
        <v>8.4377688935196302E-2</v>
      </c>
      <c r="O119" s="24">
        <f t="shared" si="6"/>
        <v>1441500000</v>
      </c>
    </row>
    <row r="120" spans="1:15" x14ac:dyDescent="0.3">
      <c r="A120" t="s">
        <v>437</v>
      </c>
      <c r="B120">
        <v>2</v>
      </c>
      <c r="C120">
        <v>2013</v>
      </c>
      <c r="D120" s="1">
        <v>41639</v>
      </c>
      <c r="E120" s="24">
        <v>18170900000</v>
      </c>
      <c r="F120" s="24">
        <v>16275100000</v>
      </c>
      <c r="G120" s="24">
        <v>18800000</v>
      </c>
      <c r="H120" s="24">
        <v>0</v>
      </c>
      <c r="I120" s="24">
        <v>38800000</v>
      </c>
      <c r="J120" t="s">
        <v>43</v>
      </c>
      <c r="K120" t="s">
        <v>46</v>
      </c>
      <c r="L120" s="25">
        <f t="shared" si="7"/>
        <v>0.10433165115651954</v>
      </c>
      <c r="M120" s="24">
        <f t="shared" si="8"/>
        <v>1895800000</v>
      </c>
      <c r="N120" s="25">
        <f t="shared" si="5"/>
        <v>0.10116174762945149</v>
      </c>
      <c r="O120" s="24">
        <f t="shared" si="6"/>
        <v>1838200000</v>
      </c>
    </row>
    <row r="121" spans="1:15" x14ac:dyDescent="0.3">
      <c r="A121" t="s">
        <v>437</v>
      </c>
      <c r="B121">
        <v>3</v>
      </c>
      <c r="C121">
        <v>2014</v>
      </c>
      <c r="D121" s="1">
        <v>42004</v>
      </c>
      <c r="E121" s="24">
        <v>19391400000</v>
      </c>
      <c r="F121" s="24">
        <v>17297300000</v>
      </c>
      <c r="G121" s="24">
        <v>18900000</v>
      </c>
      <c r="H121" s="24">
        <v>0</v>
      </c>
      <c r="I121" s="24">
        <v>50900000</v>
      </c>
      <c r="J121" t="s">
        <v>43</v>
      </c>
      <c r="K121" t="s">
        <v>46</v>
      </c>
      <c r="L121" s="25">
        <f t="shared" si="7"/>
        <v>0.10799117134399783</v>
      </c>
      <c r="M121" s="24">
        <f t="shared" si="8"/>
        <v>2094100000</v>
      </c>
      <c r="N121" s="25">
        <f t="shared" si="5"/>
        <v>0.10439163753003909</v>
      </c>
      <c r="O121" s="24">
        <f t="shared" si="6"/>
        <v>2024300000</v>
      </c>
    </row>
    <row r="122" spans="1:15" x14ac:dyDescent="0.3">
      <c r="A122" t="s">
        <v>437</v>
      </c>
      <c r="B122">
        <v>4</v>
      </c>
      <c r="C122">
        <v>2015</v>
      </c>
      <c r="D122" s="1">
        <v>42369</v>
      </c>
      <c r="E122" s="24">
        <v>20853800000</v>
      </c>
      <c r="F122" s="24">
        <v>18705900000</v>
      </c>
      <c r="G122" s="24">
        <v>22800000</v>
      </c>
      <c r="H122" s="24">
        <v>0</v>
      </c>
      <c r="I122" s="24">
        <v>77500000</v>
      </c>
      <c r="J122" t="s">
        <v>43</v>
      </c>
      <c r="K122" t="s">
        <v>46</v>
      </c>
      <c r="L122" s="25">
        <f t="shared" si="7"/>
        <v>0.10299801475030934</v>
      </c>
      <c r="M122" s="24">
        <f t="shared" si="8"/>
        <v>2147900000</v>
      </c>
      <c r="N122" s="25">
        <f t="shared" si="5"/>
        <v>9.8188339775005032E-2</v>
      </c>
      <c r="O122" s="24">
        <f t="shared" si="6"/>
        <v>2047600000</v>
      </c>
    </row>
    <row r="123" spans="1:15" x14ac:dyDescent="0.3">
      <c r="A123" t="s">
        <v>442</v>
      </c>
      <c r="B123">
        <v>1</v>
      </c>
      <c r="C123">
        <v>2012</v>
      </c>
      <c r="D123" s="1">
        <v>41274</v>
      </c>
      <c r="E123" s="24">
        <v>16606000000</v>
      </c>
      <c r="F123" s="24">
        <v>386000000</v>
      </c>
      <c r="G123" s="24">
        <v>10486000000</v>
      </c>
      <c r="H123" s="24">
        <v>0</v>
      </c>
      <c r="I123" s="24">
        <v>987000000</v>
      </c>
      <c r="J123" t="s">
        <v>43</v>
      </c>
      <c r="K123" t="s">
        <v>101</v>
      </c>
      <c r="L123" s="25">
        <f t="shared" si="7"/>
        <v>0.97675538961821029</v>
      </c>
      <c r="M123" s="24">
        <f t="shared" si="8"/>
        <v>16220000000</v>
      </c>
      <c r="N123" s="25">
        <f t="shared" si="5"/>
        <v>0.28586053233770925</v>
      </c>
      <c r="O123" s="24">
        <f t="shared" si="6"/>
        <v>4747000000</v>
      </c>
    </row>
    <row r="124" spans="1:15" x14ac:dyDescent="0.3">
      <c r="A124" t="s">
        <v>442</v>
      </c>
      <c r="B124">
        <v>2</v>
      </c>
      <c r="C124">
        <v>2013</v>
      </c>
      <c r="D124" s="1">
        <v>41639</v>
      </c>
      <c r="E124" s="24">
        <v>16872000000</v>
      </c>
      <c r="F124" s="24">
        <v>344000000</v>
      </c>
      <c r="G124" s="24">
        <v>9681000000</v>
      </c>
      <c r="H124" s="24">
        <v>0</v>
      </c>
      <c r="I124" s="24">
        <v>643000000</v>
      </c>
      <c r="J124" t="s">
        <v>43</v>
      </c>
      <c r="K124" t="s">
        <v>101</v>
      </c>
      <c r="L124" s="25">
        <f t="shared" si="7"/>
        <v>0.97961119013750597</v>
      </c>
      <c r="M124" s="24">
        <f t="shared" si="8"/>
        <v>16528000000</v>
      </c>
      <c r="N124" s="25">
        <f t="shared" si="5"/>
        <v>0.36770981507823614</v>
      </c>
      <c r="O124" s="24">
        <f t="shared" si="6"/>
        <v>6204000000</v>
      </c>
    </row>
    <row r="125" spans="1:15" x14ac:dyDescent="0.3">
      <c r="A125" t="s">
        <v>442</v>
      </c>
      <c r="B125">
        <v>3</v>
      </c>
      <c r="C125">
        <v>2014</v>
      </c>
      <c r="D125" s="1">
        <v>42004</v>
      </c>
      <c r="E125" s="24">
        <v>16281000000</v>
      </c>
      <c r="F125" s="24">
        <v>325000000</v>
      </c>
      <c r="G125" s="24">
        <v>9488000000</v>
      </c>
      <c r="H125" s="24">
        <v>0</v>
      </c>
      <c r="I125" s="24">
        <v>273000000</v>
      </c>
      <c r="J125" t="s">
        <v>43</v>
      </c>
      <c r="K125" t="s">
        <v>101</v>
      </c>
      <c r="L125" s="25">
        <f t="shared" si="7"/>
        <v>0.98003808119894353</v>
      </c>
      <c r="M125" s="24">
        <f t="shared" si="8"/>
        <v>15956000000</v>
      </c>
      <c r="N125" s="25">
        <f t="shared" si="5"/>
        <v>0.38050488299244517</v>
      </c>
      <c r="O125" s="24">
        <f t="shared" si="6"/>
        <v>6195000000</v>
      </c>
    </row>
    <row r="126" spans="1:15" x14ac:dyDescent="0.3">
      <c r="A126" t="s">
        <v>442</v>
      </c>
      <c r="B126">
        <v>4</v>
      </c>
      <c r="C126">
        <v>2015</v>
      </c>
      <c r="D126" s="1">
        <v>42369</v>
      </c>
      <c r="E126" s="24">
        <v>16270000000</v>
      </c>
      <c r="F126" s="24">
        <v>403000000</v>
      </c>
      <c r="G126" s="24">
        <v>9463000000</v>
      </c>
      <c r="H126" s="24">
        <v>0</v>
      </c>
      <c r="I126" s="24">
        <v>255000000</v>
      </c>
      <c r="J126" t="s">
        <v>43</v>
      </c>
      <c r="K126" t="s">
        <v>101</v>
      </c>
      <c r="L126" s="25">
        <f t="shared" si="7"/>
        <v>0.97523048555623848</v>
      </c>
      <c r="M126" s="24">
        <f t="shared" si="8"/>
        <v>15867000000</v>
      </c>
      <c r="N126" s="25">
        <f t="shared" si="5"/>
        <v>0.37793484941610328</v>
      </c>
      <c r="O126" s="24">
        <f t="shared" si="6"/>
        <v>6149000000</v>
      </c>
    </row>
    <row r="127" spans="1:15" x14ac:dyDescent="0.3">
      <c r="A127" t="s">
        <v>447</v>
      </c>
      <c r="B127">
        <v>1</v>
      </c>
      <c r="C127">
        <v>2012</v>
      </c>
      <c r="D127" s="1">
        <v>41274</v>
      </c>
      <c r="E127" s="24">
        <v>84847000000</v>
      </c>
      <c r="F127" s="24">
        <v>66635000000</v>
      </c>
      <c r="G127" s="24">
        <v>17504000000</v>
      </c>
      <c r="H127" s="24">
        <v>0</v>
      </c>
      <c r="I127" s="24">
        <v>0</v>
      </c>
      <c r="J127" t="s">
        <v>43</v>
      </c>
      <c r="K127" t="s">
        <v>375</v>
      </c>
      <c r="L127" s="25">
        <f t="shared" si="7"/>
        <v>0.21464518486216366</v>
      </c>
      <c r="M127" s="24">
        <f t="shared" si="8"/>
        <v>18212000000</v>
      </c>
      <c r="N127" s="25">
        <f t="shared" si="5"/>
        <v>8.3444317418411972E-3</v>
      </c>
      <c r="O127" s="24">
        <f t="shared" si="6"/>
        <v>708000000</v>
      </c>
    </row>
    <row r="128" spans="1:15" x14ac:dyDescent="0.3">
      <c r="A128" t="s">
        <v>447</v>
      </c>
      <c r="B128">
        <v>2</v>
      </c>
      <c r="C128">
        <v>2013</v>
      </c>
      <c r="D128" s="1">
        <v>41639</v>
      </c>
      <c r="E128" s="24">
        <v>41461000000</v>
      </c>
      <c r="F128" s="24">
        <v>26973000000</v>
      </c>
      <c r="G128" s="24">
        <v>16172000000</v>
      </c>
      <c r="H128" s="24">
        <v>0</v>
      </c>
      <c r="I128" s="24">
        <v>0</v>
      </c>
      <c r="J128" t="s">
        <v>43</v>
      </c>
      <c r="K128" t="s">
        <v>375</v>
      </c>
      <c r="L128" s="25">
        <f t="shared" si="7"/>
        <v>0.34943682014423194</v>
      </c>
      <c r="M128" s="24">
        <f t="shared" si="8"/>
        <v>14488000000</v>
      </c>
      <c r="N128" s="25">
        <f t="shared" si="5"/>
        <v>-4.0616482959890017E-2</v>
      </c>
      <c r="O128" s="24">
        <f t="shared" si="6"/>
        <v>-1684000000</v>
      </c>
    </row>
    <row r="129" spans="1:15" x14ac:dyDescent="0.3">
      <c r="A129" t="s">
        <v>447</v>
      </c>
      <c r="B129">
        <v>3</v>
      </c>
      <c r="C129">
        <v>2014</v>
      </c>
      <c r="D129" s="1">
        <v>42004</v>
      </c>
      <c r="E129" s="24">
        <v>54105000000</v>
      </c>
      <c r="F129" s="24">
        <v>33560000000</v>
      </c>
      <c r="G129" s="24">
        <v>18786000000</v>
      </c>
      <c r="H129" s="24">
        <v>0</v>
      </c>
      <c r="I129" s="24">
        <v>0</v>
      </c>
      <c r="J129" t="s">
        <v>43</v>
      </c>
      <c r="K129" t="s">
        <v>375</v>
      </c>
      <c r="L129" s="25">
        <f t="shared" si="7"/>
        <v>0.37972460955549392</v>
      </c>
      <c r="M129" s="24">
        <f t="shared" si="8"/>
        <v>20545000000</v>
      </c>
      <c r="N129" s="25">
        <f t="shared" si="5"/>
        <v>3.2510858515848812E-2</v>
      </c>
      <c r="O129" s="24">
        <f t="shared" si="6"/>
        <v>1759000000</v>
      </c>
    </row>
    <row r="130" spans="1:15" x14ac:dyDescent="0.3">
      <c r="A130" t="s">
        <v>447</v>
      </c>
      <c r="B130">
        <v>4</v>
      </c>
      <c r="C130">
        <v>2015</v>
      </c>
      <c r="D130" s="1">
        <v>42369</v>
      </c>
      <c r="E130" s="24">
        <v>57119000000</v>
      </c>
      <c r="F130" s="24">
        <v>32747000000</v>
      </c>
      <c r="G130" s="24">
        <v>16603000000</v>
      </c>
      <c r="H130" s="24">
        <v>0</v>
      </c>
      <c r="I130" s="24">
        <v>0</v>
      </c>
      <c r="J130" t="s">
        <v>43</v>
      </c>
      <c r="K130" t="s">
        <v>375</v>
      </c>
      <c r="L130" s="25">
        <f t="shared" si="7"/>
        <v>0.42668814229940999</v>
      </c>
      <c r="M130" s="24">
        <f t="shared" si="8"/>
        <v>24372000000</v>
      </c>
      <c r="N130" s="25">
        <f t="shared" si="5"/>
        <v>0.13601428596439014</v>
      </c>
      <c r="O130" s="24">
        <f t="shared" si="6"/>
        <v>7769000000</v>
      </c>
    </row>
    <row r="131" spans="1:15" x14ac:dyDescent="0.3">
      <c r="A131" t="s">
        <v>483</v>
      </c>
      <c r="B131">
        <v>1</v>
      </c>
      <c r="C131">
        <v>2012</v>
      </c>
      <c r="D131" s="1">
        <v>41274</v>
      </c>
      <c r="E131" s="24">
        <v>11240000000</v>
      </c>
      <c r="F131" s="24">
        <v>429000000</v>
      </c>
      <c r="G131" s="24">
        <v>6073000000</v>
      </c>
      <c r="H131" s="24">
        <v>0</v>
      </c>
      <c r="I131" s="24">
        <v>1441000000</v>
      </c>
      <c r="J131" t="s">
        <v>43</v>
      </c>
      <c r="K131" t="s">
        <v>101</v>
      </c>
      <c r="L131" s="25">
        <f t="shared" si="7"/>
        <v>0.96183274021352316</v>
      </c>
      <c r="M131" s="24">
        <f t="shared" si="8"/>
        <v>10811000000</v>
      </c>
      <c r="N131" s="25">
        <f t="shared" ref="N131:N194" si="9">O131/E131</f>
        <v>0.29332740213523134</v>
      </c>
      <c r="O131" s="24">
        <f t="shared" ref="O131:O194" si="10">M131-SUM(G131:I131)</f>
        <v>3297000000</v>
      </c>
    </row>
    <row r="132" spans="1:15" x14ac:dyDescent="0.3">
      <c r="A132" t="s">
        <v>483</v>
      </c>
      <c r="B132">
        <v>2</v>
      </c>
      <c r="C132">
        <v>2013</v>
      </c>
      <c r="D132" s="1">
        <v>41639</v>
      </c>
      <c r="E132" s="24">
        <v>8602000000</v>
      </c>
      <c r="F132" s="24">
        <v>291000000</v>
      </c>
      <c r="G132" s="24">
        <v>5808000000</v>
      </c>
      <c r="H132" s="24">
        <v>0</v>
      </c>
      <c r="I132" s="24">
        <v>576000000</v>
      </c>
      <c r="J132" t="s">
        <v>43</v>
      </c>
      <c r="K132" t="s">
        <v>101</v>
      </c>
      <c r="L132" s="25">
        <f t="shared" ref="L132:L195" si="11">1-(F132/E132)</f>
        <v>0.9661706579865148</v>
      </c>
      <c r="M132" s="24">
        <f t="shared" ref="M132:M195" si="12">E132-F132</f>
        <v>8311000000</v>
      </c>
      <c r="N132" s="25">
        <f t="shared" si="9"/>
        <v>0.22401767030923042</v>
      </c>
      <c r="O132" s="24">
        <f t="shared" si="10"/>
        <v>1927000000</v>
      </c>
    </row>
    <row r="133" spans="1:15" x14ac:dyDescent="0.3">
      <c r="A133" t="s">
        <v>483</v>
      </c>
      <c r="B133">
        <v>3</v>
      </c>
      <c r="C133">
        <v>2014</v>
      </c>
      <c r="D133" s="1">
        <v>42004</v>
      </c>
      <c r="E133" s="24">
        <v>8707000000</v>
      </c>
      <c r="F133" s="24">
        <v>235000000</v>
      </c>
      <c r="G133" s="24">
        <v>5518000000</v>
      </c>
      <c r="H133" s="24">
        <v>0</v>
      </c>
      <c r="I133" s="24">
        <v>367000000</v>
      </c>
      <c r="J133" t="s">
        <v>43</v>
      </c>
      <c r="K133" t="s">
        <v>101</v>
      </c>
      <c r="L133" s="25">
        <f t="shared" si="11"/>
        <v>0.9730102216607327</v>
      </c>
      <c r="M133" s="24">
        <f t="shared" si="12"/>
        <v>8472000000</v>
      </c>
      <c r="N133" s="25">
        <f t="shared" si="9"/>
        <v>0.29711726197312505</v>
      </c>
      <c r="O133" s="24">
        <f t="shared" si="10"/>
        <v>2587000000</v>
      </c>
    </row>
    <row r="134" spans="1:15" x14ac:dyDescent="0.3">
      <c r="A134" t="s">
        <v>483</v>
      </c>
      <c r="B134">
        <v>4</v>
      </c>
      <c r="C134">
        <v>2015</v>
      </c>
      <c r="D134" s="1">
        <v>42369</v>
      </c>
      <c r="E134" s="24">
        <v>8533000000</v>
      </c>
      <c r="F134" s="24">
        <v>219000000</v>
      </c>
      <c r="G134" s="24">
        <v>5120000000</v>
      </c>
      <c r="H134" s="24">
        <v>0</v>
      </c>
      <c r="I134" s="24">
        <v>205000000</v>
      </c>
      <c r="J134" t="s">
        <v>43</v>
      </c>
      <c r="K134" t="s">
        <v>101</v>
      </c>
      <c r="L134" s="25">
        <f t="shared" si="11"/>
        <v>0.97433493495839685</v>
      </c>
      <c r="M134" s="24">
        <f t="shared" si="12"/>
        <v>8314000000</v>
      </c>
      <c r="N134" s="25">
        <f t="shared" si="9"/>
        <v>0.35028712059064809</v>
      </c>
      <c r="O134" s="24">
        <f t="shared" si="10"/>
        <v>2989000000</v>
      </c>
    </row>
    <row r="135" spans="1:15" x14ac:dyDescent="0.3">
      <c r="A135" t="s">
        <v>491</v>
      </c>
      <c r="B135">
        <v>1</v>
      </c>
      <c r="C135">
        <v>2012</v>
      </c>
      <c r="D135" s="1">
        <v>41274</v>
      </c>
      <c r="E135" s="24">
        <v>10793000000</v>
      </c>
      <c r="F135" s="24">
        <v>362000000</v>
      </c>
      <c r="G135" s="24">
        <v>2123000000</v>
      </c>
      <c r="H135" s="24">
        <v>0</v>
      </c>
      <c r="I135" s="24">
        <v>4549000000</v>
      </c>
      <c r="J135" t="s">
        <v>43</v>
      </c>
      <c r="K135" t="s">
        <v>96</v>
      </c>
      <c r="L135" s="25">
        <f t="shared" si="11"/>
        <v>0.96645974242564625</v>
      </c>
      <c r="M135" s="24">
        <f t="shared" si="12"/>
        <v>10431000000</v>
      </c>
      <c r="N135" s="25">
        <f t="shared" si="9"/>
        <v>0.34828129343092745</v>
      </c>
      <c r="O135" s="24">
        <f t="shared" si="10"/>
        <v>3759000000</v>
      </c>
    </row>
    <row r="136" spans="1:15" x14ac:dyDescent="0.3">
      <c r="A136" t="s">
        <v>491</v>
      </c>
      <c r="B136">
        <v>2</v>
      </c>
      <c r="C136">
        <v>2013</v>
      </c>
      <c r="D136" s="1">
        <v>41639</v>
      </c>
      <c r="E136" s="24">
        <v>11813000000</v>
      </c>
      <c r="F136" s="24">
        <v>374000000</v>
      </c>
      <c r="G136" s="24">
        <v>2484000000</v>
      </c>
      <c r="H136" s="24">
        <v>0</v>
      </c>
      <c r="I136" s="24">
        <v>5445000000</v>
      </c>
      <c r="J136" t="s">
        <v>43</v>
      </c>
      <c r="K136" t="s">
        <v>96</v>
      </c>
      <c r="L136" s="25">
        <f t="shared" si="11"/>
        <v>0.96833996444594939</v>
      </c>
      <c r="M136" s="24">
        <f t="shared" si="12"/>
        <v>11439000000</v>
      </c>
      <c r="N136" s="25">
        <f t="shared" si="9"/>
        <v>0.29713028019977988</v>
      </c>
      <c r="O136" s="24">
        <f t="shared" si="10"/>
        <v>3510000000</v>
      </c>
    </row>
    <row r="137" spans="1:15" x14ac:dyDescent="0.3">
      <c r="A137" t="s">
        <v>491</v>
      </c>
      <c r="B137">
        <v>3</v>
      </c>
      <c r="C137">
        <v>2014</v>
      </c>
      <c r="D137" s="1">
        <v>42004</v>
      </c>
      <c r="E137" s="24">
        <v>12727000000</v>
      </c>
      <c r="F137" s="24">
        <v>470000000</v>
      </c>
      <c r="G137" s="24">
        <v>2927000000</v>
      </c>
      <c r="H137" s="24">
        <v>0</v>
      </c>
      <c r="I137" s="24">
        <v>5492000000</v>
      </c>
      <c r="J137" t="s">
        <v>43</v>
      </c>
      <c r="K137" t="s">
        <v>96</v>
      </c>
      <c r="L137" s="25">
        <f t="shared" si="11"/>
        <v>0.96307063722794062</v>
      </c>
      <c r="M137" s="24">
        <f t="shared" si="12"/>
        <v>12257000000</v>
      </c>
      <c r="N137" s="25">
        <f t="shared" si="9"/>
        <v>0.30156360493439144</v>
      </c>
      <c r="O137" s="24">
        <f t="shared" si="10"/>
        <v>3838000000</v>
      </c>
    </row>
    <row r="138" spans="1:15" x14ac:dyDescent="0.3">
      <c r="A138" t="s">
        <v>491</v>
      </c>
      <c r="B138">
        <v>4</v>
      </c>
      <c r="C138">
        <v>2015</v>
      </c>
      <c r="D138" s="1">
        <v>42369</v>
      </c>
      <c r="E138" s="24">
        <v>13620000000</v>
      </c>
      <c r="F138" s="24">
        <v>607000000</v>
      </c>
      <c r="G138" s="24">
        <v>3264000000</v>
      </c>
      <c r="H138" s="24">
        <v>0</v>
      </c>
      <c r="I138" s="24">
        <v>5690000000</v>
      </c>
      <c r="J138" t="s">
        <v>43</v>
      </c>
      <c r="K138" t="s">
        <v>96</v>
      </c>
      <c r="L138" s="25">
        <f t="shared" si="11"/>
        <v>0.95543318649045517</v>
      </c>
      <c r="M138" s="24">
        <f t="shared" si="12"/>
        <v>13013000000</v>
      </c>
      <c r="N138" s="25">
        <f t="shared" si="9"/>
        <v>0.29801762114537445</v>
      </c>
      <c r="O138" s="24">
        <f t="shared" si="10"/>
        <v>4059000000</v>
      </c>
    </row>
    <row r="139" spans="1:15" x14ac:dyDescent="0.3">
      <c r="A139" t="s">
        <v>508</v>
      </c>
      <c r="B139">
        <v>1</v>
      </c>
      <c r="C139">
        <v>2012</v>
      </c>
      <c r="D139" s="1">
        <v>41274</v>
      </c>
      <c r="E139" s="24">
        <v>3589516000</v>
      </c>
      <c r="F139" s="24">
        <v>1955682000</v>
      </c>
      <c r="G139" s="24">
        <v>0</v>
      </c>
      <c r="H139" s="24">
        <v>0</v>
      </c>
      <c r="I139" s="24">
        <v>787329000</v>
      </c>
      <c r="J139" t="s">
        <v>43</v>
      </c>
      <c r="K139" t="s">
        <v>44</v>
      </c>
      <c r="L139" s="25">
        <f t="shared" si="11"/>
        <v>0.45516832910063643</v>
      </c>
      <c r="M139" s="24">
        <f t="shared" si="12"/>
        <v>1633834000</v>
      </c>
      <c r="N139" s="25">
        <f t="shared" si="9"/>
        <v>0.23582705857837102</v>
      </c>
      <c r="O139" s="24">
        <f t="shared" si="10"/>
        <v>846505000</v>
      </c>
    </row>
    <row r="140" spans="1:15" x14ac:dyDescent="0.3">
      <c r="A140" t="s">
        <v>508</v>
      </c>
      <c r="B140">
        <v>2</v>
      </c>
      <c r="C140">
        <v>2013</v>
      </c>
      <c r="D140" s="1">
        <v>41639</v>
      </c>
      <c r="E140" s="24">
        <v>3494253000</v>
      </c>
      <c r="F140" s="24">
        <v>1838766000</v>
      </c>
      <c r="G140" s="24">
        <v>0</v>
      </c>
      <c r="H140" s="24">
        <v>0</v>
      </c>
      <c r="I140" s="24">
        <v>819711000</v>
      </c>
      <c r="J140" t="s">
        <v>43</v>
      </c>
      <c r="K140" t="s">
        <v>44</v>
      </c>
      <c r="L140" s="25">
        <f t="shared" si="11"/>
        <v>0.47377422298843275</v>
      </c>
      <c r="M140" s="24">
        <f t="shared" si="12"/>
        <v>1655487000</v>
      </c>
      <c r="N140" s="25">
        <f t="shared" si="9"/>
        <v>0.23918588608208965</v>
      </c>
      <c r="O140" s="24">
        <f t="shared" si="10"/>
        <v>835776000</v>
      </c>
    </row>
    <row r="141" spans="1:15" x14ac:dyDescent="0.3">
      <c r="A141" t="s">
        <v>508</v>
      </c>
      <c r="B141">
        <v>3</v>
      </c>
      <c r="C141">
        <v>2014</v>
      </c>
      <c r="D141" s="1">
        <v>42004</v>
      </c>
      <c r="E141" s="24">
        <v>3620095000</v>
      </c>
      <c r="F141" s="24">
        <v>1903384000</v>
      </c>
      <c r="G141" s="24">
        <v>0</v>
      </c>
      <c r="H141" s="24">
        <v>0</v>
      </c>
      <c r="I141" s="24">
        <v>855908000</v>
      </c>
      <c r="J141" t="s">
        <v>43</v>
      </c>
      <c r="K141" t="s">
        <v>44</v>
      </c>
      <c r="L141" s="25">
        <f t="shared" si="11"/>
        <v>0.47421711308681125</v>
      </c>
      <c r="M141" s="24">
        <f t="shared" si="12"/>
        <v>1716711000</v>
      </c>
      <c r="N141" s="25">
        <f t="shared" si="9"/>
        <v>0.23778464377316064</v>
      </c>
      <c r="O141" s="24">
        <f t="shared" si="10"/>
        <v>860803000</v>
      </c>
    </row>
    <row r="142" spans="1:15" x14ac:dyDescent="0.3">
      <c r="A142" t="s">
        <v>508</v>
      </c>
      <c r="B142">
        <v>4</v>
      </c>
      <c r="C142">
        <v>2015</v>
      </c>
      <c r="D142" s="1">
        <v>42369</v>
      </c>
      <c r="E142" s="24">
        <v>3766065000</v>
      </c>
      <c r="F142" s="24">
        <v>2016212000</v>
      </c>
      <c r="G142" s="24">
        <v>0</v>
      </c>
      <c r="H142" s="24">
        <v>0</v>
      </c>
      <c r="I142" s="24">
        <v>907024000</v>
      </c>
      <c r="J142" t="s">
        <v>43</v>
      </c>
      <c r="K142" t="s">
        <v>44</v>
      </c>
      <c r="L142" s="25">
        <f t="shared" si="11"/>
        <v>0.46463696192179371</v>
      </c>
      <c r="M142" s="24">
        <f t="shared" si="12"/>
        <v>1749853000</v>
      </c>
      <c r="N142" s="25">
        <f t="shared" si="9"/>
        <v>0.22379565939515117</v>
      </c>
      <c r="O142" s="24">
        <f t="shared" si="10"/>
        <v>842829000</v>
      </c>
    </row>
    <row r="143" spans="1:15" x14ac:dyDescent="0.3">
      <c r="A143" t="s">
        <v>511</v>
      </c>
      <c r="B143">
        <v>1</v>
      </c>
      <c r="C143">
        <v>2013</v>
      </c>
      <c r="D143" s="1">
        <v>41639</v>
      </c>
      <c r="E143" s="24">
        <v>26191000000</v>
      </c>
      <c r="F143" s="24">
        <v>13307000000</v>
      </c>
      <c r="G143" s="24">
        <v>3757000000</v>
      </c>
      <c r="H143" s="24">
        <v>0</v>
      </c>
      <c r="I143" s="24">
        <v>3821000000</v>
      </c>
      <c r="J143" t="s">
        <v>43</v>
      </c>
      <c r="K143" t="s">
        <v>46</v>
      </c>
      <c r="L143" s="25">
        <f t="shared" si="11"/>
        <v>0.49192470696040624</v>
      </c>
      <c r="M143" s="24">
        <f t="shared" si="12"/>
        <v>12884000000</v>
      </c>
      <c r="N143" s="25">
        <f t="shared" si="9"/>
        <v>0.2025886754992173</v>
      </c>
      <c r="O143" s="24">
        <f t="shared" si="10"/>
        <v>5306000000</v>
      </c>
    </row>
    <row r="144" spans="1:15" x14ac:dyDescent="0.3">
      <c r="A144" t="s">
        <v>511</v>
      </c>
      <c r="B144">
        <v>2</v>
      </c>
      <c r="C144">
        <v>2014</v>
      </c>
      <c r="D144" s="1">
        <v>42004</v>
      </c>
      <c r="E144" s="24">
        <v>27174000000</v>
      </c>
      <c r="F144" s="24">
        <v>13870000000</v>
      </c>
      <c r="G144" s="24">
        <v>3964000000</v>
      </c>
      <c r="H144" s="24">
        <v>0</v>
      </c>
      <c r="I144" s="24">
        <v>3882000000</v>
      </c>
      <c r="J144" t="s">
        <v>43</v>
      </c>
      <c r="K144" t="s">
        <v>46</v>
      </c>
      <c r="L144" s="25">
        <f t="shared" si="11"/>
        <v>0.48958563332597338</v>
      </c>
      <c r="M144" s="24">
        <f t="shared" si="12"/>
        <v>13304000000</v>
      </c>
      <c r="N144" s="25">
        <f t="shared" si="9"/>
        <v>0.20085375726797675</v>
      </c>
      <c r="O144" s="24">
        <f t="shared" si="10"/>
        <v>5458000000</v>
      </c>
    </row>
    <row r="145" spans="1:15" x14ac:dyDescent="0.3">
      <c r="A145" t="s">
        <v>511</v>
      </c>
      <c r="B145">
        <v>3</v>
      </c>
      <c r="C145">
        <v>2015</v>
      </c>
      <c r="D145" s="1">
        <v>42369</v>
      </c>
      <c r="E145" s="24">
        <v>26815000000</v>
      </c>
      <c r="F145" s="24">
        <v>13723000000</v>
      </c>
      <c r="G145" s="24">
        <v>4094000000</v>
      </c>
      <c r="H145" s="24">
        <v>0</v>
      </c>
      <c r="I145" s="24">
        <v>3885000000</v>
      </c>
      <c r="J145" t="s">
        <v>43</v>
      </c>
      <c r="K145" t="s">
        <v>46</v>
      </c>
      <c r="L145" s="25">
        <f t="shared" si="11"/>
        <v>0.48823419727764306</v>
      </c>
      <c r="M145" s="24">
        <f t="shared" si="12"/>
        <v>13092000000</v>
      </c>
      <c r="N145" s="25">
        <f t="shared" si="9"/>
        <v>0.19067685996643668</v>
      </c>
      <c r="O145" s="24">
        <f t="shared" si="10"/>
        <v>5113000000</v>
      </c>
    </row>
    <row r="146" spans="1:15" x14ac:dyDescent="0.3">
      <c r="A146" t="s">
        <v>511</v>
      </c>
      <c r="B146">
        <v>4</v>
      </c>
      <c r="C146">
        <v>2016</v>
      </c>
      <c r="D146" s="1">
        <v>42735</v>
      </c>
      <c r="E146" s="24">
        <v>27625000000</v>
      </c>
      <c r="F146" s="24">
        <v>15070000000</v>
      </c>
      <c r="G146" s="24">
        <v>4154000000</v>
      </c>
      <c r="H146" s="24">
        <v>0</v>
      </c>
      <c r="I146" s="24">
        <v>3985000000</v>
      </c>
      <c r="J146" t="s">
        <v>43</v>
      </c>
      <c r="K146" t="s">
        <v>46</v>
      </c>
      <c r="L146" s="25">
        <f t="shared" si="11"/>
        <v>0.45447963800904978</v>
      </c>
      <c r="M146" s="24">
        <f t="shared" si="12"/>
        <v>12555000000</v>
      </c>
      <c r="N146" s="25">
        <f t="shared" si="9"/>
        <v>0.15985520361990951</v>
      </c>
      <c r="O146" s="24">
        <f t="shared" si="10"/>
        <v>4416000000</v>
      </c>
    </row>
    <row r="147" spans="1:15" x14ac:dyDescent="0.3">
      <c r="A147" t="s">
        <v>525</v>
      </c>
      <c r="B147">
        <v>1</v>
      </c>
      <c r="C147">
        <v>2012</v>
      </c>
      <c r="D147" s="1">
        <v>41274</v>
      </c>
      <c r="E147" s="24">
        <v>10515400000</v>
      </c>
      <c r="F147" s="24">
        <v>7172100000</v>
      </c>
      <c r="G147" s="24">
        <v>786800000</v>
      </c>
      <c r="H147" s="24">
        <v>0</v>
      </c>
      <c r="I147" s="24">
        <v>1161600000</v>
      </c>
      <c r="J147" t="s">
        <v>43</v>
      </c>
      <c r="K147" t="s">
        <v>375</v>
      </c>
      <c r="L147" s="25">
        <f t="shared" si="11"/>
        <v>0.31794320710576873</v>
      </c>
      <c r="M147" s="24">
        <f t="shared" si="12"/>
        <v>3343300000</v>
      </c>
      <c r="N147" s="25">
        <f t="shared" si="9"/>
        <v>0.1326530612244898</v>
      </c>
      <c r="O147" s="24">
        <f t="shared" si="10"/>
        <v>1394900000</v>
      </c>
    </row>
    <row r="148" spans="1:15" x14ac:dyDescent="0.3">
      <c r="A148" t="s">
        <v>525</v>
      </c>
      <c r="B148">
        <v>2</v>
      </c>
      <c r="C148">
        <v>2013</v>
      </c>
      <c r="D148" s="1">
        <v>41639</v>
      </c>
      <c r="E148" s="24">
        <v>10368600000</v>
      </c>
      <c r="F148" s="24">
        <v>7038400000</v>
      </c>
      <c r="G148" s="24">
        <v>790400000</v>
      </c>
      <c r="H148" s="24">
        <v>0</v>
      </c>
      <c r="I148" s="24">
        <v>1170400000</v>
      </c>
      <c r="J148" t="s">
        <v>43</v>
      </c>
      <c r="K148" t="s">
        <v>375</v>
      </c>
      <c r="L148" s="25">
        <f t="shared" si="11"/>
        <v>0.32118125880060955</v>
      </c>
      <c r="M148" s="24">
        <f t="shared" si="12"/>
        <v>3330200000</v>
      </c>
      <c r="N148" s="25">
        <f t="shared" si="9"/>
        <v>0.13207183226279343</v>
      </c>
      <c r="O148" s="24">
        <f t="shared" si="10"/>
        <v>1369400000</v>
      </c>
    </row>
    <row r="149" spans="1:15" x14ac:dyDescent="0.3">
      <c r="A149" t="s">
        <v>525</v>
      </c>
      <c r="B149">
        <v>3</v>
      </c>
      <c r="C149">
        <v>2014</v>
      </c>
      <c r="D149" s="1">
        <v>42004</v>
      </c>
      <c r="E149" s="24">
        <v>10524500000</v>
      </c>
      <c r="F149" s="24">
        <v>7722100000</v>
      </c>
      <c r="G149" s="24">
        <v>820900000</v>
      </c>
      <c r="H149" s="24">
        <v>0</v>
      </c>
      <c r="I149" s="24">
        <v>1272000000</v>
      </c>
      <c r="J149" t="s">
        <v>43</v>
      </c>
      <c r="K149" t="s">
        <v>375</v>
      </c>
      <c r="L149" s="25">
        <f t="shared" si="11"/>
        <v>0.26627393225331375</v>
      </c>
      <c r="M149" s="24">
        <f t="shared" si="12"/>
        <v>2802400000</v>
      </c>
      <c r="N149" s="25">
        <f t="shared" si="9"/>
        <v>6.7414128937241677E-2</v>
      </c>
      <c r="O149" s="24">
        <f t="shared" si="10"/>
        <v>709500000</v>
      </c>
    </row>
    <row r="150" spans="1:15" x14ac:dyDescent="0.3">
      <c r="A150" t="s">
        <v>525</v>
      </c>
      <c r="B150">
        <v>4</v>
      </c>
      <c r="C150">
        <v>2015</v>
      </c>
      <c r="D150" s="1">
        <v>42369</v>
      </c>
      <c r="E150" s="24">
        <v>10731300000</v>
      </c>
      <c r="F150" s="24">
        <v>7209400000</v>
      </c>
      <c r="G150" s="24">
        <v>835100000</v>
      </c>
      <c r="H150" s="24">
        <v>0</v>
      </c>
      <c r="I150" s="24">
        <v>1295700000</v>
      </c>
      <c r="J150" t="s">
        <v>43</v>
      </c>
      <c r="K150" t="s">
        <v>375</v>
      </c>
      <c r="L150" s="25">
        <f t="shared" si="11"/>
        <v>0.32818950173790684</v>
      </c>
      <c r="M150" s="24">
        <f t="shared" si="12"/>
        <v>3521900000</v>
      </c>
      <c r="N150" s="25">
        <f t="shared" si="9"/>
        <v>0.12963014732604625</v>
      </c>
      <c r="O150" s="24">
        <f t="shared" si="10"/>
        <v>1391100000</v>
      </c>
    </row>
    <row r="151" spans="1:15" x14ac:dyDescent="0.3">
      <c r="A151" t="s">
        <v>529</v>
      </c>
      <c r="B151">
        <v>1</v>
      </c>
      <c r="C151">
        <v>2013</v>
      </c>
      <c r="D151" s="1">
        <v>41486</v>
      </c>
      <c r="E151" s="24">
        <v>2436948000</v>
      </c>
      <c r="F151" s="24">
        <v>1589821000</v>
      </c>
      <c r="G151" s="24">
        <v>441168000</v>
      </c>
      <c r="H151" s="24">
        <v>62630000</v>
      </c>
      <c r="I151" s="24">
        <v>0</v>
      </c>
      <c r="J151" t="s">
        <v>43</v>
      </c>
      <c r="K151" t="s">
        <v>101</v>
      </c>
      <c r="L151" s="25">
        <f t="shared" si="11"/>
        <v>0.34761800415930089</v>
      </c>
      <c r="M151" s="24">
        <f t="shared" si="12"/>
        <v>847127000</v>
      </c>
      <c r="N151" s="25">
        <f t="shared" si="9"/>
        <v>0.14088482807183411</v>
      </c>
      <c r="O151" s="24">
        <f t="shared" si="10"/>
        <v>343329000</v>
      </c>
    </row>
    <row r="152" spans="1:15" x14ac:dyDescent="0.3">
      <c r="A152" t="s">
        <v>529</v>
      </c>
      <c r="B152">
        <v>2</v>
      </c>
      <c r="C152">
        <v>2014</v>
      </c>
      <c r="D152" s="1">
        <v>41851</v>
      </c>
      <c r="E152" s="24">
        <v>2473500000</v>
      </c>
      <c r="F152" s="24">
        <v>1595700000</v>
      </c>
      <c r="G152" s="24">
        <v>460300000</v>
      </c>
      <c r="H152" s="24">
        <v>61800000</v>
      </c>
      <c r="I152" s="24">
        <v>0</v>
      </c>
      <c r="J152" t="s">
        <v>43</v>
      </c>
      <c r="K152" t="s">
        <v>101</v>
      </c>
      <c r="L152" s="25">
        <f t="shared" si="11"/>
        <v>0.35488174651303817</v>
      </c>
      <c r="M152" s="24">
        <f t="shared" si="12"/>
        <v>877800000</v>
      </c>
      <c r="N152" s="25">
        <f t="shared" si="9"/>
        <v>0.14380432585405295</v>
      </c>
      <c r="O152" s="24">
        <f t="shared" si="10"/>
        <v>355700000</v>
      </c>
    </row>
    <row r="153" spans="1:15" x14ac:dyDescent="0.3">
      <c r="A153" t="s">
        <v>529</v>
      </c>
      <c r="B153">
        <v>3</v>
      </c>
      <c r="C153">
        <v>2015</v>
      </c>
      <c r="D153" s="1">
        <v>42216</v>
      </c>
      <c r="E153" s="24">
        <v>2371200000</v>
      </c>
      <c r="F153" s="24">
        <v>1562600000</v>
      </c>
      <c r="G153" s="24">
        <v>460100000</v>
      </c>
      <c r="H153" s="24">
        <v>60200000</v>
      </c>
      <c r="I153" s="24">
        <v>0</v>
      </c>
      <c r="J153" t="s">
        <v>43</v>
      </c>
      <c r="K153" t="s">
        <v>101</v>
      </c>
      <c r="L153" s="25">
        <f t="shared" si="11"/>
        <v>0.34100877192982459</v>
      </c>
      <c r="M153" s="24">
        <f t="shared" si="12"/>
        <v>808600000</v>
      </c>
      <c r="N153" s="25">
        <f t="shared" si="9"/>
        <v>0.12158400809716599</v>
      </c>
      <c r="O153" s="24">
        <f t="shared" si="10"/>
        <v>288300000</v>
      </c>
    </row>
    <row r="154" spans="1:15" x14ac:dyDescent="0.3">
      <c r="A154" t="s">
        <v>529</v>
      </c>
      <c r="B154">
        <v>4</v>
      </c>
      <c r="C154">
        <v>2016</v>
      </c>
      <c r="D154" s="1">
        <v>42582</v>
      </c>
      <c r="E154" s="24">
        <v>2220300000</v>
      </c>
      <c r="F154" s="24">
        <v>1465500000</v>
      </c>
      <c r="G154" s="24">
        <v>425100000</v>
      </c>
      <c r="H154" s="24">
        <v>55500000</v>
      </c>
      <c r="I154" s="24">
        <v>0</v>
      </c>
      <c r="J154" t="s">
        <v>43</v>
      </c>
      <c r="K154" t="s">
        <v>101</v>
      </c>
      <c r="L154" s="25">
        <f t="shared" si="11"/>
        <v>0.33995406026212671</v>
      </c>
      <c r="M154" s="24">
        <f t="shared" si="12"/>
        <v>754800000</v>
      </c>
      <c r="N154" s="25">
        <f t="shared" si="9"/>
        <v>0.1234968247534117</v>
      </c>
      <c r="O154" s="24">
        <f t="shared" si="10"/>
        <v>274200000</v>
      </c>
    </row>
    <row r="155" spans="1:15" x14ac:dyDescent="0.3">
      <c r="A155" t="s">
        <v>546</v>
      </c>
      <c r="B155">
        <v>1</v>
      </c>
      <c r="C155">
        <v>2012</v>
      </c>
      <c r="D155" s="1">
        <v>41274</v>
      </c>
      <c r="E155" s="24">
        <v>91247000000</v>
      </c>
      <c r="F155" s="24">
        <v>1727000000</v>
      </c>
      <c r="G155" s="24">
        <v>48724000000</v>
      </c>
      <c r="H155" s="24">
        <v>0</v>
      </c>
      <c r="I155" s="24">
        <v>8891000000</v>
      </c>
      <c r="J155" t="s">
        <v>43</v>
      </c>
      <c r="K155" t="s">
        <v>101</v>
      </c>
      <c r="L155" s="25">
        <f t="shared" si="11"/>
        <v>0.98107335035672405</v>
      </c>
      <c r="M155" s="24">
        <f t="shared" si="12"/>
        <v>89520000000</v>
      </c>
      <c r="N155" s="25">
        <f t="shared" si="9"/>
        <v>0.3496553311341743</v>
      </c>
      <c r="O155" s="24">
        <f t="shared" si="10"/>
        <v>31905000000</v>
      </c>
    </row>
    <row r="156" spans="1:15" x14ac:dyDescent="0.3">
      <c r="A156" t="s">
        <v>546</v>
      </c>
      <c r="B156">
        <v>2</v>
      </c>
      <c r="C156">
        <v>2013</v>
      </c>
      <c r="D156" s="1">
        <v>41639</v>
      </c>
      <c r="E156" s="24">
        <v>88069000000</v>
      </c>
      <c r="F156" s="24">
        <v>1337000000</v>
      </c>
      <c r="G156" s="24">
        <v>47338000000</v>
      </c>
      <c r="H156" s="24">
        <v>0</v>
      </c>
      <c r="I156" s="24">
        <v>3813000000</v>
      </c>
      <c r="J156" t="s">
        <v>43</v>
      </c>
      <c r="K156" t="s">
        <v>101</v>
      </c>
      <c r="L156" s="25">
        <f t="shared" si="11"/>
        <v>0.98481872168413398</v>
      </c>
      <c r="M156" s="24">
        <f t="shared" si="12"/>
        <v>86732000000</v>
      </c>
      <c r="N156" s="25">
        <f t="shared" si="9"/>
        <v>0.40401276272013992</v>
      </c>
      <c r="O156" s="24">
        <f t="shared" si="10"/>
        <v>35581000000</v>
      </c>
    </row>
    <row r="157" spans="1:15" x14ac:dyDescent="0.3">
      <c r="A157" t="s">
        <v>546</v>
      </c>
      <c r="B157">
        <v>3</v>
      </c>
      <c r="C157">
        <v>2014</v>
      </c>
      <c r="D157" s="1">
        <v>42004</v>
      </c>
      <c r="E157" s="24">
        <v>88372000000</v>
      </c>
      <c r="F157" s="24">
        <v>1096000000</v>
      </c>
      <c r="G157" s="24">
        <v>47667000000</v>
      </c>
      <c r="H157" s="24">
        <v>0</v>
      </c>
      <c r="I157" s="24">
        <v>2765000000</v>
      </c>
      <c r="J157" t="s">
        <v>43</v>
      </c>
      <c r="K157" t="s">
        <v>101</v>
      </c>
      <c r="L157" s="25">
        <f t="shared" si="11"/>
        <v>0.9875978816819807</v>
      </c>
      <c r="M157" s="24">
        <f t="shared" si="12"/>
        <v>87276000000</v>
      </c>
      <c r="N157" s="25">
        <f t="shared" si="9"/>
        <v>0.41691938623093289</v>
      </c>
      <c r="O157" s="24">
        <f t="shared" si="10"/>
        <v>36844000000</v>
      </c>
    </row>
    <row r="158" spans="1:15" x14ac:dyDescent="0.3">
      <c r="A158" t="s">
        <v>546</v>
      </c>
      <c r="B158">
        <v>4</v>
      </c>
      <c r="C158">
        <v>2015</v>
      </c>
      <c r="D158" s="1">
        <v>42369</v>
      </c>
      <c r="E158" s="24">
        <v>90033000000</v>
      </c>
      <c r="F158" s="24">
        <v>963000000</v>
      </c>
      <c r="G158" s="24">
        <v>48728000000</v>
      </c>
      <c r="H158" s="24">
        <v>0</v>
      </c>
      <c r="I158" s="24">
        <v>3688000000</v>
      </c>
      <c r="J158" t="s">
        <v>43</v>
      </c>
      <c r="K158" t="s">
        <v>101</v>
      </c>
      <c r="L158" s="25">
        <f t="shared" si="11"/>
        <v>0.98930392189530503</v>
      </c>
      <c r="M158" s="24">
        <f t="shared" si="12"/>
        <v>89070000000</v>
      </c>
      <c r="N158" s="25">
        <f t="shared" si="9"/>
        <v>0.40711739029022692</v>
      </c>
      <c r="O158" s="24">
        <f t="shared" si="10"/>
        <v>36654000000</v>
      </c>
    </row>
    <row r="159" spans="1:15" x14ac:dyDescent="0.3">
      <c r="A159" t="s">
        <v>561</v>
      </c>
      <c r="B159">
        <v>1</v>
      </c>
      <c r="C159">
        <v>2012</v>
      </c>
      <c r="D159" s="1">
        <v>41274</v>
      </c>
      <c r="E159" s="24">
        <v>7232397000</v>
      </c>
      <c r="F159" s="24">
        <v>5165169000</v>
      </c>
      <c r="G159" s="24">
        <v>0</v>
      </c>
      <c r="H159" s="24">
        <v>0</v>
      </c>
      <c r="I159" s="24">
        <v>1173955000</v>
      </c>
      <c r="J159" t="s">
        <v>43</v>
      </c>
      <c r="K159" t="s">
        <v>46</v>
      </c>
      <c r="L159" s="25">
        <f t="shared" si="11"/>
        <v>0.28582888909444548</v>
      </c>
      <c r="M159" s="24">
        <f t="shared" si="12"/>
        <v>2067228000</v>
      </c>
      <c r="N159" s="25">
        <f t="shared" si="9"/>
        <v>0.12350995112685324</v>
      </c>
      <c r="O159" s="24">
        <f t="shared" si="10"/>
        <v>893273000</v>
      </c>
    </row>
    <row r="160" spans="1:15" x14ac:dyDescent="0.3">
      <c r="A160" t="s">
        <v>561</v>
      </c>
      <c r="B160">
        <v>2</v>
      </c>
      <c r="C160">
        <v>2013</v>
      </c>
      <c r="D160" s="1">
        <v>41639</v>
      </c>
      <c r="E160" s="24">
        <v>7541234000</v>
      </c>
      <c r="F160" s="24">
        <v>5106489000</v>
      </c>
      <c r="G160" s="24">
        <v>0</v>
      </c>
      <c r="H160" s="24">
        <v>0</v>
      </c>
      <c r="I160" s="24">
        <v>1213178000</v>
      </c>
      <c r="J160" t="s">
        <v>43</v>
      </c>
      <c r="K160" t="s">
        <v>46</v>
      </c>
      <c r="L160" s="25">
        <f t="shared" si="11"/>
        <v>0.32285763841832782</v>
      </c>
      <c r="M160" s="24">
        <f t="shared" si="12"/>
        <v>2434745000</v>
      </c>
      <c r="N160" s="25">
        <f t="shared" si="9"/>
        <v>0.16198502791452965</v>
      </c>
      <c r="O160" s="24">
        <f t="shared" si="10"/>
        <v>1221567000</v>
      </c>
    </row>
    <row r="161" spans="1:15" x14ac:dyDescent="0.3">
      <c r="A161" t="s">
        <v>561</v>
      </c>
      <c r="B161">
        <v>3</v>
      </c>
      <c r="C161">
        <v>2014</v>
      </c>
      <c r="D161" s="1">
        <v>42004</v>
      </c>
      <c r="E161" s="24">
        <v>6602267000</v>
      </c>
      <c r="F161" s="24">
        <v>4239474000</v>
      </c>
      <c r="G161" s="24">
        <v>0</v>
      </c>
      <c r="H161" s="24">
        <v>0</v>
      </c>
      <c r="I161" s="24">
        <v>1341315000</v>
      </c>
      <c r="J161" t="s">
        <v>43</v>
      </c>
      <c r="K161" t="s">
        <v>46</v>
      </c>
      <c r="L161" s="25">
        <f t="shared" si="11"/>
        <v>0.35787601440535499</v>
      </c>
      <c r="M161" s="24">
        <f t="shared" si="12"/>
        <v>2362793000</v>
      </c>
      <c r="N161" s="25">
        <f t="shared" si="9"/>
        <v>0.15471625125127475</v>
      </c>
      <c r="O161" s="24">
        <f t="shared" si="10"/>
        <v>1021478000</v>
      </c>
    </row>
    <row r="162" spans="1:15" x14ac:dyDescent="0.3">
      <c r="A162" t="s">
        <v>561</v>
      </c>
      <c r="B162">
        <v>4</v>
      </c>
      <c r="C162">
        <v>2015</v>
      </c>
      <c r="D162" s="1">
        <v>42369</v>
      </c>
      <c r="E162" s="24">
        <v>9308926000</v>
      </c>
      <c r="F162" s="24">
        <v>6199645000</v>
      </c>
      <c r="G162" s="24">
        <v>0</v>
      </c>
      <c r="H162" s="24">
        <v>0</v>
      </c>
      <c r="I162" s="24">
        <v>1966939000</v>
      </c>
      <c r="J162" t="s">
        <v>43</v>
      </c>
      <c r="K162" t="s">
        <v>46</v>
      </c>
      <c r="L162" s="25">
        <f t="shared" si="11"/>
        <v>0.33401071186944664</v>
      </c>
      <c r="M162" s="24">
        <f t="shared" si="12"/>
        <v>3109281000</v>
      </c>
      <c r="N162" s="25">
        <f t="shared" si="9"/>
        <v>0.12271469340286946</v>
      </c>
      <c r="O162" s="24">
        <f t="shared" si="10"/>
        <v>1142342000</v>
      </c>
    </row>
    <row r="163" spans="1:15" x14ac:dyDescent="0.3">
      <c r="A163" t="s">
        <v>570</v>
      </c>
      <c r="B163">
        <v>1</v>
      </c>
      <c r="C163">
        <v>2012</v>
      </c>
      <c r="D163" s="1">
        <v>41274</v>
      </c>
      <c r="E163" s="24">
        <v>2458592000</v>
      </c>
      <c r="F163" s="24">
        <v>80146000</v>
      </c>
      <c r="G163" s="24">
        <v>1579007000</v>
      </c>
      <c r="H163" s="24">
        <v>0</v>
      </c>
      <c r="I163" s="24">
        <v>31237000</v>
      </c>
      <c r="J163" t="s">
        <v>43</v>
      </c>
      <c r="K163" t="s">
        <v>136</v>
      </c>
      <c r="L163" s="25">
        <f t="shared" si="11"/>
        <v>0.96740166729575305</v>
      </c>
      <c r="M163" s="24">
        <f t="shared" si="12"/>
        <v>2378446000</v>
      </c>
      <c r="N163" s="25">
        <f t="shared" si="9"/>
        <v>0.31245607241868517</v>
      </c>
      <c r="O163" s="24">
        <f t="shared" si="10"/>
        <v>768202000</v>
      </c>
    </row>
    <row r="164" spans="1:15" x14ac:dyDescent="0.3">
      <c r="A164" t="s">
        <v>570</v>
      </c>
      <c r="B164">
        <v>2</v>
      </c>
      <c r="C164">
        <v>2013</v>
      </c>
      <c r="D164" s="1">
        <v>41639</v>
      </c>
      <c r="E164" s="24">
        <v>2278812000</v>
      </c>
      <c r="F164" s="24">
        <v>58913000</v>
      </c>
      <c r="G164" s="24">
        <v>1700064000</v>
      </c>
      <c r="H164" s="24">
        <v>0</v>
      </c>
      <c r="I164" s="24">
        <v>-72761000</v>
      </c>
      <c r="J164" t="s">
        <v>43</v>
      </c>
      <c r="K164" t="s">
        <v>136</v>
      </c>
      <c r="L164" s="25">
        <f t="shared" si="11"/>
        <v>0.97414749439620296</v>
      </c>
      <c r="M164" s="24">
        <f t="shared" si="12"/>
        <v>2219899000</v>
      </c>
      <c r="N164" s="25">
        <f t="shared" si="9"/>
        <v>0.26004602398091636</v>
      </c>
      <c r="O164" s="24">
        <f t="shared" si="10"/>
        <v>592596000</v>
      </c>
    </row>
    <row r="165" spans="1:15" x14ac:dyDescent="0.3">
      <c r="A165" t="s">
        <v>570</v>
      </c>
      <c r="B165">
        <v>3</v>
      </c>
      <c r="C165">
        <v>2014</v>
      </c>
      <c r="D165" s="1">
        <v>42004</v>
      </c>
      <c r="E165" s="24">
        <v>2361631000</v>
      </c>
      <c r="F165" s="24">
        <v>49736000</v>
      </c>
      <c r="G165" s="24">
        <v>1654369000</v>
      </c>
      <c r="H165" s="24">
        <v>0</v>
      </c>
      <c r="I165" s="24">
        <v>-87159000</v>
      </c>
      <c r="J165" t="s">
        <v>43</v>
      </c>
      <c r="K165" t="s">
        <v>136</v>
      </c>
      <c r="L165" s="25">
        <f t="shared" si="11"/>
        <v>0.97893997834547397</v>
      </c>
      <c r="M165" s="24">
        <f t="shared" si="12"/>
        <v>2311895000</v>
      </c>
      <c r="N165" s="25">
        <f t="shared" si="9"/>
        <v>0.31532656879927473</v>
      </c>
      <c r="O165" s="24">
        <f t="shared" si="10"/>
        <v>744685000</v>
      </c>
    </row>
    <row r="166" spans="1:15" x14ac:dyDescent="0.3">
      <c r="A166" t="s">
        <v>570</v>
      </c>
      <c r="B166">
        <v>4</v>
      </c>
      <c r="C166">
        <v>2015</v>
      </c>
      <c r="D166" s="1">
        <v>42369</v>
      </c>
      <c r="E166" s="24">
        <v>2210591000</v>
      </c>
      <c r="F166" s="24">
        <v>49344000</v>
      </c>
      <c r="G166" s="24">
        <v>1591239000</v>
      </c>
      <c r="H166" s="24">
        <v>0</v>
      </c>
      <c r="I166" s="24">
        <v>49282000</v>
      </c>
      <c r="J166" t="s">
        <v>43</v>
      </c>
      <c r="K166" t="s">
        <v>136</v>
      </c>
      <c r="L166" s="25">
        <f t="shared" si="11"/>
        <v>0.97767836745919978</v>
      </c>
      <c r="M166" s="24">
        <f t="shared" si="12"/>
        <v>2161247000</v>
      </c>
      <c r="N166" s="25">
        <f t="shared" si="9"/>
        <v>0.23555963088603907</v>
      </c>
      <c r="O166" s="24">
        <f t="shared" si="10"/>
        <v>520726000</v>
      </c>
    </row>
    <row r="167" spans="1:15" x14ac:dyDescent="0.3">
      <c r="A167" t="s">
        <v>20</v>
      </c>
      <c r="B167">
        <v>1</v>
      </c>
      <c r="C167">
        <v>2012</v>
      </c>
      <c r="D167" s="1">
        <v>41274</v>
      </c>
      <c r="E167" s="24">
        <v>18380000000</v>
      </c>
      <c r="F167" s="24">
        <v>4508000000</v>
      </c>
      <c r="G167" s="24">
        <v>4989000000</v>
      </c>
      <c r="H167" s="24">
        <v>2778000000</v>
      </c>
      <c r="I167" s="24">
        <v>0</v>
      </c>
      <c r="J167" t="s">
        <v>21</v>
      </c>
      <c r="K167" t="s">
        <v>22</v>
      </c>
      <c r="L167" s="25">
        <f t="shared" si="11"/>
        <v>0.75473340587595206</v>
      </c>
      <c r="M167" s="24">
        <f t="shared" si="12"/>
        <v>13872000000</v>
      </c>
      <c r="N167" s="25">
        <f t="shared" si="9"/>
        <v>0.33215451577801958</v>
      </c>
      <c r="O167" s="24">
        <f t="shared" si="10"/>
        <v>6105000000</v>
      </c>
    </row>
    <row r="168" spans="1:15" x14ac:dyDescent="0.3">
      <c r="A168" t="s">
        <v>20</v>
      </c>
      <c r="B168">
        <v>2</v>
      </c>
      <c r="C168">
        <v>2013</v>
      </c>
      <c r="D168" s="1">
        <v>41639</v>
      </c>
      <c r="E168" s="24">
        <v>18790000000</v>
      </c>
      <c r="F168" s="24">
        <v>4581000000</v>
      </c>
      <c r="G168" s="24">
        <v>5352000000</v>
      </c>
      <c r="H168" s="24">
        <v>2855000000</v>
      </c>
      <c r="I168" s="24">
        <v>0</v>
      </c>
      <c r="J168" t="s">
        <v>21</v>
      </c>
      <c r="K168" t="s">
        <v>22</v>
      </c>
      <c r="L168" s="25">
        <f t="shared" si="11"/>
        <v>0.75620010643959557</v>
      </c>
      <c r="M168" s="24">
        <f t="shared" si="12"/>
        <v>14209000000</v>
      </c>
      <c r="N168" s="25">
        <f t="shared" si="9"/>
        <v>0.31942522618414049</v>
      </c>
      <c r="O168" s="24">
        <f t="shared" si="10"/>
        <v>6002000000</v>
      </c>
    </row>
    <row r="169" spans="1:15" x14ac:dyDescent="0.3">
      <c r="A169" t="s">
        <v>20</v>
      </c>
      <c r="B169">
        <v>3</v>
      </c>
      <c r="C169">
        <v>2014</v>
      </c>
      <c r="D169" s="1">
        <v>42004</v>
      </c>
      <c r="E169" s="24">
        <v>19960000000</v>
      </c>
      <c r="F169" s="24">
        <v>4426000000</v>
      </c>
      <c r="G169" s="24">
        <v>8474000000</v>
      </c>
      <c r="H169" s="24">
        <v>3297000000</v>
      </c>
      <c r="I169" s="24">
        <v>0</v>
      </c>
      <c r="J169" t="s">
        <v>21</v>
      </c>
      <c r="K169" t="s">
        <v>22</v>
      </c>
      <c r="L169" s="25">
        <f t="shared" si="11"/>
        <v>0.77825651302605214</v>
      </c>
      <c r="M169" s="24">
        <f t="shared" si="12"/>
        <v>15534000000</v>
      </c>
      <c r="N169" s="25">
        <f t="shared" si="9"/>
        <v>0.18852705410821644</v>
      </c>
      <c r="O169" s="24">
        <f t="shared" si="10"/>
        <v>3763000000</v>
      </c>
    </row>
    <row r="170" spans="1:15" x14ac:dyDescent="0.3">
      <c r="A170" t="s">
        <v>20</v>
      </c>
      <c r="B170">
        <v>4</v>
      </c>
      <c r="C170">
        <v>2015</v>
      </c>
      <c r="D170" s="1">
        <v>42369</v>
      </c>
      <c r="E170" s="24">
        <v>22859000000</v>
      </c>
      <c r="F170" s="24">
        <v>4500000000</v>
      </c>
      <c r="G170" s="24">
        <v>6387000000</v>
      </c>
      <c r="H170" s="24">
        <v>4285000000</v>
      </c>
      <c r="I170" s="24">
        <v>0</v>
      </c>
      <c r="J170" t="s">
        <v>21</v>
      </c>
      <c r="K170" t="s">
        <v>22</v>
      </c>
      <c r="L170" s="25">
        <f t="shared" si="11"/>
        <v>0.803140994794173</v>
      </c>
      <c r="M170" s="24">
        <f t="shared" si="12"/>
        <v>18359000000</v>
      </c>
      <c r="N170" s="25">
        <f t="shared" si="9"/>
        <v>0.33627892733715387</v>
      </c>
      <c r="O170" s="24">
        <f t="shared" si="10"/>
        <v>7687000000</v>
      </c>
    </row>
    <row r="171" spans="1:15" x14ac:dyDescent="0.3">
      <c r="A171" t="s">
        <v>23</v>
      </c>
      <c r="B171">
        <v>1</v>
      </c>
      <c r="C171">
        <v>2013</v>
      </c>
      <c r="D171" s="1">
        <v>41547</v>
      </c>
      <c r="E171" s="24">
        <v>87959167000</v>
      </c>
      <c r="F171" s="24">
        <v>85451348000</v>
      </c>
      <c r="G171" s="24">
        <v>1447234000</v>
      </c>
      <c r="H171" s="24">
        <v>0</v>
      </c>
      <c r="I171" s="24">
        <v>162186000</v>
      </c>
      <c r="J171" t="s">
        <v>21</v>
      </c>
      <c r="K171" t="s">
        <v>24</v>
      </c>
      <c r="L171" s="25">
        <f t="shared" si="11"/>
        <v>2.8511172689936859E-2</v>
      </c>
      <c r="M171" s="24">
        <f t="shared" si="12"/>
        <v>2507819000</v>
      </c>
      <c r="N171" s="25">
        <f t="shared" si="9"/>
        <v>1.0213818873477963E-2</v>
      </c>
      <c r="O171" s="24">
        <f t="shared" si="10"/>
        <v>898399000</v>
      </c>
    </row>
    <row r="172" spans="1:15" x14ac:dyDescent="0.3">
      <c r="A172" t="s">
        <v>23</v>
      </c>
      <c r="B172">
        <v>2</v>
      </c>
      <c r="C172">
        <v>2014</v>
      </c>
      <c r="D172" s="1">
        <v>41912</v>
      </c>
      <c r="E172" s="24">
        <v>119569127000</v>
      </c>
      <c r="F172" s="24">
        <v>116586761000</v>
      </c>
      <c r="G172" s="24">
        <v>2011595000</v>
      </c>
      <c r="H172" s="24">
        <v>0</v>
      </c>
      <c r="I172" s="24">
        <v>188680000</v>
      </c>
      <c r="J172" t="s">
        <v>21</v>
      </c>
      <c r="K172" t="s">
        <v>24</v>
      </c>
      <c r="L172" s="25">
        <f t="shared" si="11"/>
        <v>2.4942609140234051E-2</v>
      </c>
      <c r="M172" s="24">
        <f t="shared" si="12"/>
        <v>2982366000</v>
      </c>
      <c r="N172" s="25">
        <f t="shared" si="9"/>
        <v>6.5409108490020167E-3</v>
      </c>
      <c r="O172" s="24">
        <f t="shared" si="10"/>
        <v>782091000</v>
      </c>
    </row>
    <row r="173" spans="1:15" x14ac:dyDescent="0.3">
      <c r="A173" t="s">
        <v>23</v>
      </c>
      <c r="B173">
        <v>3</v>
      </c>
      <c r="C173">
        <v>2015</v>
      </c>
      <c r="D173" s="1">
        <v>42277</v>
      </c>
      <c r="E173" s="24">
        <v>135961803000</v>
      </c>
      <c r="F173" s="24">
        <v>132432490000</v>
      </c>
      <c r="G173" s="24">
        <v>2858458000</v>
      </c>
      <c r="H173" s="24">
        <v>0</v>
      </c>
      <c r="I173" s="24">
        <v>248635000</v>
      </c>
      <c r="J173" t="s">
        <v>21</v>
      </c>
      <c r="K173" t="s">
        <v>24</v>
      </c>
      <c r="L173" s="25">
        <f t="shared" si="11"/>
        <v>2.5958121487988817E-2</v>
      </c>
      <c r="M173" s="24">
        <f t="shared" si="12"/>
        <v>3529313000</v>
      </c>
      <c r="N173" s="25">
        <f t="shared" si="9"/>
        <v>3.1054310157978709E-3</v>
      </c>
      <c r="O173" s="24">
        <f t="shared" si="10"/>
        <v>422220000</v>
      </c>
    </row>
    <row r="174" spans="1:15" x14ac:dyDescent="0.3">
      <c r="A174" t="s">
        <v>23</v>
      </c>
      <c r="B174">
        <v>4</v>
      </c>
      <c r="C174">
        <v>2016</v>
      </c>
      <c r="D174" s="1">
        <v>42643</v>
      </c>
      <c r="E174" s="24">
        <v>146849686000</v>
      </c>
      <c r="F174" s="24">
        <v>142577080000</v>
      </c>
      <c r="G174" s="24">
        <v>2382097000</v>
      </c>
      <c r="H174" s="24">
        <v>0</v>
      </c>
      <c r="I174" s="24">
        <v>364735000</v>
      </c>
      <c r="J174" t="s">
        <v>21</v>
      </c>
      <c r="K174" t="s">
        <v>24</v>
      </c>
      <c r="L174" s="25">
        <f t="shared" si="11"/>
        <v>2.9095097962960614E-2</v>
      </c>
      <c r="M174" s="24">
        <f t="shared" si="12"/>
        <v>4272606000</v>
      </c>
      <c r="N174" s="25">
        <f t="shared" si="9"/>
        <v>1.0390039240533343E-2</v>
      </c>
      <c r="O174" s="24">
        <f t="shared" si="10"/>
        <v>1525774000</v>
      </c>
    </row>
    <row r="175" spans="1:15" x14ac:dyDescent="0.3">
      <c r="A175" t="s">
        <v>25</v>
      </c>
      <c r="B175">
        <v>1</v>
      </c>
      <c r="C175">
        <v>2012</v>
      </c>
      <c r="D175" s="1">
        <v>41274</v>
      </c>
      <c r="E175" s="24">
        <v>19050000000</v>
      </c>
      <c r="F175" s="24">
        <v>8899000000</v>
      </c>
      <c r="G175" s="24">
        <v>6735000000</v>
      </c>
      <c r="H175" s="24">
        <v>1461000000</v>
      </c>
      <c r="I175" s="24">
        <v>595000000</v>
      </c>
      <c r="J175" t="s">
        <v>21</v>
      </c>
      <c r="K175" t="s">
        <v>26</v>
      </c>
      <c r="L175" s="25">
        <f t="shared" si="11"/>
        <v>0.53286089238845147</v>
      </c>
      <c r="M175" s="24">
        <f t="shared" si="12"/>
        <v>10151000000</v>
      </c>
      <c r="N175" s="25">
        <f t="shared" si="9"/>
        <v>7.1391076115485563E-2</v>
      </c>
      <c r="O175" s="24">
        <f t="shared" si="10"/>
        <v>1360000000</v>
      </c>
    </row>
    <row r="176" spans="1:15" x14ac:dyDescent="0.3">
      <c r="A176" t="s">
        <v>25</v>
      </c>
      <c r="B176">
        <v>2</v>
      </c>
      <c r="C176">
        <v>2013</v>
      </c>
      <c r="D176" s="1">
        <v>41639</v>
      </c>
      <c r="E176" s="24">
        <v>19657000000</v>
      </c>
      <c r="F176" s="24">
        <v>9193000000</v>
      </c>
      <c r="G176" s="24">
        <v>6372000000</v>
      </c>
      <c r="H176" s="24">
        <v>1371000000</v>
      </c>
      <c r="I176" s="24">
        <v>588000000</v>
      </c>
      <c r="J176" t="s">
        <v>21</v>
      </c>
      <c r="K176" t="s">
        <v>26</v>
      </c>
      <c r="L176" s="25">
        <f t="shared" si="11"/>
        <v>0.53232945006867782</v>
      </c>
      <c r="M176" s="24">
        <f t="shared" si="12"/>
        <v>10464000000</v>
      </c>
      <c r="N176" s="25">
        <f t="shared" si="9"/>
        <v>0.10851096301571959</v>
      </c>
      <c r="O176" s="24">
        <f t="shared" si="10"/>
        <v>2133000000</v>
      </c>
    </row>
    <row r="177" spans="1:15" x14ac:dyDescent="0.3">
      <c r="A177" t="s">
        <v>25</v>
      </c>
      <c r="B177">
        <v>3</v>
      </c>
      <c r="C177">
        <v>2014</v>
      </c>
      <c r="D177" s="1">
        <v>42004</v>
      </c>
      <c r="E177" s="24">
        <v>20247000000</v>
      </c>
      <c r="F177" s="24">
        <v>9218000000</v>
      </c>
      <c r="G177" s="24">
        <v>6530000000</v>
      </c>
      <c r="H177" s="24">
        <v>1345000000</v>
      </c>
      <c r="I177" s="24">
        <v>555000000</v>
      </c>
      <c r="J177" t="s">
        <v>21</v>
      </c>
      <c r="K177" t="s">
        <v>26</v>
      </c>
      <c r="L177" s="25">
        <f t="shared" si="11"/>
        <v>0.54472267496419224</v>
      </c>
      <c r="M177" s="24">
        <f t="shared" si="12"/>
        <v>11029000000</v>
      </c>
      <c r="N177" s="25">
        <f t="shared" si="9"/>
        <v>0.12836469600434633</v>
      </c>
      <c r="O177" s="24">
        <f t="shared" si="10"/>
        <v>2599000000</v>
      </c>
    </row>
    <row r="178" spans="1:15" x14ac:dyDescent="0.3">
      <c r="A178" t="s">
        <v>25</v>
      </c>
      <c r="B178">
        <v>4</v>
      </c>
      <c r="C178">
        <v>2015</v>
      </c>
      <c r="D178" s="1">
        <v>42369</v>
      </c>
      <c r="E178" s="24">
        <v>20405000000</v>
      </c>
      <c r="F178" s="24">
        <v>8747000000</v>
      </c>
      <c r="G178" s="24">
        <v>6785000000</v>
      </c>
      <c r="H178" s="24">
        <v>1405000000</v>
      </c>
      <c r="I178" s="24">
        <v>601000000</v>
      </c>
      <c r="J178" t="s">
        <v>21</v>
      </c>
      <c r="K178" t="s">
        <v>26</v>
      </c>
      <c r="L178" s="25">
        <f t="shared" si="11"/>
        <v>0.57133055623621654</v>
      </c>
      <c r="M178" s="24">
        <f t="shared" si="12"/>
        <v>11658000000</v>
      </c>
      <c r="N178" s="25">
        <f t="shared" si="9"/>
        <v>0.14050477824062729</v>
      </c>
      <c r="O178" s="24">
        <f t="shared" si="10"/>
        <v>2867000000</v>
      </c>
    </row>
    <row r="179" spans="1:15" x14ac:dyDescent="0.3">
      <c r="A179" t="s">
        <v>61</v>
      </c>
      <c r="B179">
        <v>1</v>
      </c>
      <c r="C179">
        <v>2013</v>
      </c>
      <c r="D179" s="1">
        <v>41639</v>
      </c>
      <c r="E179" s="24">
        <v>1551346000</v>
      </c>
      <c r="F179" s="24">
        <v>177556000</v>
      </c>
      <c r="G179" s="24">
        <v>493726000</v>
      </c>
      <c r="H179" s="24">
        <v>317093000</v>
      </c>
      <c r="I179" s="24">
        <v>417000</v>
      </c>
      <c r="J179" t="s">
        <v>21</v>
      </c>
      <c r="K179" t="s">
        <v>62</v>
      </c>
      <c r="L179" s="25">
        <f t="shared" si="11"/>
        <v>0.88554713132982588</v>
      </c>
      <c r="M179" s="24">
        <f t="shared" si="12"/>
        <v>1373790000</v>
      </c>
      <c r="N179" s="25">
        <f t="shared" si="9"/>
        <v>0.36262316723670929</v>
      </c>
      <c r="O179" s="24">
        <f t="shared" si="10"/>
        <v>562554000</v>
      </c>
    </row>
    <row r="180" spans="1:15" x14ac:dyDescent="0.3">
      <c r="A180" t="s">
        <v>61</v>
      </c>
      <c r="B180">
        <v>2</v>
      </c>
      <c r="C180">
        <v>2014</v>
      </c>
      <c r="D180" s="1">
        <v>42004</v>
      </c>
      <c r="E180" s="24">
        <v>2234000000</v>
      </c>
      <c r="F180" s="24">
        <v>174000000</v>
      </c>
      <c r="G180" s="24">
        <v>650000000</v>
      </c>
      <c r="H180" s="24">
        <v>514000000</v>
      </c>
      <c r="I180" s="24">
        <v>0</v>
      </c>
      <c r="J180" t="s">
        <v>21</v>
      </c>
      <c r="K180" t="s">
        <v>62</v>
      </c>
      <c r="L180" s="25">
        <f t="shared" si="11"/>
        <v>0.92211280214861235</v>
      </c>
      <c r="M180" s="24">
        <f t="shared" si="12"/>
        <v>2060000000</v>
      </c>
      <c r="N180" s="25">
        <f t="shared" si="9"/>
        <v>0.40107430617726053</v>
      </c>
      <c r="O180" s="24">
        <f t="shared" si="10"/>
        <v>896000000</v>
      </c>
    </row>
    <row r="181" spans="1:15" x14ac:dyDescent="0.3">
      <c r="A181" t="s">
        <v>61</v>
      </c>
      <c r="B181">
        <v>3</v>
      </c>
      <c r="C181">
        <v>2015</v>
      </c>
      <c r="D181" s="1">
        <v>42369</v>
      </c>
      <c r="E181" s="24">
        <v>2604000000</v>
      </c>
      <c r="F181" s="24">
        <v>233000000</v>
      </c>
      <c r="G181" s="24">
        <v>927000000</v>
      </c>
      <c r="H181" s="24">
        <v>709000000</v>
      </c>
      <c r="I181" s="24">
        <v>117000000</v>
      </c>
      <c r="J181" t="s">
        <v>21</v>
      </c>
      <c r="K181" t="s">
        <v>62</v>
      </c>
      <c r="L181" s="25">
        <f t="shared" si="11"/>
        <v>0.91052227342549918</v>
      </c>
      <c r="M181" s="24">
        <f t="shared" si="12"/>
        <v>2371000000</v>
      </c>
      <c r="N181" s="25">
        <f t="shared" si="9"/>
        <v>0.23732718894009217</v>
      </c>
      <c r="O181" s="24">
        <f t="shared" si="10"/>
        <v>618000000</v>
      </c>
    </row>
    <row r="182" spans="1:15" x14ac:dyDescent="0.3">
      <c r="A182" t="s">
        <v>61</v>
      </c>
      <c r="B182">
        <v>4</v>
      </c>
      <c r="C182">
        <v>2016</v>
      </c>
      <c r="D182" s="1">
        <v>42735</v>
      </c>
      <c r="E182" s="24">
        <v>3084000000</v>
      </c>
      <c r="F182" s="24">
        <v>258000000</v>
      </c>
      <c r="G182" s="24">
        <v>990000000</v>
      </c>
      <c r="H182" s="24">
        <v>757000000</v>
      </c>
      <c r="I182" s="24">
        <v>322000000</v>
      </c>
      <c r="J182" t="s">
        <v>21</v>
      </c>
      <c r="K182" t="s">
        <v>62</v>
      </c>
      <c r="L182" s="25">
        <f t="shared" si="11"/>
        <v>0.91634241245136183</v>
      </c>
      <c r="M182" s="24">
        <f t="shared" si="12"/>
        <v>2826000000</v>
      </c>
      <c r="N182" s="25">
        <f t="shared" si="9"/>
        <v>0.2454604409857328</v>
      </c>
      <c r="O182" s="24">
        <f t="shared" si="10"/>
        <v>757000000</v>
      </c>
    </row>
    <row r="183" spans="1:15" x14ac:dyDescent="0.3">
      <c r="A183" t="s">
        <v>67</v>
      </c>
      <c r="B183">
        <v>1</v>
      </c>
      <c r="C183">
        <v>2013</v>
      </c>
      <c r="D183" s="1">
        <v>41639</v>
      </c>
      <c r="E183" s="24">
        <v>18676000000</v>
      </c>
      <c r="F183" s="24">
        <v>3346000000</v>
      </c>
      <c r="G183" s="24">
        <v>5380000000</v>
      </c>
      <c r="H183" s="24">
        <v>4083000000</v>
      </c>
      <c r="I183" s="24">
        <v>0</v>
      </c>
      <c r="J183" t="s">
        <v>21</v>
      </c>
      <c r="K183" t="s">
        <v>62</v>
      </c>
      <c r="L183" s="25">
        <f t="shared" si="11"/>
        <v>0.82083958020989511</v>
      </c>
      <c r="M183" s="24">
        <f t="shared" si="12"/>
        <v>15330000000</v>
      </c>
      <c r="N183" s="25">
        <f t="shared" si="9"/>
        <v>0.3141464981794817</v>
      </c>
      <c r="O183" s="24">
        <f t="shared" si="10"/>
        <v>5867000000</v>
      </c>
    </row>
    <row r="184" spans="1:15" x14ac:dyDescent="0.3">
      <c r="A184" t="s">
        <v>67</v>
      </c>
      <c r="B184">
        <v>2</v>
      </c>
      <c r="C184">
        <v>2014</v>
      </c>
      <c r="D184" s="1">
        <v>42004</v>
      </c>
      <c r="E184" s="24">
        <v>20063000000</v>
      </c>
      <c r="F184" s="24">
        <v>4422000000</v>
      </c>
      <c r="G184" s="24">
        <v>5153000000</v>
      </c>
      <c r="H184" s="24">
        <v>4297000000</v>
      </c>
      <c r="I184" s="24">
        <v>0</v>
      </c>
      <c r="J184" t="s">
        <v>21</v>
      </c>
      <c r="K184" t="s">
        <v>62</v>
      </c>
      <c r="L184" s="25">
        <f t="shared" si="11"/>
        <v>0.77959427802422376</v>
      </c>
      <c r="M184" s="24">
        <f t="shared" si="12"/>
        <v>15641000000</v>
      </c>
      <c r="N184" s="25">
        <f t="shared" si="9"/>
        <v>0.30857797936500025</v>
      </c>
      <c r="O184" s="24">
        <f t="shared" si="10"/>
        <v>6191000000</v>
      </c>
    </row>
    <row r="185" spans="1:15" x14ac:dyDescent="0.3">
      <c r="A185" t="s">
        <v>67</v>
      </c>
      <c r="B185">
        <v>3</v>
      </c>
      <c r="C185">
        <v>2015</v>
      </c>
      <c r="D185" s="1">
        <v>42369</v>
      </c>
      <c r="E185" s="24">
        <v>21662000000</v>
      </c>
      <c r="F185" s="24">
        <v>4227000000</v>
      </c>
      <c r="G185" s="24">
        <v>4895000000</v>
      </c>
      <c r="H185" s="24">
        <v>4070000000</v>
      </c>
      <c r="I185" s="24">
        <v>0</v>
      </c>
      <c r="J185" t="s">
        <v>21</v>
      </c>
      <c r="K185" t="s">
        <v>62</v>
      </c>
      <c r="L185" s="25">
        <f t="shared" si="11"/>
        <v>0.80486566337364973</v>
      </c>
      <c r="M185" s="24">
        <f t="shared" si="12"/>
        <v>17435000000</v>
      </c>
      <c r="N185" s="25">
        <f t="shared" si="9"/>
        <v>0.39100729387868155</v>
      </c>
      <c r="O185" s="24">
        <f t="shared" si="10"/>
        <v>8470000000</v>
      </c>
    </row>
    <row r="186" spans="1:15" x14ac:dyDescent="0.3">
      <c r="A186" t="s">
        <v>67</v>
      </c>
      <c r="B186">
        <v>4</v>
      </c>
      <c r="C186">
        <v>2016</v>
      </c>
      <c r="D186" s="1">
        <v>42735</v>
      </c>
      <c r="E186" s="24">
        <v>22991000000</v>
      </c>
      <c r="F186" s="24">
        <v>4162000000</v>
      </c>
      <c r="G186" s="24">
        <v>5195000000</v>
      </c>
      <c r="H186" s="24">
        <v>3840000000</v>
      </c>
      <c r="I186" s="24">
        <v>0</v>
      </c>
      <c r="J186" t="s">
        <v>21</v>
      </c>
      <c r="K186" t="s">
        <v>62</v>
      </c>
      <c r="L186" s="25">
        <f t="shared" si="11"/>
        <v>0.81897264146840065</v>
      </c>
      <c r="M186" s="24">
        <f t="shared" si="12"/>
        <v>18829000000</v>
      </c>
      <c r="N186" s="25">
        <f t="shared" si="9"/>
        <v>0.4259927797833935</v>
      </c>
      <c r="O186" s="24">
        <f t="shared" si="10"/>
        <v>9794000000</v>
      </c>
    </row>
    <row r="187" spans="1:15" x14ac:dyDescent="0.3">
      <c r="A187" t="s">
        <v>76</v>
      </c>
      <c r="B187">
        <v>1</v>
      </c>
      <c r="C187">
        <v>2012</v>
      </c>
      <c r="D187" s="1">
        <v>41274</v>
      </c>
      <c r="E187" s="24">
        <v>61497200000</v>
      </c>
      <c r="F187" s="24">
        <v>48213600000</v>
      </c>
      <c r="G187" s="24">
        <v>8680500000</v>
      </c>
      <c r="H187" s="24">
        <v>0</v>
      </c>
      <c r="I187" s="24">
        <v>233000000</v>
      </c>
      <c r="J187" t="s">
        <v>21</v>
      </c>
      <c r="K187" t="s">
        <v>77</v>
      </c>
      <c r="L187" s="25">
        <f t="shared" si="11"/>
        <v>0.21600333023292118</v>
      </c>
      <c r="M187" s="24">
        <f t="shared" si="12"/>
        <v>13283600000</v>
      </c>
      <c r="N187" s="25">
        <f t="shared" si="9"/>
        <v>7.1061771918071073E-2</v>
      </c>
      <c r="O187" s="24">
        <f t="shared" si="10"/>
        <v>4370100000</v>
      </c>
    </row>
    <row r="188" spans="1:15" x14ac:dyDescent="0.3">
      <c r="A188" t="s">
        <v>76</v>
      </c>
      <c r="B188">
        <v>2</v>
      </c>
      <c r="C188">
        <v>2013</v>
      </c>
      <c r="D188" s="1">
        <v>41639</v>
      </c>
      <c r="E188" s="24">
        <v>71023500000</v>
      </c>
      <c r="F188" s="24">
        <v>56237100000</v>
      </c>
      <c r="G188" s="24">
        <v>9952900000</v>
      </c>
      <c r="H188" s="24">
        <v>0</v>
      </c>
      <c r="I188" s="24">
        <v>245300000</v>
      </c>
      <c r="J188" t="s">
        <v>21</v>
      </c>
      <c r="K188" t="s">
        <v>77</v>
      </c>
      <c r="L188" s="25">
        <f t="shared" si="11"/>
        <v>0.20819024689011378</v>
      </c>
      <c r="M188" s="24">
        <f t="shared" si="12"/>
        <v>14786400000</v>
      </c>
      <c r="N188" s="25">
        <f t="shared" si="9"/>
        <v>6.4601153139453846E-2</v>
      </c>
      <c r="O188" s="24">
        <f t="shared" si="10"/>
        <v>4588200000</v>
      </c>
    </row>
    <row r="189" spans="1:15" x14ac:dyDescent="0.3">
      <c r="A189" t="s">
        <v>76</v>
      </c>
      <c r="B189">
        <v>3</v>
      </c>
      <c r="C189">
        <v>2014</v>
      </c>
      <c r="D189" s="1">
        <v>42004</v>
      </c>
      <c r="E189" s="24">
        <v>73874100000</v>
      </c>
      <c r="F189" s="24">
        <v>56854900000</v>
      </c>
      <c r="G189" s="24">
        <v>11748400000</v>
      </c>
      <c r="H189" s="24">
        <v>0</v>
      </c>
      <c r="I189" s="24">
        <v>220900000</v>
      </c>
      <c r="J189" t="s">
        <v>21</v>
      </c>
      <c r="K189" t="s">
        <v>77</v>
      </c>
      <c r="L189" s="25">
        <f t="shared" si="11"/>
        <v>0.23038114846746016</v>
      </c>
      <c r="M189" s="24">
        <f t="shared" si="12"/>
        <v>17019200000</v>
      </c>
      <c r="N189" s="25">
        <f t="shared" si="9"/>
        <v>6.8358193196262296E-2</v>
      </c>
      <c r="O189" s="24">
        <f t="shared" si="10"/>
        <v>5049900000</v>
      </c>
    </row>
    <row r="190" spans="1:15" x14ac:dyDescent="0.3">
      <c r="A190" t="s">
        <v>76</v>
      </c>
      <c r="B190">
        <v>4</v>
      </c>
      <c r="C190">
        <v>2015</v>
      </c>
      <c r="D190" s="1">
        <v>42369</v>
      </c>
      <c r="E190" s="24">
        <v>79156500000</v>
      </c>
      <c r="F190" s="24">
        <v>61116900000</v>
      </c>
      <c r="G190" s="24">
        <v>12534800000</v>
      </c>
      <c r="H190" s="24">
        <v>0</v>
      </c>
      <c r="I190" s="24">
        <v>230100000</v>
      </c>
      <c r="J190" t="s">
        <v>21</v>
      </c>
      <c r="K190" t="s">
        <v>77</v>
      </c>
      <c r="L190" s="25">
        <f t="shared" si="11"/>
        <v>0.22789789846696107</v>
      </c>
      <c r="M190" s="24">
        <f t="shared" si="12"/>
        <v>18039600000</v>
      </c>
      <c r="N190" s="25">
        <f t="shared" si="9"/>
        <v>6.6636346983507358E-2</v>
      </c>
      <c r="O190" s="24">
        <f t="shared" si="10"/>
        <v>5274700000</v>
      </c>
    </row>
    <row r="191" spans="1:15" x14ac:dyDescent="0.3">
      <c r="A191" t="s">
        <v>102</v>
      </c>
      <c r="B191">
        <v>1</v>
      </c>
      <c r="C191">
        <v>2012</v>
      </c>
      <c r="D191" s="1">
        <v>41274</v>
      </c>
      <c r="E191" s="24">
        <v>13936000000</v>
      </c>
      <c r="F191" s="24">
        <v>6802000000</v>
      </c>
      <c r="G191" s="24">
        <v>3283000000</v>
      </c>
      <c r="H191" s="24">
        <v>1081000000</v>
      </c>
      <c r="I191" s="24">
        <v>0</v>
      </c>
      <c r="J191" t="s">
        <v>21</v>
      </c>
      <c r="K191" t="s">
        <v>26</v>
      </c>
      <c r="L191" s="25">
        <f t="shared" si="11"/>
        <v>0.51191159586681967</v>
      </c>
      <c r="M191" s="24">
        <f t="shared" si="12"/>
        <v>7134000000</v>
      </c>
      <c r="N191" s="25">
        <f t="shared" si="9"/>
        <v>0.19876578645235363</v>
      </c>
      <c r="O191" s="24">
        <f t="shared" si="10"/>
        <v>2770000000</v>
      </c>
    </row>
    <row r="192" spans="1:15" x14ac:dyDescent="0.3">
      <c r="A192" t="s">
        <v>102</v>
      </c>
      <c r="B192">
        <v>2</v>
      </c>
      <c r="C192">
        <v>2013</v>
      </c>
      <c r="D192" s="1">
        <v>41639</v>
      </c>
      <c r="E192" s="24">
        <v>9413000000</v>
      </c>
      <c r="F192" s="24">
        <v>5251000000</v>
      </c>
      <c r="G192" s="24">
        <v>3084000000</v>
      </c>
      <c r="H192" s="24">
        <v>582000000</v>
      </c>
      <c r="I192" s="24">
        <v>0</v>
      </c>
      <c r="J192" t="s">
        <v>21</v>
      </c>
      <c r="K192" t="s">
        <v>26</v>
      </c>
      <c r="L192" s="25">
        <f t="shared" si="11"/>
        <v>0.44215446722617657</v>
      </c>
      <c r="M192" s="24">
        <f t="shared" si="12"/>
        <v>4162000000</v>
      </c>
      <c r="N192" s="25">
        <f t="shared" si="9"/>
        <v>5.2693084032720702E-2</v>
      </c>
      <c r="O192" s="24">
        <f t="shared" si="10"/>
        <v>496000000</v>
      </c>
    </row>
    <row r="193" spans="1:15" x14ac:dyDescent="0.3">
      <c r="A193" t="s">
        <v>102</v>
      </c>
      <c r="B193">
        <v>3</v>
      </c>
      <c r="C193">
        <v>2014</v>
      </c>
      <c r="D193" s="1">
        <v>42004</v>
      </c>
      <c r="E193" s="24">
        <v>10719000000</v>
      </c>
      <c r="F193" s="24">
        <v>6138000000</v>
      </c>
      <c r="G193" s="24">
        <v>3315000000</v>
      </c>
      <c r="H193" s="24">
        <v>610000000</v>
      </c>
      <c r="I193" s="24">
        <v>0</v>
      </c>
      <c r="J193" t="s">
        <v>21</v>
      </c>
      <c r="K193" t="s">
        <v>26</v>
      </c>
      <c r="L193" s="25">
        <f t="shared" si="11"/>
        <v>0.42737195633921077</v>
      </c>
      <c r="M193" s="24">
        <f t="shared" si="12"/>
        <v>4581000000</v>
      </c>
      <c r="N193" s="25">
        <f t="shared" si="9"/>
        <v>6.1199738781602758E-2</v>
      </c>
      <c r="O193" s="24">
        <f t="shared" si="10"/>
        <v>656000000</v>
      </c>
    </row>
    <row r="194" spans="1:15" x14ac:dyDescent="0.3">
      <c r="A194" t="s">
        <v>102</v>
      </c>
      <c r="B194">
        <v>4</v>
      </c>
      <c r="C194">
        <v>2015</v>
      </c>
      <c r="D194" s="1">
        <v>42369</v>
      </c>
      <c r="E194" s="24">
        <v>9968000000</v>
      </c>
      <c r="F194" s="24">
        <v>5822000000</v>
      </c>
      <c r="G194" s="24">
        <v>3094000000</v>
      </c>
      <c r="H194" s="24">
        <v>603000000</v>
      </c>
      <c r="I194" s="24">
        <v>0</v>
      </c>
      <c r="J194" t="s">
        <v>21</v>
      </c>
      <c r="K194" t="s">
        <v>26</v>
      </c>
      <c r="L194" s="25">
        <f t="shared" si="11"/>
        <v>0.4159309791332263</v>
      </c>
      <c r="M194" s="24">
        <f t="shared" si="12"/>
        <v>4146000000</v>
      </c>
      <c r="N194" s="25">
        <f t="shared" si="9"/>
        <v>4.5044141252006419E-2</v>
      </c>
      <c r="O194" s="24">
        <f t="shared" si="10"/>
        <v>449000000</v>
      </c>
    </row>
    <row r="195" spans="1:15" x14ac:dyDescent="0.3">
      <c r="A195" t="s">
        <v>107</v>
      </c>
      <c r="B195">
        <v>1</v>
      </c>
      <c r="C195">
        <v>2013</v>
      </c>
      <c r="D195" s="1">
        <v>41639</v>
      </c>
      <c r="E195" s="24">
        <v>3049500000</v>
      </c>
      <c r="F195" s="24">
        <v>1194400000</v>
      </c>
      <c r="G195" s="24">
        <v>920300000</v>
      </c>
      <c r="H195" s="24">
        <v>295700000</v>
      </c>
      <c r="I195" s="24">
        <v>0</v>
      </c>
      <c r="J195" t="s">
        <v>21</v>
      </c>
      <c r="K195" t="s">
        <v>26</v>
      </c>
      <c r="L195" s="25">
        <f t="shared" si="11"/>
        <v>0.60832923430070496</v>
      </c>
      <c r="M195" s="24">
        <f t="shared" si="12"/>
        <v>1855100000</v>
      </c>
      <c r="N195" s="25">
        <f t="shared" ref="N195:N258" si="13">O195/E195</f>
        <v>0.20957534021970814</v>
      </c>
      <c r="O195" s="24">
        <f t="shared" ref="O195:O258" si="14">M195-SUM(G195:I195)</f>
        <v>639100000</v>
      </c>
    </row>
    <row r="196" spans="1:15" x14ac:dyDescent="0.3">
      <c r="A196" t="s">
        <v>107</v>
      </c>
      <c r="B196">
        <v>2</v>
      </c>
      <c r="C196">
        <v>2014</v>
      </c>
      <c r="D196" s="1">
        <v>42004</v>
      </c>
      <c r="E196" s="24">
        <v>3323600000</v>
      </c>
      <c r="F196" s="24">
        <v>1258600000</v>
      </c>
      <c r="G196" s="24">
        <v>981500000</v>
      </c>
      <c r="H196" s="24">
        <v>302000000</v>
      </c>
      <c r="I196" s="24">
        <v>0</v>
      </c>
      <c r="J196" t="s">
        <v>21</v>
      </c>
      <c r="K196" t="s">
        <v>26</v>
      </c>
      <c r="L196" s="25">
        <f t="shared" ref="L196:L259" si="15">1-(F196/E196)</f>
        <v>0.62131423757371529</v>
      </c>
      <c r="M196" s="24">
        <f t="shared" ref="M196:M259" si="16">E196-F196</f>
        <v>2065000000</v>
      </c>
      <c r="N196" s="25">
        <f t="shared" si="13"/>
        <v>0.23513659886869659</v>
      </c>
      <c r="O196" s="24">
        <f t="shared" si="14"/>
        <v>781500000</v>
      </c>
    </row>
    <row r="197" spans="1:15" x14ac:dyDescent="0.3">
      <c r="A197" t="s">
        <v>107</v>
      </c>
      <c r="B197">
        <v>3</v>
      </c>
      <c r="C197">
        <v>2015</v>
      </c>
      <c r="D197" s="1">
        <v>42369</v>
      </c>
      <c r="E197" s="24">
        <v>3416000000</v>
      </c>
      <c r="F197" s="24">
        <v>1301200000</v>
      </c>
      <c r="G197" s="24">
        <v>1012100000</v>
      </c>
      <c r="H197" s="24">
        <v>259200000</v>
      </c>
      <c r="I197" s="24">
        <v>0</v>
      </c>
      <c r="J197" t="s">
        <v>21</v>
      </c>
      <c r="K197" t="s">
        <v>26</v>
      </c>
      <c r="L197" s="25">
        <f t="shared" si="15"/>
        <v>0.61908665105386418</v>
      </c>
      <c r="M197" s="24">
        <f t="shared" si="16"/>
        <v>2114800000</v>
      </c>
      <c r="N197" s="25">
        <f t="shared" si="13"/>
        <v>0.24692622950819673</v>
      </c>
      <c r="O197" s="24">
        <f t="shared" si="14"/>
        <v>843500000</v>
      </c>
    </row>
    <row r="198" spans="1:15" x14ac:dyDescent="0.3">
      <c r="A198" t="s">
        <v>107</v>
      </c>
      <c r="B198">
        <v>4</v>
      </c>
      <c r="C198">
        <v>2016</v>
      </c>
      <c r="D198" s="1">
        <v>42735</v>
      </c>
      <c r="E198" s="24">
        <v>3714000000</v>
      </c>
      <c r="F198" s="24">
        <v>1371700000</v>
      </c>
      <c r="G198" s="24">
        <v>1101900000</v>
      </c>
      <c r="H198" s="24">
        <v>292800000</v>
      </c>
      <c r="I198" s="24">
        <v>0</v>
      </c>
      <c r="J198" t="s">
        <v>21</v>
      </c>
      <c r="K198" t="s">
        <v>26</v>
      </c>
      <c r="L198" s="25">
        <f t="shared" si="15"/>
        <v>0.63066774367259026</v>
      </c>
      <c r="M198" s="24">
        <f t="shared" si="16"/>
        <v>2342300000</v>
      </c>
      <c r="N198" s="25">
        <f t="shared" si="13"/>
        <v>0.25514270328486804</v>
      </c>
      <c r="O198" s="24">
        <f t="shared" si="14"/>
        <v>947600000</v>
      </c>
    </row>
    <row r="199" spans="1:15" x14ac:dyDescent="0.3">
      <c r="A199" t="s">
        <v>108</v>
      </c>
      <c r="B199">
        <v>1</v>
      </c>
      <c r="C199">
        <v>2013</v>
      </c>
      <c r="D199" s="1">
        <v>41547</v>
      </c>
      <c r="E199" s="24">
        <v>8054000000</v>
      </c>
      <c r="F199" s="24">
        <v>3883000000</v>
      </c>
      <c r="G199" s="24">
        <v>2422000000</v>
      </c>
      <c r="H199" s="24">
        <v>494000000</v>
      </c>
      <c r="I199" s="24">
        <v>0</v>
      </c>
      <c r="J199" t="s">
        <v>21</v>
      </c>
      <c r="K199" t="s">
        <v>26</v>
      </c>
      <c r="L199" s="25">
        <f t="shared" si="15"/>
        <v>0.51787931462627268</v>
      </c>
      <c r="M199" s="24">
        <f t="shared" si="16"/>
        <v>4171000000</v>
      </c>
      <c r="N199" s="25">
        <f t="shared" si="13"/>
        <v>0.1558231934442513</v>
      </c>
      <c r="O199" s="24">
        <f t="shared" si="14"/>
        <v>1255000000</v>
      </c>
    </row>
    <row r="200" spans="1:15" x14ac:dyDescent="0.3">
      <c r="A200" t="s">
        <v>108</v>
      </c>
      <c r="B200">
        <v>2</v>
      </c>
      <c r="C200">
        <v>2014</v>
      </c>
      <c r="D200" s="1">
        <v>41912</v>
      </c>
      <c r="E200" s="24">
        <v>8446000000</v>
      </c>
      <c r="F200" s="24">
        <v>4145000000</v>
      </c>
      <c r="G200" s="24">
        <v>2145000000</v>
      </c>
      <c r="H200" s="24">
        <v>550000000</v>
      </c>
      <c r="I200" s="24">
        <v>0</v>
      </c>
      <c r="J200" t="s">
        <v>21</v>
      </c>
      <c r="K200" t="s">
        <v>26</v>
      </c>
      <c r="L200" s="25">
        <f t="shared" si="15"/>
        <v>0.50923514089509825</v>
      </c>
      <c r="M200" s="24">
        <f t="shared" si="16"/>
        <v>4301000000</v>
      </c>
      <c r="N200" s="25">
        <f t="shared" si="13"/>
        <v>0.19014918304522851</v>
      </c>
      <c r="O200" s="24">
        <f t="shared" si="14"/>
        <v>1606000000</v>
      </c>
    </row>
    <row r="201" spans="1:15" x14ac:dyDescent="0.3">
      <c r="A201" t="s">
        <v>108</v>
      </c>
      <c r="B201">
        <v>3</v>
      </c>
      <c r="C201">
        <v>2015</v>
      </c>
      <c r="D201" s="1">
        <v>42277</v>
      </c>
      <c r="E201" s="24">
        <v>10282000000</v>
      </c>
      <c r="F201" s="24">
        <v>5587000000</v>
      </c>
      <c r="G201" s="24">
        <v>2563000000</v>
      </c>
      <c r="H201" s="24">
        <v>632000000</v>
      </c>
      <c r="I201" s="24">
        <v>0</v>
      </c>
      <c r="J201" t="s">
        <v>21</v>
      </c>
      <c r="K201" t="s">
        <v>26</v>
      </c>
      <c r="L201" s="25">
        <f t="shared" si="15"/>
        <v>0.45662322505349151</v>
      </c>
      <c r="M201" s="24">
        <f t="shared" si="16"/>
        <v>4695000000</v>
      </c>
      <c r="N201" s="25">
        <f t="shared" si="13"/>
        <v>0.14588601439408674</v>
      </c>
      <c r="O201" s="24">
        <f t="shared" si="14"/>
        <v>1500000000</v>
      </c>
    </row>
    <row r="202" spans="1:15" x14ac:dyDescent="0.3">
      <c r="A202" t="s">
        <v>108</v>
      </c>
      <c r="B202">
        <v>4</v>
      </c>
      <c r="C202">
        <v>2016</v>
      </c>
      <c r="D202" s="1">
        <v>42643</v>
      </c>
      <c r="E202" s="24">
        <v>12483000000</v>
      </c>
      <c r="F202" s="24">
        <v>6492000000</v>
      </c>
      <c r="G202" s="24">
        <v>3005000000</v>
      </c>
      <c r="H202" s="24">
        <v>828000000</v>
      </c>
      <c r="I202" s="24">
        <v>0</v>
      </c>
      <c r="J202" t="s">
        <v>21</v>
      </c>
      <c r="K202" t="s">
        <v>26</v>
      </c>
      <c r="L202" s="25">
        <f t="shared" si="15"/>
        <v>0.47993270848353764</v>
      </c>
      <c r="M202" s="24">
        <f t="shared" si="16"/>
        <v>5991000000</v>
      </c>
      <c r="N202" s="25">
        <f t="shared" si="13"/>
        <v>0.17287511014980372</v>
      </c>
      <c r="O202" s="24">
        <f t="shared" si="14"/>
        <v>2158000000</v>
      </c>
    </row>
    <row r="203" spans="1:15" x14ac:dyDescent="0.3">
      <c r="A203" t="s">
        <v>111</v>
      </c>
      <c r="B203">
        <v>1</v>
      </c>
      <c r="C203">
        <v>2013</v>
      </c>
      <c r="D203" s="1">
        <v>41639</v>
      </c>
      <c r="E203" s="24">
        <v>6932200000</v>
      </c>
      <c r="F203" s="24">
        <v>857700000</v>
      </c>
      <c r="G203" s="24">
        <v>1797000000</v>
      </c>
      <c r="H203" s="24">
        <v>1444100000</v>
      </c>
      <c r="I203" s="24">
        <v>342900000</v>
      </c>
      <c r="J203" t="s">
        <v>21</v>
      </c>
      <c r="K203" t="s">
        <v>62</v>
      </c>
      <c r="L203" s="25">
        <f t="shared" si="15"/>
        <v>0.87627304463229572</v>
      </c>
      <c r="M203" s="24">
        <f t="shared" si="16"/>
        <v>6074500000</v>
      </c>
      <c r="N203" s="25">
        <f t="shared" si="13"/>
        <v>0.35926545685352412</v>
      </c>
      <c r="O203" s="24">
        <f t="shared" si="14"/>
        <v>2490500000</v>
      </c>
    </row>
    <row r="204" spans="1:15" x14ac:dyDescent="0.3">
      <c r="A204" t="s">
        <v>111</v>
      </c>
      <c r="B204">
        <v>2</v>
      </c>
      <c r="C204">
        <v>2014</v>
      </c>
      <c r="D204" s="1">
        <v>42004</v>
      </c>
      <c r="E204" s="24">
        <v>9703300000</v>
      </c>
      <c r="F204" s="24">
        <v>1171000000</v>
      </c>
      <c r="G204" s="24">
        <v>2193400000</v>
      </c>
      <c r="H204" s="24">
        <v>1893400000</v>
      </c>
      <c r="I204" s="24">
        <v>489800000</v>
      </c>
      <c r="J204" t="s">
        <v>21</v>
      </c>
      <c r="K204" t="s">
        <v>62</v>
      </c>
      <c r="L204" s="25">
        <f t="shared" si="15"/>
        <v>0.87931940679974852</v>
      </c>
      <c r="M204" s="24">
        <f t="shared" si="16"/>
        <v>8532300000</v>
      </c>
      <c r="N204" s="25">
        <f t="shared" si="13"/>
        <v>0.40766543340925254</v>
      </c>
      <c r="O204" s="24">
        <f t="shared" si="14"/>
        <v>3955700000</v>
      </c>
    </row>
    <row r="205" spans="1:15" x14ac:dyDescent="0.3">
      <c r="A205" t="s">
        <v>111</v>
      </c>
      <c r="B205">
        <v>3</v>
      </c>
      <c r="C205">
        <v>2015</v>
      </c>
      <c r="D205" s="1">
        <v>42369</v>
      </c>
      <c r="E205" s="24">
        <v>10763800000</v>
      </c>
      <c r="F205" s="24">
        <v>1240400000</v>
      </c>
      <c r="G205" s="24">
        <v>2143600000</v>
      </c>
      <c r="H205" s="24">
        <v>2012800000</v>
      </c>
      <c r="I205" s="24">
        <v>382600000</v>
      </c>
      <c r="J205" t="s">
        <v>21</v>
      </c>
      <c r="K205" t="s">
        <v>62</v>
      </c>
      <c r="L205" s="25">
        <f t="shared" si="15"/>
        <v>0.88476188706590608</v>
      </c>
      <c r="M205" s="24">
        <f t="shared" si="16"/>
        <v>9523400000</v>
      </c>
      <c r="N205" s="25">
        <f t="shared" si="13"/>
        <v>0.46307066277708614</v>
      </c>
      <c r="O205" s="24">
        <f t="shared" si="14"/>
        <v>4984400000</v>
      </c>
    </row>
    <row r="206" spans="1:15" x14ac:dyDescent="0.3">
      <c r="A206" t="s">
        <v>111</v>
      </c>
      <c r="B206">
        <v>4</v>
      </c>
      <c r="C206">
        <v>2016</v>
      </c>
      <c r="D206" s="1">
        <v>42735</v>
      </c>
      <c r="E206" s="24">
        <v>11448800000</v>
      </c>
      <c r="F206" s="24">
        <v>1478700000</v>
      </c>
      <c r="G206" s="24">
        <v>1972900000</v>
      </c>
      <c r="H206" s="24">
        <v>1973300000</v>
      </c>
      <c r="I206" s="24">
        <v>385600000</v>
      </c>
      <c r="J206" t="s">
        <v>21</v>
      </c>
      <c r="K206" t="s">
        <v>62</v>
      </c>
      <c r="L206" s="25">
        <f t="shared" si="15"/>
        <v>0.87084235902452656</v>
      </c>
      <c r="M206" s="24">
        <f t="shared" si="16"/>
        <v>9970100000</v>
      </c>
      <c r="N206" s="25">
        <f t="shared" si="13"/>
        <v>0.49247956117671721</v>
      </c>
      <c r="O206" s="24">
        <f t="shared" si="14"/>
        <v>5638300000</v>
      </c>
    </row>
    <row r="207" spans="1:15" x14ac:dyDescent="0.3">
      <c r="A207" t="s">
        <v>114</v>
      </c>
      <c r="B207">
        <v>1</v>
      </c>
      <c r="C207">
        <v>2012</v>
      </c>
      <c r="D207" s="1">
        <v>41274</v>
      </c>
      <c r="E207" s="24">
        <v>17621000000</v>
      </c>
      <c r="F207" s="24">
        <v>4610000000</v>
      </c>
      <c r="G207" s="24">
        <v>5017000000</v>
      </c>
      <c r="H207" s="24">
        <v>3904000000</v>
      </c>
      <c r="I207" s="24">
        <v>0</v>
      </c>
      <c r="J207" t="s">
        <v>21</v>
      </c>
      <c r="K207" t="s">
        <v>24</v>
      </c>
      <c r="L207" s="25">
        <f t="shared" si="15"/>
        <v>0.73838034163781852</v>
      </c>
      <c r="M207" s="24">
        <f t="shared" si="16"/>
        <v>13011000000</v>
      </c>
      <c r="N207" s="25">
        <f t="shared" si="13"/>
        <v>0.23210941490267295</v>
      </c>
      <c r="O207" s="24">
        <f t="shared" si="14"/>
        <v>4090000000</v>
      </c>
    </row>
    <row r="208" spans="1:15" x14ac:dyDescent="0.3">
      <c r="A208" t="s">
        <v>114</v>
      </c>
      <c r="B208">
        <v>2</v>
      </c>
      <c r="C208">
        <v>2013</v>
      </c>
      <c r="D208" s="1">
        <v>41639</v>
      </c>
      <c r="E208" s="24">
        <v>16385000000</v>
      </c>
      <c r="F208" s="24">
        <v>4619000000</v>
      </c>
      <c r="G208" s="24">
        <v>4939000000</v>
      </c>
      <c r="H208" s="24">
        <v>3731000000</v>
      </c>
      <c r="I208" s="24">
        <v>0</v>
      </c>
      <c r="J208" t="s">
        <v>21</v>
      </c>
      <c r="K208" t="s">
        <v>24</v>
      </c>
      <c r="L208" s="25">
        <f t="shared" si="15"/>
        <v>0.71809581934696376</v>
      </c>
      <c r="M208" s="24">
        <f t="shared" si="16"/>
        <v>11766000000</v>
      </c>
      <c r="N208" s="25">
        <f t="shared" si="13"/>
        <v>0.1889533109551419</v>
      </c>
      <c r="O208" s="24">
        <f t="shared" si="14"/>
        <v>3096000000</v>
      </c>
    </row>
    <row r="209" spans="1:15" x14ac:dyDescent="0.3">
      <c r="A209" t="s">
        <v>114</v>
      </c>
      <c r="B209">
        <v>3</v>
      </c>
      <c r="C209">
        <v>2014</v>
      </c>
      <c r="D209" s="1">
        <v>42004</v>
      </c>
      <c r="E209" s="24">
        <v>15879000000</v>
      </c>
      <c r="F209" s="24">
        <v>3932000000</v>
      </c>
      <c r="G209" s="24">
        <v>4822000000</v>
      </c>
      <c r="H209" s="24">
        <v>4534000000</v>
      </c>
      <c r="I209" s="24">
        <v>0</v>
      </c>
      <c r="J209" t="s">
        <v>21</v>
      </c>
      <c r="K209" t="s">
        <v>24</v>
      </c>
      <c r="L209" s="25">
        <f t="shared" si="15"/>
        <v>0.75237735373764092</v>
      </c>
      <c r="M209" s="24">
        <f t="shared" si="16"/>
        <v>11947000000</v>
      </c>
      <c r="N209" s="25">
        <f t="shared" si="13"/>
        <v>0.16317148435039991</v>
      </c>
      <c r="O209" s="24">
        <f t="shared" si="14"/>
        <v>2591000000</v>
      </c>
    </row>
    <row r="210" spans="1:15" x14ac:dyDescent="0.3">
      <c r="A210" t="s">
        <v>114</v>
      </c>
      <c r="B210">
        <v>4</v>
      </c>
      <c r="C210">
        <v>2015</v>
      </c>
      <c r="D210" s="1">
        <v>42369</v>
      </c>
      <c r="E210" s="24">
        <v>16560000000</v>
      </c>
      <c r="F210" s="24">
        <v>3909000000</v>
      </c>
      <c r="G210" s="24">
        <v>4841000000</v>
      </c>
      <c r="H210" s="24">
        <v>5920000000</v>
      </c>
      <c r="I210" s="24">
        <v>0</v>
      </c>
      <c r="J210" t="s">
        <v>21</v>
      </c>
      <c r="K210" t="s">
        <v>24</v>
      </c>
      <c r="L210" s="25">
        <f t="shared" si="15"/>
        <v>0.76394927536231882</v>
      </c>
      <c r="M210" s="24">
        <f t="shared" si="16"/>
        <v>12651000000</v>
      </c>
      <c r="N210" s="25">
        <f t="shared" si="13"/>
        <v>0.11413043478260869</v>
      </c>
      <c r="O210" s="24">
        <f t="shared" si="14"/>
        <v>1890000000</v>
      </c>
    </row>
    <row r="211" spans="1:15" x14ac:dyDescent="0.3">
      <c r="A211" t="s">
        <v>115</v>
      </c>
      <c r="B211">
        <v>1</v>
      </c>
      <c r="C211">
        <v>2012</v>
      </c>
      <c r="D211" s="1">
        <v>41274</v>
      </c>
      <c r="E211" s="24">
        <v>7249000000</v>
      </c>
      <c r="F211" s="24">
        <v>2349000000</v>
      </c>
      <c r="G211" s="24">
        <v>2529000000</v>
      </c>
      <c r="H211" s="24">
        <v>886000000</v>
      </c>
      <c r="I211" s="24">
        <v>395000000</v>
      </c>
      <c r="J211" t="s">
        <v>21</v>
      </c>
      <c r="K211" t="s">
        <v>26</v>
      </c>
      <c r="L211" s="25">
        <f t="shared" si="15"/>
        <v>0.67595530417988692</v>
      </c>
      <c r="M211" s="24">
        <f t="shared" si="16"/>
        <v>4900000000</v>
      </c>
      <c r="N211" s="25">
        <f t="shared" si="13"/>
        <v>0.15036556766450546</v>
      </c>
      <c r="O211" s="24">
        <f t="shared" si="14"/>
        <v>1090000000</v>
      </c>
    </row>
    <row r="212" spans="1:15" x14ac:dyDescent="0.3">
      <c r="A212" t="s">
        <v>115</v>
      </c>
      <c r="B212">
        <v>2</v>
      </c>
      <c r="C212">
        <v>2013</v>
      </c>
      <c r="D212" s="1">
        <v>41639</v>
      </c>
      <c r="E212" s="24">
        <v>7143000000</v>
      </c>
      <c r="F212" s="24">
        <v>2174000000</v>
      </c>
      <c r="G212" s="24">
        <v>2678000000</v>
      </c>
      <c r="H212" s="24">
        <v>861000000</v>
      </c>
      <c r="I212" s="24">
        <v>410000000</v>
      </c>
      <c r="J212" t="s">
        <v>21</v>
      </c>
      <c r="K212" t="s">
        <v>26</v>
      </c>
      <c r="L212" s="25">
        <f t="shared" si="15"/>
        <v>0.69564608707825837</v>
      </c>
      <c r="M212" s="24">
        <f t="shared" si="16"/>
        <v>4969000000</v>
      </c>
      <c r="N212" s="25">
        <f t="shared" si="13"/>
        <v>0.14279714405711885</v>
      </c>
      <c r="O212" s="24">
        <f t="shared" si="14"/>
        <v>1020000000</v>
      </c>
    </row>
    <row r="213" spans="1:15" x14ac:dyDescent="0.3">
      <c r="A213" t="s">
        <v>115</v>
      </c>
      <c r="B213">
        <v>3</v>
      </c>
      <c r="C213">
        <v>2014</v>
      </c>
      <c r="D213" s="1">
        <v>42004</v>
      </c>
      <c r="E213" s="24">
        <v>7380000000</v>
      </c>
      <c r="F213" s="24">
        <v>2210000000</v>
      </c>
      <c r="G213" s="24">
        <v>2817000000</v>
      </c>
      <c r="H213" s="24">
        <v>817000000</v>
      </c>
      <c r="I213" s="24">
        <v>438000000</v>
      </c>
      <c r="J213" t="s">
        <v>21</v>
      </c>
      <c r="K213" t="s">
        <v>26</v>
      </c>
      <c r="L213" s="25">
        <f t="shared" si="15"/>
        <v>0.70054200542005418</v>
      </c>
      <c r="M213" s="24">
        <f t="shared" si="16"/>
        <v>5170000000</v>
      </c>
      <c r="N213" s="25">
        <f t="shared" si="13"/>
        <v>0.14878048780487804</v>
      </c>
      <c r="O213" s="24">
        <f t="shared" si="14"/>
        <v>1098000000</v>
      </c>
    </row>
    <row r="214" spans="1:15" x14ac:dyDescent="0.3">
      <c r="A214" t="s">
        <v>115</v>
      </c>
      <c r="B214">
        <v>4</v>
      </c>
      <c r="C214">
        <v>2015</v>
      </c>
      <c r="D214" s="1">
        <v>42369</v>
      </c>
      <c r="E214" s="24">
        <v>7477000000</v>
      </c>
      <c r="F214" s="24">
        <v>2173000000</v>
      </c>
      <c r="G214" s="24">
        <v>2996000000</v>
      </c>
      <c r="H214" s="24">
        <v>876000000</v>
      </c>
      <c r="I214" s="24">
        <v>495000000</v>
      </c>
      <c r="J214" t="s">
        <v>21</v>
      </c>
      <c r="K214" t="s">
        <v>26</v>
      </c>
      <c r="L214" s="25">
        <f t="shared" si="15"/>
        <v>0.709375417948375</v>
      </c>
      <c r="M214" s="24">
        <f t="shared" si="16"/>
        <v>5304000000</v>
      </c>
      <c r="N214" s="25">
        <f t="shared" si="13"/>
        <v>0.1253176407650127</v>
      </c>
      <c r="O214" s="24">
        <f t="shared" si="14"/>
        <v>937000000</v>
      </c>
    </row>
    <row r="215" spans="1:15" x14ac:dyDescent="0.3">
      <c r="A215" t="s">
        <v>121</v>
      </c>
      <c r="B215">
        <v>1</v>
      </c>
      <c r="C215">
        <v>2013</v>
      </c>
      <c r="D215" s="1">
        <v>41455</v>
      </c>
      <c r="E215" s="24">
        <v>101093000000</v>
      </c>
      <c r="F215" s="24">
        <v>96172000000</v>
      </c>
      <c r="G215" s="24">
        <v>2875000000</v>
      </c>
      <c r="H215" s="24">
        <v>0</v>
      </c>
      <c r="I215" s="24">
        <v>158000000</v>
      </c>
      <c r="J215" t="s">
        <v>21</v>
      </c>
      <c r="K215" t="s">
        <v>24</v>
      </c>
      <c r="L215" s="25">
        <f t="shared" si="15"/>
        <v>4.8677950006429715E-2</v>
      </c>
      <c r="M215" s="24">
        <f t="shared" si="16"/>
        <v>4921000000</v>
      </c>
      <c r="N215" s="25">
        <f t="shared" si="13"/>
        <v>1.8675872711265865E-2</v>
      </c>
      <c r="O215" s="24">
        <f t="shared" si="14"/>
        <v>1888000000</v>
      </c>
    </row>
    <row r="216" spans="1:15" x14ac:dyDescent="0.3">
      <c r="A216" t="s">
        <v>121</v>
      </c>
      <c r="B216">
        <v>2</v>
      </c>
      <c r="C216">
        <v>2014</v>
      </c>
      <c r="D216" s="1">
        <v>41820</v>
      </c>
      <c r="E216" s="24">
        <v>91084000000</v>
      </c>
      <c r="F216" s="24">
        <v>85923000000</v>
      </c>
      <c r="G216" s="24">
        <v>3028000000</v>
      </c>
      <c r="H216" s="24">
        <v>0</v>
      </c>
      <c r="I216" s="24">
        <v>223000000</v>
      </c>
      <c r="J216" t="s">
        <v>21</v>
      </c>
      <c r="K216" t="s">
        <v>24</v>
      </c>
      <c r="L216" s="25">
        <f t="shared" si="15"/>
        <v>5.6661982345966311E-2</v>
      </c>
      <c r="M216" s="24">
        <f t="shared" si="16"/>
        <v>5161000000</v>
      </c>
      <c r="N216" s="25">
        <f t="shared" si="13"/>
        <v>2.0969654384963329E-2</v>
      </c>
      <c r="O216" s="24">
        <f t="shared" si="14"/>
        <v>1910000000</v>
      </c>
    </row>
    <row r="217" spans="1:15" x14ac:dyDescent="0.3">
      <c r="A217" t="s">
        <v>121</v>
      </c>
      <c r="B217">
        <v>3</v>
      </c>
      <c r="C217">
        <v>2015</v>
      </c>
      <c r="D217" s="1">
        <v>42185</v>
      </c>
      <c r="E217" s="24">
        <v>102531000000</v>
      </c>
      <c r="F217" s="24">
        <v>96819000000</v>
      </c>
      <c r="G217" s="24">
        <v>3240000000</v>
      </c>
      <c r="H217" s="24">
        <v>0</v>
      </c>
      <c r="I217" s="24">
        <v>281000000</v>
      </c>
      <c r="J217" t="s">
        <v>21</v>
      </c>
      <c r="K217" t="s">
        <v>24</v>
      </c>
      <c r="L217" s="25">
        <f t="shared" si="15"/>
        <v>5.570998039617292E-2</v>
      </c>
      <c r="M217" s="24">
        <f t="shared" si="16"/>
        <v>5712000000</v>
      </c>
      <c r="N217" s="25">
        <f t="shared" si="13"/>
        <v>2.1369146892159446E-2</v>
      </c>
      <c r="O217" s="24">
        <f t="shared" si="14"/>
        <v>2191000000</v>
      </c>
    </row>
    <row r="218" spans="1:15" x14ac:dyDescent="0.3">
      <c r="A218" t="s">
        <v>121</v>
      </c>
      <c r="B218">
        <v>4</v>
      </c>
      <c r="C218">
        <v>2016</v>
      </c>
      <c r="D218" s="1">
        <v>42551</v>
      </c>
      <c r="E218" s="24">
        <v>121546000000</v>
      </c>
      <c r="F218" s="24">
        <v>115003000000</v>
      </c>
      <c r="G218" s="24">
        <v>3648000000</v>
      </c>
      <c r="H218" s="24">
        <v>0</v>
      </c>
      <c r="I218" s="24">
        <v>459000000</v>
      </c>
      <c r="J218" t="s">
        <v>21</v>
      </c>
      <c r="K218" t="s">
        <v>24</v>
      </c>
      <c r="L218" s="25">
        <f t="shared" si="15"/>
        <v>5.3831471212545057E-2</v>
      </c>
      <c r="M218" s="24">
        <f t="shared" si="16"/>
        <v>6543000000</v>
      </c>
      <c r="N218" s="25">
        <f t="shared" si="13"/>
        <v>2.004179487601402E-2</v>
      </c>
      <c r="O218" s="24">
        <f t="shared" si="14"/>
        <v>2436000000</v>
      </c>
    </row>
    <row r="219" spans="1:15" x14ac:dyDescent="0.3">
      <c r="A219" t="s">
        <v>130</v>
      </c>
      <c r="B219">
        <v>1</v>
      </c>
      <c r="C219">
        <v>2013</v>
      </c>
      <c r="D219" s="1">
        <v>41639</v>
      </c>
      <c r="E219" s="24">
        <v>6493900000</v>
      </c>
      <c r="F219" s="24">
        <v>340400000</v>
      </c>
      <c r="G219" s="24">
        <v>1684500000</v>
      </c>
      <c r="H219" s="24">
        <v>2226200000</v>
      </c>
      <c r="I219" s="24">
        <v>262800000</v>
      </c>
      <c r="J219" t="s">
        <v>21</v>
      </c>
      <c r="K219" t="s">
        <v>62</v>
      </c>
      <c r="L219" s="25">
        <f t="shared" si="15"/>
        <v>0.94758157655646069</v>
      </c>
      <c r="M219" s="24">
        <f t="shared" si="16"/>
        <v>6153500000</v>
      </c>
      <c r="N219" s="25">
        <f t="shared" si="13"/>
        <v>0.30490152296770817</v>
      </c>
      <c r="O219" s="24">
        <f t="shared" si="14"/>
        <v>1980000000</v>
      </c>
    </row>
    <row r="220" spans="1:15" x14ac:dyDescent="0.3">
      <c r="A220" t="s">
        <v>130</v>
      </c>
      <c r="B220">
        <v>2</v>
      </c>
      <c r="C220">
        <v>2014</v>
      </c>
      <c r="D220" s="1">
        <v>42004</v>
      </c>
      <c r="E220" s="24">
        <v>7670400000</v>
      </c>
      <c r="F220" s="24">
        <v>385900000</v>
      </c>
      <c r="G220" s="24">
        <v>2027900000</v>
      </c>
      <c r="H220" s="24">
        <v>2430600000</v>
      </c>
      <c r="I220" s="24">
        <v>258300000</v>
      </c>
      <c r="J220" t="s">
        <v>21</v>
      </c>
      <c r="K220" t="s">
        <v>62</v>
      </c>
      <c r="L220" s="25">
        <f t="shared" si="15"/>
        <v>0.94968971631205679</v>
      </c>
      <c r="M220" s="24">
        <f t="shared" si="16"/>
        <v>7284500000</v>
      </c>
      <c r="N220" s="25">
        <f t="shared" si="13"/>
        <v>0.33475438047559447</v>
      </c>
      <c r="O220" s="24">
        <f t="shared" si="14"/>
        <v>2567700000</v>
      </c>
    </row>
    <row r="221" spans="1:15" x14ac:dyDescent="0.3">
      <c r="A221" t="s">
        <v>130</v>
      </c>
      <c r="B221">
        <v>3</v>
      </c>
      <c r="C221">
        <v>2015</v>
      </c>
      <c r="D221" s="1">
        <v>42369</v>
      </c>
      <c r="E221" s="24">
        <v>9256000000</v>
      </c>
      <c r="F221" s="24">
        <v>420100000</v>
      </c>
      <c r="G221" s="24">
        <v>2305400000</v>
      </c>
      <c r="H221" s="24">
        <v>3697300000</v>
      </c>
      <c r="I221" s="24">
        <v>279000000</v>
      </c>
      <c r="J221" t="s">
        <v>21</v>
      </c>
      <c r="K221" t="s">
        <v>62</v>
      </c>
      <c r="L221" s="25">
        <f t="shared" si="15"/>
        <v>0.95461322385479686</v>
      </c>
      <c r="M221" s="24">
        <f t="shared" si="16"/>
        <v>8835900000</v>
      </c>
      <c r="N221" s="25">
        <f t="shared" si="13"/>
        <v>0.27595073465859982</v>
      </c>
      <c r="O221" s="24">
        <f t="shared" si="14"/>
        <v>2554200000</v>
      </c>
    </row>
    <row r="222" spans="1:15" x14ac:dyDescent="0.3">
      <c r="A222" t="s">
        <v>130</v>
      </c>
      <c r="B222">
        <v>4</v>
      </c>
      <c r="C222">
        <v>2016</v>
      </c>
      <c r="D222" s="1">
        <v>42735</v>
      </c>
      <c r="E222" s="24">
        <v>11229200000</v>
      </c>
      <c r="F222" s="24">
        <v>438000000</v>
      </c>
      <c r="G222" s="24">
        <v>2657700000</v>
      </c>
      <c r="H222" s="24">
        <v>4470100000</v>
      </c>
      <c r="I222" s="24">
        <v>459000000</v>
      </c>
      <c r="J222" t="s">
        <v>21</v>
      </c>
      <c r="K222" t="s">
        <v>62</v>
      </c>
      <c r="L222" s="25">
        <f t="shared" si="15"/>
        <v>0.96099454992341393</v>
      </c>
      <c r="M222" s="24">
        <f t="shared" si="16"/>
        <v>10791200000</v>
      </c>
      <c r="N222" s="25">
        <f t="shared" si="13"/>
        <v>0.28536316033199161</v>
      </c>
      <c r="O222" s="24">
        <f t="shared" si="14"/>
        <v>3204400000</v>
      </c>
    </row>
    <row r="223" spans="1:15" x14ac:dyDescent="0.3">
      <c r="A223" t="s">
        <v>131</v>
      </c>
      <c r="B223">
        <v>1</v>
      </c>
      <c r="C223">
        <v>2013</v>
      </c>
      <c r="D223" s="1">
        <v>41636</v>
      </c>
      <c r="E223" s="24">
        <v>2910748000</v>
      </c>
      <c r="F223" s="24">
        <v>514722000</v>
      </c>
      <c r="G223" s="24">
        <v>1468434000</v>
      </c>
      <c r="H223" s="24">
        <v>338786000</v>
      </c>
      <c r="I223" s="24">
        <v>12794000</v>
      </c>
      <c r="J223" t="s">
        <v>21</v>
      </c>
      <c r="K223" t="s">
        <v>132</v>
      </c>
      <c r="L223" s="25">
        <f t="shared" si="15"/>
        <v>0.82316504211288644</v>
      </c>
      <c r="M223" s="24">
        <f t="shared" si="16"/>
        <v>2396026000</v>
      </c>
      <c r="N223" s="25">
        <f t="shared" si="13"/>
        <v>0.19789140111064235</v>
      </c>
      <c r="O223" s="24">
        <f t="shared" si="14"/>
        <v>576012000</v>
      </c>
    </row>
    <row r="224" spans="1:15" x14ac:dyDescent="0.3">
      <c r="A224" t="s">
        <v>131</v>
      </c>
      <c r="B224">
        <v>2</v>
      </c>
      <c r="C224">
        <v>2015</v>
      </c>
      <c r="D224" s="1">
        <v>42007</v>
      </c>
      <c r="E224" s="24">
        <v>3402703000</v>
      </c>
      <c r="F224" s="24">
        <v>604377000</v>
      </c>
      <c r="G224" s="24">
        <v>1628961000</v>
      </c>
      <c r="H224" s="24">
        <v>392805000</v>
      </c>
      <c r="I224" s="24">
        <v>13476000</v>
      </c>
      <c r="J224" t="s">
        <v>21</v>
      </c>
      <c r="K224" t="s">
        <v>132</v>
      </c>
      <c r="L224" s="25">
        <f t="shared" si="15"/>
        <v>0.82238326412854723</v>
      </c>
      <c r="M224" s="24">
        <f t="shared" si="16"/>
        <v>2798326000</v>
      </c>
      <c r="N224" s="25">
        <f t="shared" si="13"/>
        <v>0.22425818533089723</v>
      </c>
      <c r="O224" s="24">
        <f t="shared" si="14"/>
        <v>763084000</v>
      </c>
    </row>
    <row r="225" spans="1:15" x14ac:dyDescent="0.3">
      <c r="A225" t="s">
        <v>131</v>
      </c>
      <c r="B225">
        <v>3</v>
      </c>
      <c r="C225">
        <v>2016</v>
      </c>
      <c r="D225" s="1">
        <v>42371</v>
      </c>
      <c r="E225" s="24">
        <v>4425267000</v>
      </c>
      <c r="F225" s="24">
        <v>750781000</v>
      </c>
      <c r="G225" s="24">
        <v>2262024000</v>
      </c>
      <c r="H225" s="24">
        <v>539799000</v>
      </c>
      <c r="I225" s="24">
        <v>91527000</v>
      </c>
      <c r="J225" t="s">
        <v>21</v>
      </c>
      <c r="K225" t="s">
        <v>132</v>
      </c>
      <c r="L225" s="25">
        <f t="shared" si="15"/>
        <v>0.83034221437938094</v>
      </c>
      <c r="M225" s="24">
        <f t="shared" si="16"/>
        <v>3674486000</v>
      </c>
      <c r="N225" s="25">
        <f t="shared" si="13"/>
        <v>0.17651725873263693</v>
      </c>
      <c r="O225" s="24">
        <f t="shared" si="14"/>
        <v>781136000</v>
      </c>
    </row>
    <row r="226" spans="1:15" x14ac:dyDescent="0.3">
      <c r="A226" t="s">
        <v>131</v>
      </c>
      <c r="B226">
        <v>4</v>
      </c>
      <c r="C226">
        <v>2016</v>
      </c>
      <c r="D226" s="1">
        <v>42735</v>
      </c>
      <c r="E226" s="24">
        <v>4796473000</v>
      </c>
      <c r="F226" s="24">
        <v>779116000</v>
      </c>
      <c r="G226" s="24">
        <v>2464380000</v>
      </c>
      <c r="H226" s="24">
        <v>551418000</v>
      </c>
      <c r="I226" s="24">
        <v>90546000</v>
      </c>
      <c r="J226" t="s">
        <v>21</v>
      </c>
      <c r="K226" t="s">
        <v>132</v>
      </c>
      <c r="L226" s="25">
        <f t="shared" si="15"/>
        <v>0.8375648106431538</v>
      </c>
      <c r="M226" s="24">
        <f t="shared" si="16"/>
        <v>4017357000</v>
      </c>
      <c r="N226" s="25">
        <f t="shared" si="13"/>
        <v>0.18993393687403223</v>
      </c>
      <c r="O226" s="24">
        <f t="shared" si="14"/>
        <v>911013000</v>
      </c>
    </row>
    <row r="227" spans="1:15" x14ac:dyDescent="0.3">
      <c r="A227" t="s">
        <v>145</v>
      </c>
      <c r="B227">
        <v>1</v>
      </c>
      <c r="C227">
        <v>2012</v>
      </c>
      <c r="D227" s="1">
        <v>41274</v>
      </c>
      <c r="E227" s="24">
        <v>29119000000</v>
      </c>
      <c r="F227" s="24">
        <v>17900000000</v>
      </c>
      <c r="G227" s="24">
        <v>0</v>
      </c>
      <c r="H227" s="24">
        <v>0</v>
      </c>
      <c r="I227" s="24">
        <v>8742000000</v>
      </c>
      <c r="J227" t="s">
        <v>21</v>
      </c>
      <c r="K227" t="s">
        <v>77</v>
      </c>
      <c r="L227" s="25">
        <f t="shared" si="15"/>
        <v>0.38528108794944882</v>
      </c>
      <c r="M227" s="24">
        <f t="shared" si="16"/>
        <v>11219000000</v>
      </c>
      <c r="N227" s="25">
        <f t="shared" si="13"/>
        <v>8.5064734365877956E-2</v>
      </c>
      <c r="O227" s="24">
        <f t="shared" si="14"/>
        <v>2477000000</v>
      </c>
    </row>
    <row r="228" spans="1:15" x14ac:dyDescent="0.3">
      <c r="A228" t="s">
        <v>145</v>
      </c>
      <c r="B228">
        <v>2</v>
      </c>
      <c r="C228">
        <v>2013</v>
      </c>
      <c r="D228" s="1">
        <v>41639</v>
      </c>
      <c r="E228" s="24">
        <v>32380000000</v>
      </c>
      <c r="F228" s="24">
        <v>20865000000</v>
      </c>
      <c r="G228" s="24">
        <v>0</v>
      </c>
      <c r="H228" s="24">
        <v>0</v>
      </c>
      <c r="I228" s="24">
        <v>9339000000</v>
      </c>
      <c r="J228" t="s">
        <v>21</v>
      </c>
      <c r="K228" t="s">
        <v>77</v>
      </c>
      <c r="L228" s="25">
        <f t="shared" si="15"/>
        <v>0.35562075355157508</v>
      </c>
      <c r="M228" s="24">
        <f t="shared" si="16"/>
        <v>11515000000</v>
      </c>
      <c r="N228" s="25">
        <f t="shared" si="13"/>
        <v>6.7201976528721438E-2</v>
      </c>
      <c r="O228" s="24">
        <f t="shared" si="14"/>
        <v>2176000000</v>
      </c>
    </row>
    <row r="229" spans="1:15" x14ac:dyDescent="0.3">
      <c r="A229" t="s">
        <v>145</v>
      </c>
      <c r="B229">
        <v>3</v>
      </c>
      <c r="C229">
        <v>2014</v>
      </c>
      <c r="D229" s="1">
        <v>42004</v>
      </c>
      <c r="E229" s="24">
        <v>34914000000</v>
      </c>
      <c r="F229" s="24">
        <v>21334000000</v>
      </c>
      <c r="G229" s="24">
        <v>0</v>
      </c>
      <c r="H229" s="24">
        <v>0</v>
      </c>
      <c r="I229" s="24">
        <v>10276000000</v>
      </c>
      <c r="J229" t="s">
        <v>21</v>
      </c>
      <c r="K229" t="s">
        <v>77</v>
      </c>
      <c r="L229" s="25">
        <f t="shared" si="15"/>
        <v>0.38895571976857424</v>
      </c>
      <c r="M229" s="24">
        <f t="shared" si="16"/>
        <v>13580000000</v>
      </c>
      <c r="N229" s="25">
        <f t="shared" si="13"/>
        <v>9.4632525634415987E-2</v>
      </c>
      <c r="O229" s="24">
        <f t="shared" si="14"/>
        <v>3304000000</v>
      </c>
    </row>
    <row r="230" spans="1:15" x14ac:dyDescent="0.3">
      <c r="A230" t="s">
        <v>145</v>
      </c>
      <c r="B230">
        <v>4</v>
      </c>
      <c r="C230">
        <v>2015</v>
      </c>
      <c r="D230" s="1">
        <v>42369</v>
      </c>
      <c r="E230" s="24">
        <v>37876000000</v>
      </c>
      <c r="F230" s="24">
        <v>23290000000</v>
      </c>
      <c r="G230" s="24">
        <v>0</v>
      </c>
      <c r="H230" s="24">
        <v>0</v>
      </c>
      <c r="I230" s="24">
        <v>11259000000</v>
      </c>
      <c r="J230" t="s">
        <v>21</v>
      </c>
      <c r="K230" t="s">
        <v>77</v>
      </c>
      <c r="L230" s="25">
        <f t="shared" si="15"/>
        <v>0.38509874326750448</v>
      </c>
      <c r="M230" s="24">
        <f t="shared" si="16"/>
        <v>14586000000</v>
      </c>
      <c r="N230" s="25">
        <f t="shared" si="13"/>
        <v>8.7839264969901784E-2</v>
      </c>
      <c r="O230" s="24">
        <f t="shared" si="14"/>
        <v>3327000000</v>
      </c>
    </row>
    <row r="231" spans="1:15" x14ac:dyDescent="0.3">
      <c r="A231" t="s">
        <v>155</v>
      </c>
      <c r="B231">
        <v>1</v>
      </c>
      <c r="C231">
        <v>2012</v>
      </c>
      <c r="D231" s="1">
        <v>41274</v>
      </c>
      <c r="E231" s="24">
        <v>8110000000</v>
      </c>
      <c r="F231" s="24">
        <v>6781000000</v>
      </c>
      <c r="G231" s="24">
        <v>1105000000</v>
      </c>
      <c r="H231" s="24">
        <v>0</v>
      </c>
      <c r="I231" s="24">
        <v>88000000</v>
      </c>
      <c r="J231" t="s">
        <v>21</v>
      </c>
      <c r="K231" t="s">
        <v>77</v>
      </c>
      <c r="L231" s="25">
        <f t="shared" si="15"/>
        <v>0.16387176325524044</v>
      </c>
      <c r="M231" s="24">
        <f t="shared" si="16"/>
        <v>1329000000</v>
      </c>
      <c r="N231" s="25">
        <f t="shared" si="13"/>
        <v>1.6769420468557335E-2</v>
      </c>
      <c r="O231" s="24">
        <f t="shared" si="14"/>
        <v>136000000</v>
      </c>
    </row>
    <row r="232" spans="1:15" x14ac:dyDescent="0.3">
      <c r="A232" t="s">
        <v>155</v>
      </c>
      <c r="B232">
        <v>2</v>
      </c>
      <c r="C232">
        <v>2013</v>
      </c>
      <c r="D232" s="1">
        <v>41639</v>
      </c>
      <c r="E232" s="24">
        <v>10863000000</v>
      </c>
      <c r="F232" s="24">
        <v>8995000000</v>
      </c>
      <c r="G232" s="24">
        <v>1264000000</v>
      </c>
      <c r="H232" s="24">
        <v>0</v>
      </c>
      <c r="I232" s="24">
        <v>327000000</v>
      </c>
      <c r="J232" t="s">
        <v>21</v>
      </c>
      <c r="K232" t="s">
        <v>77</v>
      </c>
      <c r="L232" s="25">
        <f t="shared" si="15"/>
        <v>0.17195986375770966</v>
      </c>
      <c r="M232" s="24">
        <f t="shared" si="16"/>
        <v>1868000000</v>
      </c>
      <c r="N232" s="25">
        <f t="shared" si="13"/>
        <v>2.5499401638589707E-2</v>
      </c>
      <c r="O232" s="24">
        <f t="shared" si="14"/>
        <v>277000000</v>
      </c>
    </row>
    <row r="233" spans="1:15" x14ac:dyDescent="0.3">
      <c r="A233" t="s">
        <v>155</v>
      </c>
      <c r="B233">
        <v>3</v>
      </c>
      <c r="C233">
        <v>2014</v>
      </c>
      <c r="D233" s="1">
        <v>42004</v>
      </c>
      <c r="E233" s="24">
        <v>16560000000</v>
      </c>
      <c r="F233" s="24">
        <v>12678000000</v>
      </c>
      <c r="G233" s="24">
        <v>2012000000</v>
      </c>
      <c r="H233" s="24">
        <v>0</v>
      </c>
      <c r="I233" s="24">
        <v>1406000000</v>
      </c>
      <c r="J233" t="s">
        <v>21</v>
      </c>
      <c r="K233" t="s">
        <v>77</v>
      </c>
      <c r="L233" s="25">
        <f t="shared" si="15"/>
        <v>0.23442028985507246</v>
      </c>
      <c r="M233" s="24">
        <f t="shared" si="16"/>
        <v>3882000000</v>
      </c>
      <c r="N233" s="25">
        <f t="shared" si="13"/>
        <v>2.8019323671497585E-2</v>
      </c>
      <c r="O233" s="24">
        <f t="shared" si="14"/>
        <v>464000000</v>
      </c>
    </row>
    <row r="234" spans="1:15" x14ac:dyDescent="0.3">
      <c r="A234" t="s">
        <v>155</v>
      </c>
      <c r="B234">
        <v>4</v>
      </c>
      <c r="C234">
        <v>2015</v>
      </c>
      <c r="D234" s="1">
        <v>42369</v>
      </c>
      <c r="E234" s="24">
        <v>22760000000</v>
      </c>
      <c r="F234" s="24">
        <v>17242000000</v>
      </c>
      <c r="G234" s="24">
        <v>2977000000</v>
      </c>
      <c r="H234" s="24">
        <v>0</v>
      </c>
      <c r="I234" s="24">
        <v>1836000000</v>
      </c>
      <c r="J234" t="s">
        <v>21</v>
      </c>
      <c r="K234" t="s">
        <v>77</v>
      </c>
      <c r="L234" s="25">
        <f t="shared" si="15"/>
        <v>0.24244288224956068</v>
      </c>
      <c r="M234" s="24">
        <f t="shared" si="16"/>
        <v>5518000000</v>
      </c>
      <c r="N234" s="25">
        <f t="shared" si="13"/>
        <v>3.0975395430579963E-2</v>
      </c>
      <c r="O234" s="24">
        <f t="shared" si="14"/>
        <v>705000000</v>
      </c>
    </row>
    <row r="235" spans="1:15" x14ac:dyDescent="0.3">
      <c r="A235" t="s">
        <v>161</v>
      </c>
      <c r="B235">
        <v>1</v>
      </c>
      <c r="C235">
        <v>2013</v>
      </c>
      <c r="D235" s="1">
        <v>41578</v>
      </c>
      <c r="E235" s="24">
        <v>1587725000</v>
      </c>
      <c r="F235" s="24">
        <v>560917000</v>
      </c>
      <c r="G235" s="24">
        <v>610735000</v>
      </c>
      <c r="H235" s="24">
        <v>58827000</v>
      </c>
      <c r="I235" s="24">
        <v>30239000</v>
      </c>
      <c r="J235" t="s">
        <v>21</v>
      </c>
      <c r="K235" t="s">
        <v>162</v>
      </c>
      <c r="L235" s="25">
        <f t="shared" si="15"/>
        <v>0.64671652836605831</v>
      </c>
      <c r="M235" s="24">
        <f t="shared" si="16"/>
        <v>1026808000</v>
      </c>
      <c r="N235" s="25">
        <f t="shared" si="13"/>
        <v>0.20595947031129447</v>
      </c>
      <c r="O235" s="24">
        <f t="shared" si="14"/>
        <v>327007000</v>
      </c>
    </row>
    <row r="236" spans="1:15" x14ac:dyDescent="0.3">
      <c r="A236" t="s">
        <v>161</v>
      </c>
      <c r="B236">
        <v>2</v>
      </c>
      <c r="C236">
        <v>2014</v>
      </c>
      <c r="D236" s="1">
        <v>41943</v>
      </c>
      <c r="E236" s="24">
        <v>1717776000</v>
      </c>
      <c r="F236" s="24">
        <v>626206000</v>
      </c>
      <c r="G236" s="24">
        <v>683115000</v>
      </c>
      <c r="H236" s="24">
        <v>66259000</v>
      </c>
      <c r="I236" s="24">
        <v>35710000</v>
      </c>
      <c r="J236" t="s">
        <v>21</v>
      </c>
      <c r="K236" t="s">
        <v>162</v>
      </c>
      <c r="L236" s="25">
        <f t="shared" si="15"/>
        <v>0.63545537951397624</v>
      </c>
      <c r="M236" s="24">
        <f t="shared" si="16"/>
        <v>1091570000</v>
      </c>
      <c r="N236" s="25">
        <f t="shared" si="13"/>
        <v>0.17842023639869226</v>
      </c>
      <c r="O236" s="24">
        <f t="shared" si="14"/>
        <v>306486000</v>
      </c>
    </row>
    <row r="237" spans="1:15" x14ac:dyDescent="0.3">
      <c r="A237" t="s">
        <v>161</v>
      </c>
      <c r="B237">
        <v>3</v>
      </c>
      <c r="C237">
        <v>2015</v>
      </c>
      <c r="D237" s="1">
        <v>42308</v>
      </c>
      <c r="E237" s="24">
        <v>1797060000</v>
      </c>
      <c r="F237" s="24">
        <v>726798000</v>
      </c>
      <c r="G237" s="24">
        <v>712543000</v>
      </c>
      <c r="H237" s="24">
        <v>69589000</v>
      </c>
      <c r="I237" s="24">
        <v>51459000</v>
      </c>
      <c r="J237" t="s">
        <v>21</v>
      </c>
      <c r="K237" t="s">
        <v>162</v>
      </c>
      <c r="L237" s="25">
        <f t="shared" si="15"/>
        <v>0.59556275249574298</v>
      </c>
      <c r="M237" s="24">
        <f t="shared" si="16"/>
        <v>1070262000</v>
      </c>
      <c r="N237" s="25">
        <f t="shared" si="13"/>
        <v>0.13169899725106562</v>
      </c>
      <c r="O237" s="24">
        <f t="shared" si="14"/>
        <v>236671000</v>
      </c>
    </row>
    <row r="238" spans="1:15" x14ac:dyDescent="0.3">
      <c r="A238" t="s">
        <v>161</v>
      </c>
      <c r="B238">
        <v>4</v>
      </c>
      <c r="C238">
        <v>2016</v>
      </c>
      <c r="D238" s="1">
        <v>42674</v>
      </c>
      <c r="E238" s="24">
        <v>1966814000</v>
      </c>
      <c r="F238" s="24">
        <v>793735000</v>
      </c>
      <c r="G238" s="24">
        <v>722798000</v>
      </c>
      <c r="H238" s="24">
        <v>65411000</v>
      </c>
      <c r="I238" s="24">
        <v>60790000</v>
      </c>
      <c r="J238" t="s">
        <v>21</v>
      </c>
      <c r="K238" t="s">
        <v>162</v>
      </c>
      <c r="L238" s="25">
        <f t="shared" si="15"/>
        <v>0.59643616529066801</v>
      </c>
      <c r="M238" s="24">
        <f t="shared" si="16"/>
        <v>1173079000</v>
      </c>
      <c r="N238" s="25">
        <f t="shared" si="13"/>
        <v>0.16477409658462874</v>
      </c>
      <c r="O238" s="24">
        <f t="shared" si="14"/>
        <v>324080000</v>
      </c>
    </row>
    <row r="239" spans="1:15" x14ac:dyDescent="0.3">
      <c r="A239" t="s">
        <v>194</v>
      </c>
      <c r="B239">
        <v>1</v>
      </c>
      <c r="C239">
        <v>2012</v>
      </c>
      <c r="D239" s="1">
        <v>41274</v>
      </c>
      <c r="E239" s="24">
        <v>7383000000</v>
      </c>
      <c r="F239" s="24">
        <v>4365000000</v>
      </c>
      <c r="G239" s="24">
        <v>1742000000</v>
      </c>
      <c r="H239" s="24">
        <v>0</v>
      </c>
      <c r="I239" s="24">
        <v>75000000</v>
      </c>
      <c r="J239" t="s">
        <v>21</v>
      </c>
      <c r="K239" t="s">
        <v>195</v>
      </c>
      <c r="L239" s="25">
        <f t="shared" si="15"/>
        <v>0.40877691995123933</v>
      </c>
      <c r="M239" s="24">
        <f t="shared" si="16"/>
        <v>3018000000</v>
      </c>
      <c r="N239" s="25">
        <f t="shared" si="13"/>
        <v>0.16267100094812406</v>
      </c>
      <c r="O239" s="24">
        <f t="shared" si="14"/>
        <v>1201000000</v>
      </c>
    </row>
    <row r="240" spans="1:15" x14ac:dyDescent="0.3">
      <c r="A240" t="s">
        <v>194</v>
      </c>
      <c r="B240">
        <v>2</v>
      </c>
      <c r="C240">
        <v>2013</v>
      </c>
      <c r="D240" s="1">
        <v>41639</v>
      </c>
      <c r="E240" s="24">
        <v>7146000000</v>
      </c>
      <c r="F240" s="24">
        <v>4326000000</v>
      </c>
      <c r="G240" s="24">
        <v>1740000000</v>
      </c>
      <c r="H240" s="24">
        <v>0</v>
      </c>
      <c r="I240" s="24">
        <v>79000000</v>
      </c>
      <c r="J240" t="s">
        <v>21</v>
      </c>
      <c r="K240" t="s">
        <v>195</v>
      </c>
      <c r="L240" s="25">
        <f t="shared" si="15"/>
        <v>0.39462636439966414</v>
      </c>
      <c r="M240" s="24">
        <f t="shared" si="16"/>
        <v>2820000000</v>
      </c>
      <c r="N240" s="25">
        <f t="shared" si="13"/>
        <v>0.14007836551917158</v>
      </c>
      <c r="O240" s="24">
        <f t="shared" si="14"/>
        <v>1001000000</v>
      </c>
    </row>
    <row r="241" spans="1:15" x14ac:dyDescent="0.3">
      <c r="A241" t="s">
        <v>194</v>
      </c>
      <c r="B241">
        <v>3</v>
      </c>
      <c r="C241">
        <v>2014</v>
      </c>
      <c r="D241" s="1">
        <v>42004</v>
      </c>
      <c r="E241" s="24">
        <v>7435000000</v>
      </c>
      <c r="F241" s="24">
        <v>4637000000</v>
      </c>
      <c r="G241" s="24">
        <v>1721000000</v>
      </c>
      <c r="H241" s="24">
        <v>0</v>
      </c>
      <c r="I241" s="24">
        <v>94000000</v>
      </c>
      <c r="J241" t="s">
        <v>21</v>
      </c>
      <c r="K241" t="s">
        <v>195</v>
      </c>
      <c r="L241" s="25">
        <f t="shared" si="15"/>
        <v>0.37632817753866843</v>
      </c>
      <c r="M241" s="24">
        <f t="shared" si="16"/>
        <v>2798000000</v>
      </c>
      <c r="N241" s="25">
        <f t="shared" si="13"/>
        <v>0.13221250840618695</v>
      </c>
      <c r="O241" s="24">
        <f t="shared" si="14"/>
        <v>983000000</v>
      </c>
    </row>
    <row r="242" spans="1:15" x14ac:dyDescent="0.3">
      <c r="A242" t="s">
        <v>194</v>
      </c>
      <c r="B242">
        <v>4</v>
      </c>
      <c r="C242">
        <v>2015</v>
      </c>
      <c r="D242" s="1">
        <v>42369</v>
      </c>
      <c r="E242" s="24">
        <v>7493000000</v>
      </c>
      <c r="F242" s="24">
        <v>4657000000</v>
      </c>
      <c r="G242" s="24">
        <v>1356000000</v>
      </c>
      <c r="H242" s="24">
        <v>0</v>
      </c>
      <c r="I242" s="24">
        <v>81000000</v>
      </c>
      <c r="J242" t="s">
        <v>21</v>
      </c>
      <c r="K242" t="s">
        <v>195</v>
      </c>
      <c r="L242" s="25">
        <f t="shared" si="15"/>
        <v>0.37848658748164954</v>
      </c>
      <c r="M242" s="24">
        <f t="shared" si="16"/>
        <v>2836000000</v>
      </c>
      <c r="N242" s="25">
        <f t="shared" si="13"/>
        <v>0.18670759375417056</v>
      </c>
      <c r="O242" s="24">
        <f t="shared" si="14"/>
        <v>1399000000</v>
      </c>
    </row>
    <row r="243" spans="1:15" x14ac:dyDescent="0.3">
      <c r="A243" t="s">
        <v>213</v>
      </c>
      <c r="B243">
        <v>1</v>
      </c>
      <c r="C243">
        <v>2012</v>
      </c>
      <c r="D243" s="1">
        <v>41274</v>
      </c>
      <c r="E243" s="24">
        <v>8186280000</v>
      </c>
      <c r="F243" s="24">
        <v>5583549000</v>
      </c>
      <c r="G243" s="24">
        <v>889879000</v>
      </c>
      <c r="H243" s="24">
        <v>0</v>
      </c>
      <c r="I243" s="24">
        <v>341969000</v>
      </c>
      <c r="J243" t="s">
        <v>21</v>
      </c>
      <c r="K243" t="s">
        <v>195</v>
      </c>
      <c r="L243" s="25">
        <f t="shared" si="15"/>
        <v>0.31793818437678656</v>
      </c>
      <c r="M243" s="24">
        <f t="shared" si="16"/>
        <v>2602731000</v>
      </c>
      <c r="N243" s="25">
        <f t="shared" si="13"/>
        <v>0.16746104457702399</v>
      </c>
      <c r="O243" s="24">
        <f t="shared" si="14"/>
        <v>1370883000</v>
      </c>
    </row>
    <row r="244" spans="1:15" x14ac:dyDescent="0.3">
      <c r="A244" t="s">
        <v>213</v>
      </c>
      <c r="B244">
        <v>2</v>
      </c>
      <c r="C244">
        <v>2013</v>
      </c>
      <c r="D244" s="1">
        <v>41639</v>
      </c>
      <c r="E244" s="24">
        <v>11764050000</v>
      </c>
      <c r="F244" s="24">
        <v>8198377000</v>
      </c>
      <c r="G244" s="24">
        <v>1516508000</v>
      </c>
      <c r="H244" s="24">
        <v>0</v>
      </c>
      <c r="I244" s="24">
        <v>528737000</v>
      </c>
      <c r="J244" t="s">
        <v>21</v>
      </c>
      <c r="K244" t="s">
        <v>195</v>
      </c>
      <c r="L244" s="25">
        <f t="shared" si="15"/>
        <v>0.30309910277497976</v>
      </c>
      <c r="M244" s="24">
        <f t="shared" si="16"/>
        <v>3565673000</v>
      </c>
      <c r="N244" s="25">
        <f t="shared" si="13"/>
        <v>0.12924358532988214</v>
      </c>
      <c r="O244" s="24">
        <f t="shared" si="14"/>
        <v>1520428000</v>
      </c>
    </row>
    <row r="245" spans="1:15" x14ac:dyDescent="0.3">
      <c r="A245" t="s">
        <v>213</v>
      </c>
      <c r="B245">
        <v>3</v>
      </c>
      <c r="C245">
        <v>2014</v>
      </c>
      <c r="D245" s="1">
        <v>42004</v>
      </c>
      <c r="E245" s="24">
        <v>12795106000</v>
      </c>
      <c r="F245" s="24">
        <v>9119305000</v>
      </c>
      <c r="G245" s="24">
        <v>1278506000</v>
      </c>
      <c r="H245" s="24">
        <v>0</v>
      </c>
      <c r="I245" s="24">
        <v>590935000</v>
      </c>
      <c r="J245" t="s">
        <v>21</v>
      </c>
      <c r="K245" t="s">
        <v>195</v>
      </c>
      <c r="L245" s="25">
        <f t="shared" si="15"/>
        <v>0.28728179352324246</v>
      </c>
      <c r="M245" s="24">
        <f t="shared" si="16"/>
        <v>3675801000</v>
      </c>
      <c r="N245" s="25">
        <f t="shared" si="13"/>
        <v>0.14117585270493266</v>
      </c>
      <c r="O245" s="24">
        <f t="shared" si="14"/>
        <v>1806360000</v>
      </c>
    </row>
    <row r="246" spans="1:15" x14ac:dyDescent="0.3">
      <c r="A246" t="s">
        <v>213</v>
      </c>
      <c r="B246">
        <v>4</v>
      </c>
      <c r="C246">
        <v>2015</v>
      </c>
      <c r="D246" s="1">
        <v>42369</v>
      </c>
      <c r="E246" s="24">
        <v>13781837000</v>
      </c>
      <c r="F246" s="24">
        <v>9824834000</v>
      </c>
      <c r="G246" s="24">
        <v>1947135000</v>
      </c>
      <c r="H246" s="24">
        <v>0</v>
      </c>
      <c r="I246" s="24">
        <v>638024000</v>
      </c>
      <c r="J246" t="s">
        <v>21</v>
      </c>
      <c r="K246" t="s">
        <v>195</v>
      </c>
      <c r="L246" s="25">
        <f t="shared" si="15"/>
        <v>0.28711723988609061</v>
      </c>
      <c r="M246" s="24">
        <f t="shared" si="16"/>
        <v>3957003000</v>
      </c>
      <c r="N246" s="25">
        <f t="shared" si="13"/>
        <v>9.9539996010691467E-2</v>
      </c>
      <c r="O246" s="24">
        <f t="shared" si="14"/>
        <v>1371844000</v>
      </c>
    </row>
    <row r="247" spans="1:15" x14ac:dyDescent="0.3">
      <c r="A247" t="s">
        <v>235</v>
      </c>
      <c r="B247">
        <v>1</v>
      </c>
      <c r="C247">
        <v>2012</v>
      </c>
      <c r="D247" s="1">
        <v>41274</v>
      </c>
      <c r="E247" s="24">
        <v>1899600000</v>
      </c>
      <c r="F247" s="24">
        <v>491000000</v>
      </c>
      <c r="G247" s="24">
        <v>697400000</v>
      </c>
      <c r="H247" s="24">
        <v>291300000</v>
      </c>
      <c r="I247" s="24">
        <v>0</v>
      </c>
      <c r="J247" t="s">
        <v>21</v>
      </c>
      <c r="K247" t="s">
        <v>26</v>
      </c>
      <c r="L247" s="25">
        <f t="shared" si="15"/>
        <v>0.74152453148031161</v>
      </c>
      <c r="M247" s="24">
        <f t="shared" si="16"/>
        <v>1408600000</v>
      </c>
      <c r="N247" s="25">
        <f t="shared" si="13"/>
        <v>0.22104653611286587</v>
      </c>
      <c r="O247" s="24">
        <f t="shared" si="14"/>
        <v>419900000</v>
      </c>
    </row>
    <row r="248" spans="1:15" x14ac:dyDescent="0.3">
      <c r="A248" t="s">
        <v>235</v>
      </c>
      <c r="B248">
        <v>2</v>
      </c>
      <c r="C248">
        <v>2013</v>
      </c>
      <c r="D248" s="1">
        <v>41639</v>
      </c>
      <c r="E248" s="24">
        <v>2045500000</v>
      </c>
      <c r="F248" s="24">
        <v>516600000</v>
      </c>
      <c r="G248" s="24">
        <v>749700000</v>
      </c>
      <c r="H248" s="24">
        <v>323000000</v>
      </c>
      <c r="I248" s="24">
        <v>0</v>
      </c>
      <c r="J248" t="s">
        <v>21</v>
      </c>
      <c r="K248" t="s">
        <v>26</v>
      </c>
      <c r="L248" s="25">
        <f t="shared" si="15"/>
        <v>0.74744561231972617</v>
      </c>
      <c r="M248" s="24">
        <f t="shared" si="16"/>
        <v>1528900000</v>
      </c>
      <c r="N248" s="25">
        <f t="shared" si="13"/>
        <v>0.2230261549743339</v>
      </c>
      <c r="O248" s="24">
        <f t="shared" si="14"/>
        <v>456200000</v>
      </c>
    </row>
    <row r="249" spans="1:15" x14ac:dyDescent="0.3">
      <c r="A249" t="s">
        <v>235</v>
      </c>
      <c r="B249">
        <v>3</v>
      </c>
      <c r="C249">
        <v>2014</v>
      </c>
      <c r="D249" s="1">
        <v>42004</v>
      </c>
      <c r="E249" s="24">
        <v>2322900000</v>
      </c>
      <c r="F249" s="24">
        <v>625600000</v>
      </c>
      <c r="G249" s="24">
        <v>928700000</v>
      </c>
      <c r="H249" s="24">
        <v>346500000</v>
      </c>
      <c r="I249" s="24">
        <v>0</v>
      </c>
      <c r="J249" t="s">
        <v>21</v>
      </c>
      <c r="K249" t="s">
        <v>26</v>
      </c>
      <c r="L249" s="25">
        <f t="shared" si="15"/>
        <v>0.73068147574152997</v>
      </c>
      <c r="M249" s="24">
        <f t="shared" si="16"/>
        <v>1697300000</v>
      </c>
      <c r="N249" s="25">
        <f t="shared" si="13"/>
        <v>0.18171251452925222</v>
      </c>
      <c r="O249" s="24">
        <f t="shared" si="14"/>
        <v>422100000</v>
      </c>
    </row>
    <row r="250" spans="1:15" x14ac:dyDescent="0.3">
      <c r="A250" t="s">
        <v>235</v>
      </c>
      <c r="B250">
        <v>4</v>
      </c>
      <c r="C250">
        <v>2015</v>
      </c>
      <c r="D250" s="1">
        <v>42369</v>
      </c>
      <c r="E250" s="24">
        <v>2493700000</v>
      </c>
      <c r="F250" s="24">
        <v>617200000</v>
      </c>
      <c r="G250" s="24">
        <v>850700000</v>
      </c>
      <c r="H250" s="24">
        <v>383100000</v>
      </c>
      <c r="I250" s="24">
        <v>0</v>
      </c>
      <c r="J250" t="s">
        <v>21</v>
      </c>
      <c r="K250" t="s">
        <v>26</v>
      </c>
      <c r="L250" s="25">
        <f t="shared" si="15"/>
        <v>0.75249629065244417</v>
      </c>
      <c r="M250" s="24">
        <f t="shared" si="16"/>
        <v>1876500000</v>
      </c>
      <c r="N250" s="25">
        <f t="shared" si="13"/>
        <v>0.25772947828527892</v>
      </c>
      <c r="O250" s="24">
        <f t="shared" si="14"/>
        <v>642700000</v>
      </c>
    </row>
    <row r="251" spans="1:15" x14ac:dyDescent="0.3">
      <c r="A251" t="s">
        <v>266</v>
      </c>
      <c r="B251">
        <v>1</v>
      </c>
      <c r="C251">
        <v>2012</v>
      </c>
      <c r="D251" s="1">
        <v>41274</v>
      </c>
      <c r="E251" s="24">
        <v>9702000000</v>
      </c>
      <c r="F251" s="24">
        <v>2471000000</v>
      </c>
      <c r="G251" s="24">
        <v>1461000000</v>
      </c>
      <c r="H251" s="24">
        <v>1760000000</v>
      </c>
      <c r="I251" s="24">
        <v>0</v>
      </c>
      <c r="J251" t="s">
        <v>21</v>
      </c>
      <c r="K251" t="s">
        <v>62</v>
      </c>
      <c r="L251" s="25">
        <f t="shared" si="15"/>
        <v>0.74531024531024537</v>
      </c>
      <c r="M251" s="24">
        <f t="shared" si="16"/>
        <v>7231000000</v>
      </c>
      <c r="N251" s="25">
        <f t="shared" si="13"/>
        <v>0.41331684188827045</v>
      </c>
      <c r="O251" s="24">
        <f t="shared" si="14"/>
        <v>4010000000</v>
      </c>
    </row>
    <row r="252" spans="1:15" x14ac:dyDescent="0.3">
      <c r="A252" t="s">
        <v>266</v>
      </c>
      <c r="B252">
        <v>2</v>
      </c>
      <c r="C252">
        <v>2013</v>
      </c>
      <c r="D252" s="1">
        <v>41639</v>
      </c>
      <c r="E252" s="24">
        <v>11202000000</v>
      </c>
      <c r="F252" s="24">
        <v>2859000000</v>
      </c>
      <c r="G252" s="24">
        <v>1699000000</v>
      </c>
      <c r="H252" s="24">
        <v>2120000000</v>
      </c>
      <c r="I252" s="24">
        <v>0</v>
      </c>
      <c r="J252" t="s">
        <v>21</v>
      </c>
      <c r="K252" t="s">
        <v>62</v>
      </c>
      <c r="L252" s="25">
        <f t="shared" si="15"/>
        <v>0.7447777182645956</v>
      </c>
      <c r="M252" s="24">
        <f t="shared" si="16"/>
        <v>8343000000</v>
      </c>
      <c r="N252" s="25">
        <f t="shared" si="13"/>
        <v>0.40385645420460631</v>
      </c>
      <c r="O252" s="24">
        <f t="shared" si="14"/>
        <v>4524000000</v>
      </c>
    </row>
    <row r="253" spans="1:15" x14ac:dyDescent="0.3">
      <c r="A253" t="s">
        <v>266</v>
      </c>
      <c r="B253">
        <v>3</v>
      </c>
      <c r="C253">
        <v>2014</v>
      </c>
      <c r="D253" s="1">
        <v>42004</v>
      </c>
      <c r="E253" s="24">
        <v>24890000000</v>
      </c>
      <c r="F253" s="24">
        <v>3788000000</v>
      </c>
      <c r="G253" s="24">
        <v>2983000000</v>
      </c>
      <c r="H253" s="24">
        <v>2854000000</v>
      </c>
      <c r="I253" s="24">
        <v>0</v>
      </c>
      <c r="J253" t="s">
        <v>21</v>
      </c>
      <c r="K253" t="s">
        <v>62</v>
      </c>
      <c r="L253" s="25">
        <f t="shared" si="15"/>
        <v>0.84781036560867817</v>
      </c>
      <c r="M253" s="24">
        <f t="shared" si="16"/>
        <v>21102000000</v>
      </c>
      <c r="N253" s="25">
        <f t="shared" si="13"/>
        <v>0.6132985134592206</v>
      </c>
      <c r="O253" s="24">
        <f t="shared" si="14"/>
        <v>15265000000</v>
      </c>
    </row>
    <row r="254" spans="1:15" x14ac:dyDescent="0.3">
      <c r="A254" t="s">
        <v>266</v>
      </c>
      <c r="B254">
        <v>4</v>
      </c>
      <c r="C254">
        <v>2015</v>
      </c>
      <c r="D254" s="1">
        <v>42369</v>
      </c>
      <c r="E254" s="24">
        <v>32639000000</v>
      </c>
      <c r="F254" s="24">
        <v>4006000000</v>
      </c>
      <c r="G254" s="24">
        <v>3426000000</v>
      </c>
      <c r="H254" s="24">
        <v>3014000000</v>
      </c>
      <c r="I254" s="24">
        <v>0</v>
      </c>
      <c r="J254" t="s">
        <v>21</v>
      </c>
      <c r="K254" t="s">
        <v>62</v>
      </c>
      <c r="L254" s="25">
        <f t="shared" si="15"/>
        <v>0.87726339655013941</v>
      </c>
      <c r="M254" s="24">
        <f t="shared" si="16"/>
        <v>28633000000</v>
      </c>
      <c r="N254" s="25">
        <f t="shared" si="13"/>
        <v>0.67995342994577035</v>
      </c>
      <c r="O254" s="24">
        <f t="shared" si="14"/>
        <v>22193000000</v>
      </c>
    </row>
    <row r="255" spans="1:15" x14ac:dyDescent="0.3">
      <c r="A255" t="s">
        <v>286</v>
      </c>
      <c r="B255">
        <v>1</v>
      </c>
      <c r="C255">
        <v>2012</v>
      </c>
      <c r="D255" s="1">
        <v>41274</v>
      </c>
      <c r="E255" s="24">
        <v>33013000000</v>
      </c>
      <c r="F255" s="24">
        <v>5717000000</v>
      </c>
      <c r="G255" s="24">
        <v>20801000000</v>
      </c>
      <c r="H255" s="24">
        <v>0</v>
      </c>
      <c r="I255" s="24">
        <v>1679000000</v>
      </c>
      <c r="J255" t="s">
        <v>21</v>
      </c>
      <c r="K255" t="s">
        <v>195</v>
      </c>
      <c r="L255" s="25">
        <f t="shared" si="15"/>
        <v>0.8268257958985854</v>
      </c>
      <c r="M255" s="24">
        <f t="shared" si="16"/>
        <v>27296000000</v>
      </c>
      <c r="N255" s="25">
        <f t="shared" si="13"/>
        <v>0.14588192530215369</v>
      </c>
      <c r="O255" s="24">
        <f t="shared" si="14"/>
        <v>4816000000</v>
      </c>
    </row>
    <row r="256" spans="1:15" x14ac:dyDescent="0.3">
      <c r="A256" t="s">
        <v>286</v>
      </c>
      <c r="B256">
        <v>2</v>
      </c>
      <c r="C256">
        <v>2013</v>
      </c>
      <c r="D256" s="1">
        <v>41639</v>
      </c>
      <c r="E256" s="24">
        <v>34182000000</v>
      </c>
      <c r="F256" s="24">
        <v>5970000000</v>
      </c>
      <c r="G256" s="24">
        <v>21667000000</v>
      </c>
      <c r="H256" s="24">
        <v>0</v>
      </c>
      <c r="I256" s="24">
        <v>1753000000</v>
      </c>
      <c r="J256" t="s">
        <v>21</v>
      </c>
      <c r="K256" t="s">
        <v>195</v>
      </c>
      <c r="L256" s="25">
        <f t="shared" si="15"/>
        <v>0.82534667368790593</v>
      </c>
      <c r="M256" s="24">
        <f t="shared" si="16"/>
        <v>28212000000</v>
      </c>
      <c r="N256" s="25">
        <f t="shared" si="13"/>
        <v>0.14019074366625708</v>
      </c>
      <c r="O256" s="24">
        <f t="shared" si="14"/>
        <v>4792000000</v>
      </c>
    </row>
    <row r="257" spans="1:15" x14ac:dyDescent="0.3">
      <c r="A257" t="s">
        <v>286</v>
      </c>
      <c r="B257">
        <v>3</v>
      </c>
      <c r="C257">
        <v>2014</v>
      </c>
      <c r="D257" s="1">
        <v>42004</v>
      </c>
      <c r="E257" s="24">
        <v>36918000000</v>
      </c>
      <c r="F257" s="24">
        <v>6262000000</v>
      </c>
      <c r="G257" s="24">
        <v>23271000000</v>
      </c>
      <c r="H257" s="24">
        <v>0</v>
      </c>
      <c r="I257" s="24">
        <v>1820000000</v>
      </c>
      <c r="J257" t="s">
        <v>21</v>
      </c>
      <c r="K257" t="s">
        <v>195</v>
      </c>
      <c r="L257" s="25">
        <f t="shared" si="15"/>
        <v>0.83038084403272117</v>
      </c>
      <c r="M257" s="24">
        <f t="shared" si="16"/>
        <v>30656000000</v>
      </c>
      <c r="N257" s="25">
        <f t="shared" si="13"/>
        <v>0.15073947667804324</v>
      </c>
      <c r="O257" s="24">
        <f t="shared" si="14"/>
        <v>5565000000</v>
      </c>
    </row>
    <row r="258" spans="1:15" x14ac:dyDescent="0.3">
      <c r="A258" t="s">
        <v>286</v>
      </c>
      <c r="B258">
        <v>4</v>
      </c>
      <c r="C258">
        <v>2015</v>
      </c>
      <c r="D258" s="1">
        <v>42369</v>
      </c>
      <c r="E258" s="24">
        <v>39678000000</v>
      </c>
      <c r="F258" s="24">
        <v>6638000000</v>
      </c>
      <c r="G258" s="24">
        <v>25171000000</v>
      </c>
      <c r="H258" s="24">
        <v>0</v>
      </c>
      <c r="I258" s="24">
        <v>1904000000</v>
      </c>
      <c r="J258" t="s">
        <v>21</v>
      </c>
      <c r="K258" t="s">
        <v>195</v>
      </c>
      <c r="L258" s="25">
        <f t="shared" si="15"/>
        <v>0.83270326125308736</v>
      </c>
      <c r="M258" s="24">
        <f t="shared" si="16"/>
        <v>33040000000</v>
      </c>
      <c r="N258" s="25">
        <f t="shared" si="13"/>
        <v>0.15033519834669087</v>
      </c>
      <c r="O258" s="24">
        <f t="shared" si="14"/>
        <v>5965000000</v>
      </c>
    </row>
    <row r="259" spans="1:15" x14ac:dyDescent="0.3">
      <c r="A259" t="s">
        <v>295</v>
      </c>
      <c r="B259">
        <v>1</v>
      </c>
      <c r="C259">
        <v>2013</v>
      </c>
      <c r="D259" s="1">
        <v>41545</v>
      </c>
      <c r="E259" s="24">
        <v>2492300000</v>
      </c>
      <c r="F259" s="24">
        <v>1330900000</v>
      </c>
      <c r="G259" s="24">
        <v>661100000</v>
      </c>
      <c r="H259" s="24">
        <v>197600000</v>
      </c>
      <c r="I259" s="24">
        <v>112600000</v>
      </c>
      <c r="J259" t="s">
        <v>21</v>
      </c>
      <c r="K259" t="s">
        <v>26</v>
      </c>
      <c r="L259" s="25">
        <f t="shared" si="15"/>
        <v>0.46599526541748582</v>
      </c>
      <c r="M259" s="24">
        <f t="shared" si="16"/>
        <v>1161400000</v>
      </c>
      <c r="N259" s="25">
        <f t="shared" ref="N259:N322" si="17">O259/E259</f>
        <v>7.627492677446536E-2</v>
      </c>
      <c r="O259" s="24">
        <f t="shared" ref="O259:O322" si="18">M259-SUM(G259:I259)</f>
        <v>190100000</v>
      </c>
    </row>
    <row r="260" spans="1:15" x14ac:dyDescent="0.3">
      <c r="A260" t="s">
        <v>295</v>
      </c>
      <c r="B260">
        <v>2</v>
      </c>
      <c r="C260">
        <v>2014</v>
      </c>
      <c r="D260" s="1">
        <v>41909</v>
      </c>
      <c r="E260" s="24">
        <v>2530700000</v>
      </c>
      <c r="F260" s="24">
        <v>1285200000</v>
      </c>
      <c r="G260" s="24">
        <v>591500000</v>
      </c>
      <c r="H260" s="24">
        <v>203200000</v>
      </c>
      <c r="I260" s="24">
        <v>113800000</v>
      </c>
      <c r="J260" t="s">
        <v>21</v>
      </c>
      <c r="K260" t="s">
        <v>26</v>
      </c>
      <c r="L260" s="25">
        <f t="shared" ref="L260:L323" si="19">1-(F260/E260)</f>
        <v>0.49215632038566404</v>
      </c>
      <c r="M260" s="24">
        <f t="shared" ref="M260:M323" si="20">E260-F260</f>
        <v>1245500000</v>
      </c>
      <c r="N260" s="25">
        <f t="shared" si="17"/>
        <v>0.13316473702928044</v>
      </c>
      <c r="O260" s="24">
        <f t="shared" si="18"/>
        <v>337000000</v>
      </c>
    </row>
    <row r="261" spans="1:15" x14ac:dyDescent="0.3">
      <c r="A261" t="s">
        <v>295</v>
      </c>
      <c r="B261">
        <v>3</v>
      </c>
      <c r="C261">
        <v>2015</v>
      </c>
      <c r="D261" s="1">
        <v>42273</v>
      </c>
      <c r="E261" s="24">
        <v>2705000000</v>
      </c>
      <c r="F261" s="24">
        <v>1272300000</v>
      </c>
      <c r="G261" s="24">
        <v>624000000</v>
      </c>
      <c r="H261" s="24">
        <v>214900000</v>
      </c>
      <c r="I261" s="24">
        <v>110200000</v>
      </c>
      <c r="J261" t="s">
        <v>21</v>
      </c>
      <c r="K261" t="s">
        <v>26</v>
      </c>
      <c r="L261" s="25">
        <f t="shared" si="19"/>
        <v>0.52964879852125701</v>
      </c>
      <c r="M261" s="24">
        <f t="shared" si="20"/>
        <v>1432700000</v>
      </c>
      <c r="N261" s="25">
        <f t="shared" si="17"/>
        <v>0.17878003696857672</v>
      </c>
      <c r="O261" s="24">
        <f t="shared" si="18"/>
        <v>483600000</v>
      </c>
    </row>
    <row r="262" spans="1:15" x14ac:dyDescent="0.3">
      <c r="A262" t="s">
        <v>295</v>
      </c>
      <c r="B262">
        <v>4</v>
      </c>
      <c r="C262">
        <v>2016</v>
      </c>
      <c r="D262" s="1">
        <v>42637</v>
      </c>
      <c r="E262" s="24">
        <v>2832700000</v>
      </c>
      <c r="F262" s="24">
        <v>1269400000</v>
      </c>
      <c r="G262" s="24">
        <v>682400000</v>
      </c>
      <c r="H262" s="24">
        <v>232100000</v>
      </c>
      <c r="I262" s="24">
        <v>89700000</v>
      </c>
      <c r="J262" t="s">
        <v>21</v>
      </c>
      <c r="K262" t="s">
        <v>26</v>
      </c>
      <c r="L262" s="25">
        <f t="shared" si="19"/>
        <v>0.55187630176157021</v>
      </c>
      <c r="M262" s="24">
        <f t="shared" si="20"/>
        <v>1563300000</v>
      </c>
      <c r="N262" s="25">
        <f t="shared" si="17"/>
        <v>0.19737353055388851</v>
      </c>
      <c r="O262" s="24">
        <f t="shared" si="18"/>
        <v>559100000</v>
      </c>
    </row>
    <row r="263" spans="1:15" x14ac:dyDescent="0.3">
      <c r="A263" t="s">
        <v>306</v>
      </c>
      <c r="B263">
        <v>1</v>
      </c>
      <c r="C263">
        <v>2012</v>
      </c>
      <c r="D263" s="1">
        <v>41272</v>
      </c>
      <c r="E263" s="24">
        <v>8939967000</v>
      </c>
      <c r="F263" s="24">
        <v>6432454000</v>
      </c>
      <c r="G263" s="24">
        <v>1873360000</v>
      </c>
      <c r="H263" s="24">
        <v>0</v>
      </c>
      <c r="I263" s="24">
        <v>0</v>
      </c>
      <c r="J263" t="s">
        <v>21</v>
      </c>
      <c r="K263" t="s">
        <v>24</v>
      </c>
      <c r="L263" s="25">
        <f t="shared" si="19"/>
        <v>0.28048347382042904</v>
      </c>
      <c r="M263" s="24">
        <f t="shared" si="20"/>
        <v>2507513000</v>
      </c>
      <c r="N263" s="25">
        <f t="shared" si="17"/>
        <v>7.0934601883877194E-2</v>
      </c>
      <c r="O263" s="24">
        <f t="shared" si="18"/>
        <v>634153000</v>
      </c>
    </row>
    <row r="264" spans="1:15" x14ac:dyDescent="0.3">
      <c r="A264" t="s">
        <v>306</v>
      </c>
      <c r="B264">
        <v>2</v>
      </c>
      <c r="C264">
        <v>2013</v>
      </c>
      <c r="D264" s="1">
        <v>41636</v>
      </c>
      <c r="E264" s="24">
        <v>9560647000</v>
      </c>
      <c r="F264" s="24">
        <v>6904633000</v>
      </c>
      <c r="G264" s="24">
        <v>1978960000</v>
      </c>
      <c r="H264" s="24">
        <v>0</v>
      </c>
      <c r="I264" s="24">
        <v>0</v>
      </c>
      <c r="J264" t="s">
        <v>21</v>
      </c>
      <c r="K264" t="s">
        <v>24</v>
      </c>
      <c r="L264" s="25">
        <f t="shared" si="19"/>
        <v>0.27780693084892683</v>
      </c>
      <c r="M264" s="24">
        <f t="shared" si="20"/>
        <v>2656014000</v>
      </c>
      <c r="N264" s="25">
        <f t="shared" si="17"/>
        <v>7.0816755393228098E-2</v>
      </c>
      <c r="O264" s="24">
        <f t="shared" si="18"/>
        <v>677054000</v>
      </c>
    </row>
    <row r="265" spans="1:15" x14ac:dyDescent="0.3">
      <c r="A265" t="s">
        <v>306</v>
      </c>
      <c r="B265">
        <v>3</v>
      </c>
      <c r="C265">
        <v>2014</v>
      </c>
      <c r="D265" s="1">
        <v>42000</v>
      </c>
      <c r="E265" s="24">
        <v>10371390000</v>
      </c>
      <c r="F265" s="24">
        <v>7460075000</v>
      </c>
      <c r="G265" s="24">
        <v>2196173000</v>
      </c>
      <c r="H265" s="24">
        <v>0</v>
      </c>
      <c r="I265" s="24">
        <v>0</v>
      </c>
      <c r="J265" t="s">
        <v>21</v>
      </c>
      <c r="K265" t="s">
        <v>24</v>
      </c>
      <c r="L265" s="25">
        <f t="shared" si="19"/>
        <v>0.28070634697952734</v>
      </c>
      <c r="M265" s="24">
        <f t="shared" si="20"/>
        <v>2911315000</v>
      </c>
      <c r="N265" s="25">
        <f t="shared" si="17"/>
        <v>6.8953341837497198E-2</v>
      </c>
      <c r="O265" s="24">
        <f t="shared" si="18"/>
        <v>715142000</v>
      </c>
    </row>
    <row r="266" spans="1:15" x14ac:dyDescent="0.3">
      <c r="A266" t="s">
        <v>306</v>
      </c>
      <c r="B266">
        <v>4</v>
      </c>
      <c r="C266">
        <v>2015</v>
      </c>
      <c r="D266" s="1">
        <v>42364</v>
      </c>
      <c r="E266" s="24">
        <v>10629719000</v>
      </c>
      <c r="F266" s="24">
        <v>7617460000</v>
      </c>
      <c r="G266" s="24">
        <v>2243356000</v>
      </c>
      <c r="H266" s="24">
        <v>0</v>
      </c>
      <c r="I266" s="24">
        <v>0</v>
      </c>
      <c r="J266" t="s">
        <v>21</v>
      </c>
      <c r="K266" t="s">
        <v>24</v>
      </c>
      <c r="L266" s="25">
        <f t="shared" si="19"/>
        <v>0.28338086829952891</v>
      </c>
      <c r="M266" s="24">
        <f t="shared" si="20"/>
        <v>3012259000</v>
      </c>
      <c r="N266" s="25">
        <f t="shared" si="17"/>
        <v>7.2335214129366915E-2</v>
      </c>
      <c r="O266" s="24">
        <f t="shared" si="18"/>
        <v>768903000</v>
      </c>
    </row>
    <row r="267" spans="1:15" x14ac:dyDescent="0.3">
      <c r="A267" t="s">
        <v>309</v>
      </c>
      <c r="B267">
        <v>1</v>
      </c>
      <c r="C267">
        <v>2013</v>
      </c>
      <c r="D267" s="1">
        <v>41639</v>
      </c>
      <c r="E267" s="24">
        <v>41313000000</v>
      </c>
      <c r="F267" s="24">
        <v>32564000000</v>
      </c>
      <c r="G267" s="24">
        <v>0</v>
      </c>
      <c r="H267" s="24">
        <v>0</v>
      </c>
      <c r="I267" s="24">
        <v>6688000000</v>
      </c>
      <c r="J267" t="s">
        <v>21</v>
      </c>
      <c r="K267" t="s">
        <v>77</v>
      </c>
      <c r="L267" s="25">
        <f t="shared" si="19"/>
        <v>0.21177353375450825</v>
      </c>
      <c r="M267" s="24">
        <f t="shared" si="20"/>
        <v>8749000000</v>
      </c>
      <c r="N267" s="25">
        <f t="shared" si="17"/>
        <v>4.9887444630019609E-2</v>
      </c>
      <c r="O267" s="24">
        <f t="shared" si="18"/>
        <v>2061000000</v>
      </c>
    </row>
    <row r="268" spans="1:15" x14ac:dyDescent="0.3">
      <c r="A268" t="s">
        <v>309</v>
      </c>
      <c r="B268">
        <v>2</v>
      </c>
      <c r="C268">
        <v>2014</v>
      </c>
      <c r="D268" s="1">
        <v>42004</v>
      </c>
      <c r="E268" s="24">
        <v>48500000000</v>
      </c>
      <c r="F268" s="24">
        <v>38166000000</v>
      </c>
      <c r="G268" s="24">
        <v>0</v>
      </c>
      <c r="H268" s="24">
        <v>0</v>
      </c>
      <c r="I268" s="24">
        <v>7972000000</v>
      </c>
      <c r="J268" t="s">
        <v>21</v>
      </c>
      <c r="K268" t="s">
        <v>77</v>
      </c>
      <c r="L268" s="25">
        <f t="shared" si="19"/>
        <v>0.2130721649484536</v>
      </c>
      <c r="M268" s="24">
        <f t="shared" si="20"/>
        <v>10334000000</v>
      </c>
      <c r="N268" s="25">
        <f t="shared" si="17"/>
        <v>4.8701030927835051E-2</v>
      </c>
      <c r="O268" s="24">
        <f t="shared" si="18"/>
        <v>2362000000</v>
      </c>
    </row>
    <row r="269" spans="1:15" x14ac:dyDescent="0.3">
      <c r="A269" t="s">
        <v>309</v>
      </c>
      <c r="B269">
        <v>3</v>
      </c>
      <c r="C269">
        <v>2015</v>
      </c>
      <c r="D269" s="1">
        <v>42369</v>
      </c>
      <c r="E269" s="24">
        <v>54289000000</v>
      </c>
      <c r="F269" s="24">
        <v>44269000000</v>
      </c>
      <c r="G269" s="24">
        <v>0</v>
      </c>
      <c r="H269" s="24">
        <v>0</v>
      </c>
      <c r="I269" s="24">
        <v>7673000000</v>
      </c>
      <c r="J269" t="s">
        <v>21</v>
      </c>
      <c r="K269" t="s">
        <v>77</v>
      </c>
      <c r="L269" s="25">
        <f t="shared" si="19"/>
        <v>0.18456777616091657</v>
      </c>
      <c r="M269" s="24">
        <f t="shared" si="20"/>
        <v>10020000000</v>
      </c>
      <c r="N269" s="25">
        <f t="shared" si="17"/>
        <v>4.3231593877212697E-2</v>
      </c>
      <c r="O269" s="24">
        <f t="shared" si="18"/>
        <v>2347000000</v>
      </c>
    </row>
    <row r="270" spans="1:15" x14ac:dyDescent="0.3">
      <c r="A270" t="s">
        <v>309</v>
      </c>
      <c r="B270">
        <v>4</v>
      </c>
      <c r="C270">
        <v>2016</v>
      </c>
      <c r="D270" s="1">
        <v>42735</v>
      </c>
      <c r="E270" s="24">
        <v>54379000000</v>
      </c>
      <c r="F270" s="24">
        <v>45007000000</v>
      </c>
      <c r="G270" s="24">
        <v>0</v>
      </c>
      <c r="H270" s="24">
        <v>0</v>
      </c>
      <c r="I270" s="24">
        <v>7631000000</v>
      </c>
      <c r="J270" t="s">
        <v>21</v>
      </c>
      <c r="K270" t="s">
        <v>77</v>
      </c>
      <c r="L270" s="25">
        <f t="shared" si="19"/>
        <v>0.17234594236745804</v>
      </c>
      <c r="M270" s="24">
        <f t="shared" si="20"/>
        <v>9372000000</v>
      </c>
      <c r="N270" s="25">
        <f t="shared" si="17"/>
        <v>3.2016035601978708E-2</v>
      </c>
      <c r="O270" s="24">
        <f t="shared" si="18"/>
        <v>1741000000</v>
      </c>
    </row>
    <row r="271" spans="1:15" x14ac:dyDescent="0.3">
      <c r="A271" t="s">
        <v>311</v>
      </c>
      <c r="B271">
        <v>1</v>
      </c>
      <c r="C271">
        <v>2012</v>
      </c>
      <c r="D271" s="1">
        <v>41274</v>
      </c>
      <c r="E271" s="24">
        <v>1293338000</v>
      </c>
      <c r="F271" s="24">
        <v>594190000</v>
      </c>
      <c r="G271" s="24">
        <v>354571000</v>
      </c>
      <c r="H271" s="24">
        <v>82014000</v>
      </c>
      <c r="I271" s="24">
        <v>0</v>
      </c>
      <c r="J271" t="s">
        <v>21</v>
      </c>
      <c r="K271" t="s">
        <v>26</v>
      </c>
      <c r="L271" s="25">
        <f t="shared" si="19"/>
        <v>0.54057639998206186</v>
      </c>
      <c r="M271" s="24">
        <f t="shared" si="20"/>
        <v>699148000</v>
      </c>
      <c r="N271" s="25">
        <f t="shared" si="17"/>
        <v>0.2030118963488276</v>
      </c>
      <c r="O271" s="24">
        <f t="shared" si="18"/>
        <v>262563000</v>
      </c>
    </row>
    <row r="272" spans="1:15" x14ac:dyDescent="0.3">
      <c r="A272" t="s">
        <v>311</v>
      </c>
      <c r="B272">
        <v>2</v>
      </c>
      <c r="C272">
        <v>2013</v>
      </c>
      <c r="D272" s="1">
        <v>41639</v>
      </c>
      <c r="E272" s="24">
        <v>1377058000</v>
      </c>
      <c r="F272" s="24">
        <v>620940000</v>
      </c>
      <c r="G272" s="24">
        <v>401353000</v>
      </c>
      <c r="H272" s="24">
        <v>88003000</v>
      </c>
      <c r="I272" s="24">
        <v>0</v>
      </c>
      <c r="J272" t="s">
        <v>21</v>
      </c>
      <c r="K272" t="s">
        <v>26</v>
      </c>
      <c r="L272" s="25">
        <f t="shared" si="19"/>
        <v>0.54908217373560153</v>
      </c>
      <c r="M272" s="24">
        <f t="shared" si="20"/>
        <v>756118000</v>
      </c>
      <c r="N272" s="25">
        <f t="shared" si="17"/>
        <v>0.19371878308684165</v>
      </c>
      <c r="O272" s="24">
        <f t="shared" si="18"/>
        <v>266762000</v>
      </c>
    </row>
    <row r="273" spans="1:15" x14ac:dyDescent="0.3">
      <c r="A273" t="s">
        <v>311</v>
      </c>
      <c r="B273">
        <v>3</v>
      </c>
      <c r="C273">
        <v>2014</v>
      </c>
      <c r="D273" s="1">
        <v>42004</v>
      </c>
      <c r="E273" s="24">
        <v>1485807000</v>
      </c>
      <c r="F273" s="24">
        <v>669691000</v>
      </c>
      <c r="G273" s="24">
        <v>457598000</v>
      </c>
      <c r="H273" s="24">
        <v>98263000</v>
      </c>
      <c r="I273" s="24">
        <v>0</v>
      </c>
      <c r="J273" t="s">
        <v>21</v>
      </c>
      <c r="K273" t="s">
        <v>26</v>
      </c>
      <c r="L273" s="25">
        <f t="shared" si="19"/>
        <v>0.5492745693081269</v>
      </c>
      <c r="M273" s="24">
        <f t="shared" si="20"/>
        <v>816116000</v>
      </c>
      <c r="N273" s="25">
        <f t="shared" si="17"/>
        <v>0.17516070391376537</v>
      </c>
      <c r="O273" s="24">
        <f t="shared" si="18"/>
        <v>260255000</v>
      </c>
    </row>
    <row r="274" spans="1:15" x14ac:dyDescent="0.3">
      <c r="A274" t="s">
        <v>311</v>
      </c>
      <c r="B274">
        <v>4</v>
      </c>
      <c r="C274">
        <v>2015</v>
      </c>
      <c r="D274" s="1">
        <v>42369</v>
      </c>
      <c r="E274" s="24">
        <v>1601892000</v>
      </c>
      <c r="F274" s="24">
        <v>711622000</v>
      </c>
      <c r="G274" s="24">
        <v>482465000</v>
      </c>
      <c r="H274" s="24">
        <v>99681000</v>
      </c>
      <c r="I274" s="24">
        <v>0</v>
      </c>
      <c r="J274" t="s">
        <v>21</v>
      </c>
      <c r="K274" t="s">
        <v>26</v>
      </c>
      <c r="L274" s="25">
        <f t="shared" si="19"/>
        <v>0.55576156195299053</v>
      </c>
      <c r="M274" s="24">
        <f t="shared" si="20"/>
        <v>890270000</v>
      </c>
      <c r="N274" s="25">
        <f t="shared" si="17"/>
        <v>0.19235004607052161</v>
      </c>
      <c r="O274" s="24">
        <f t="shared" si="18"/>
        <v>308124000</v>
      </c>
    </row>
    <row r="275" spans="1:15" x14ac:dyDescent="0.3">
      <c r="A275" t="s">
        <v>313</v>
      </c>
      <c r="B275">
        <v>1</v>
      </c>
      <c r="C275">
        <v>2013</v>
      </c>
      <c r="D275" s="1">
        <v>41637</v>
      </c>
      <c r="E275" s="24">
        <v>1421178000</v>
      </c>
      <c r="F275" s="24">
        <v>509291000</v>
      </c>
      <c r="G275" s="24">
        <v>397285000</v>
      </c>
      <c r="H275" s="24">
        <v>276743000</v>
      </c>
      <c r="I275" s="24">
        <v>0</v>
      </c>
      <c r="J275" t="s">
        <v>21</v>
      </c>
      <c r="K275" t="s">
        <v>314</v>
      </c>
      <c r="L275" s="25">
        <f t="shared" si="19"/>
        <v>0.64164165220683123</v>
      </c>
      <c r="M275" s="24">
        <f t="shared" si="20"/>
        <v>911887000</v>
      </c>
      <c r="N275" s="25">
        <f t="shared" si="17"/>
        <v>0.16736749372703488</v>
      </c>
      <c r="O275" s="24">
        <f t="shared" si="18"/>
        <v>237859000</v>
      </c>
    </row>
    <row r="276" spans="1:15" x14ac:dyDescent="0.3">
      <c r="A276" t="s">
        <v>313</v>
      </c>
      <c r="B276">
        <v>2</v>
      </c>
      <c r="C276">
        <v>2014</v>
      </c>
      <c r="D276" s="1">
        <v>42001</v>
      </c>
      <c r="E276" s="24">
        <v>1861358000</v>
      </c>
      <c r="F276" s="24">
        <v>563648000</v>
      </c>
      <c r="G276" s="24">
        <v>471921000</v>
      </c>
      <c r="H276" s="24">
        <v>388055000</v>
      </c>
      <c r="I276" s="24">
        <v>0</v>
      </c>
      <c r="J276" t="s">
        <v>21</v>
      </c>
      <c r="K276" t="s">
        <v>314</v>
      </c>
      <c r="L276" s="25">
        <f t="shared" si="19"/>
        <v>0.69718452871505643</v>
      </c>
      <c r="M276" s="24">
        <f t="shared" si="20"/>
        <v>1297710000</v>
      </c>
      <c r="N276" s="25">
        <f t="shared" si="17"/>
        <v>0.23516916144019581</v>
      </c>
      <c r="O276" s="24">
        <f t="shared" si="18"/>
        <v>437734000</v>
      </c>
    </row>
    <row r="277" spans="1:15" x14ac:dyDescent="0.3">
      <c r="A277" t="s">
        <v>313</v>
      </c>
      <c r="B277">
        <v>3</v>
      </c>
      <c r="C277">
        <v>2016</v>
      </c>
      <c r="D277" s="1">
        <v>42372</v>
      </c>
      <c r="E277" s="24">
        <v>2219762000</v>
      </c>
      <c r="F277" s="24">
        <v>670472000</v>
      </c>
      <c r="G277" s="24">
        <v>522046000</v>
      </c>
      <c r="H277" s="24">
        <v>401527000</v>
      </c>
      <c r="I277" s="24">
        <v>0</v>
      </c>
      <c r="J277" t="s">
        <v>21</v>
      </c>
      <c r="K277" t="s">
        <v>314</v>
      </c>
      <c r="L277" s="25">
        <f t="shared" si="19"/>
        <v>0.69795320399213967</v>
      </c>
      <c r="M277" s="24">
        <f t="shared" si="20"/>
        <v>1549290000</v>
      </c>
      <c r="N277" s="25">
        <f t="shared" si="17"/>
        <v>0.28188472457858094</v>
      </c>
      <c r="O277" s="24">
        <f t="shared" si="18"/>
        <v>625717000</v>
      </c>
    </row>
    <row r="278" spans="1:15" x14ac:dyDescent="0.3">
      <c r="A278" t="s">
        <v>313</v>
      </c>
      <c r="B278">
        <v>4</v>
      </c>
      <c r="C278">
        <v>2017</v>
      </c>
      <c r="D278" s="1">
        <v>42736</v>
      </c>
      <c r="E278" s="24">
        <v>2398373000</v>
      </c>
      <c r="F278" s="24">
        <v>731925000</v>
      </c>
      <c r="G278" s="24">
        <v>584491000</v>
      </c>
      <c r="H278" s="24">
        <v>504415000</v>
      </c>
      <c r="I278" s="24">
        <v>0</v>
      </c>
      <c r="J278" t="s">
        <v>21</v>
      </c>
      <c r="K278" t="s">
        <v>314</v>
      </c>
      <c r="L278" s="25">
        <f t="shared" si="19"/>
        <v>0.69482436635168932</v>
      </c>
      <c r="M278" s="24">
        <f t="shared" si="20"/>
        <v>1666448000</v>
      </c>
      <c r="N278" s="25">
        <f t="shared" si="17"/>
        <v>0.24080574622879761</v>
      </c>
      <c r="O278" s="24">
        <f t="shared" si="18"/>
        <v>577542000</v>
      </c>
    </row>
    <row r="279" spans="1:15" x14ac:dyDescent="0.3">
      <c r="A279" t="s">
        <v>321</v>
      </c>
      <c r="B279">
        <v>1</v>
      </c>
      <c r="C279">
        <v>2013</v>
      </c>
      <c r="D279" s="1">
        <v>41639</v>
      </c>
      <c r="E279" s="24">
        <v>2265100000</v>
      </c>
      <c r="F279" s="24">
        <v>670900000</v>
      </c>
      <c r="G279" s="24">
        <v>574000000</v>
      </c>
      <c r="H279" s="24">
        <v>167700000</v>
      </c>
      <c r="I279" s="24">
        <v>0</v>
      </c>
      <c r="J279" t="s">
        <v>21</v>
      </c>
      <c r="K279" t="s">
        <v>26</v>
      </c>
      <c r="L279" s="25">
        <f t="shared" si="19"/>
        <v>0.7038099863140701</v>
      </c>
      <c r="M279" s="24">
        <f t="shared" si="20"/>
        <v>1594200000</v>
      </c>
      <c r="N279" s="25">
        <f t="shared" si="17"/>
        <v>0.37636307447794798</v>
      </c>
      <c r="O279" s="24">
        <f t="shared" si="18"/>
        <v>852500000</v>
      </c>
    </row>
    <row r="280" spans="1:15" x14ac:dyDescent="0.3">
      <c r="A280" t="s">
        <v>321</v>
      </c>
      <c r="B280">
        <v>2</v>
      </c>
      <c r="C280">
        <v>2014</v>
      </c>
      <c r="D280" s="1">
        <v>42004</v>
      </c>
      <c r="E280" s="24">
        <v>2131700000</v>
      </c>
      <c r="F280" s="24">
        <v>717900000</v>
      </c>
      <c r="G280" s="24">
        <v>691000000</v>
      </c>
      <c r="H280" s="24">
        <v>178000000</v>
      </c>
      <c r="I280" s="24">
        <v>0</v>
      </c>
      <c r="J280" t="s">
        <v>21</v>
      </c>
      <c r="K280" t="s">
        <v>26</v>
      </c>
      <c r="L280" s="25">
        <f t="shared" si="19"/>
        <v>0.66322653281418587</v>
      </c>
      <c r="M280" s="24">
        <f t="shared" si="20"/>
        <v>1413800000</v>
      </c>
      <c r="N280" s="25">
        <f t="shared" si="17"/>
        <v>0.25557067129521038</v>
      </c>
      <c r="O280" s="24">
        <f t="shared" si="18"/>
        <v>544800000</v>
      </c>
    </row>
    <row r="281" spans="1:15" x14ac:dyDescent="0.3">
      <c r="A281" t="s">
        <v>321</v>
      </c>
      <c r="B281">
        <v>3</v>
      </c>
      <c r="C281">
        <v>2015</v>
      </c>
      <c r="D281" s="1">
        <v>42369</v>
      </c>
      <c r="E281" s="24">
        <v>2384400000</v>
      </c>
      <c r="F281" s="24">
        <v>806500000</v>
      </c>
      <c r="G281" s="24">
        <v>640500000</v>
      </c>
      <c r="H281" s="24">
        <v>197400000</v>
      </c>
      <c r="I281" s="24">
        <v>0</v>
      </c>
      <c r="J281" t="s">
        <v>21</v>
      </c>
      <c r="K281" t="s">
        <v>26</v>
      </c>
      <c r="L281" s="25">
        <f t="shared" si="19"/>
        <v>0.66175977185036072</v>
      </c>
      <c r="M281" s="24">
        <f t="shared" si="20"/>
        <v>1577900000</v>
      </c>
      <c r="N281" s="25">
        <f t="shared" si="17"/>
        <v>0.31035061231337024</v>
      </c>
      <c r="O281" s="24">
        <f t="shared" si="18"/>
        <v>740000000</v>
      </c>
    </row>
    <row r="282" spans="1:15" x14ac:dyDescent="0.3">
      <c r="A282" t="s">
        <v>321</v>
      </c>
      <c r="B282">
        <v>4</v>
      </c>
      <c r="C282">
        <v>2016</v>
      </c>
      <c r="D282" s="1">
        <v>42735</v>
      </c>
      <c r="E282" s="24">
        <v>2704400000</v>
      </c>
      <c r="F282" s="24">
        <v>814300000</v>
      </c>
      <c r="G282" s="24">
        <v>705300000</v>
      </c>
      <c r="H282" s="24">
        <v>239600000</v>
      </c>
      <c r="I282" s="24">
        <v>0</v>
      </c>
      <c r="J282" t="s">
        <v>21</v>
      </c>
      <c r="K282" t="s">
        <v>26</v>
      </c>
      <c r="L282" s="25">
        <f t="shared" si="19"/>
        <v>0.69889809199822506</v>
      </c>
      <c r="M282" s="24">
        <f t="shared" si="20"/>
        <v>1890100000</v>
      </c>
      <c r="N282" s="25">
        <f t="shared" si="17"/>
        <v>0.34950451116698711</v>
      </c>
      <c r="O282" s="24">
        <f t="shared" si="18"/>
        <v>945200000</v>
      </c>
    </row>
    <row r="283" spans="1:15" x14ac:dyDescent="0.3">
      <c r="A283" t="s">
        <v>348</v>
      </c>
      <c r="B283">
        <v>1</v>
      </c>
      <c r="C283">
        <v>2012</v>
      </c>
      <c r="D283" s="1">
        <v>41274</v>
      </c>
      <c r="E283" s="24">
        <v>5671400000</v>
      </c>
      <c r="F283" s="24">
        <v>3421700000</v>
      </c>
      <c r="G283" s="24">
        <v>1114600000</v>
      </c>
      <c r="H283" s="24">
        <v>0</v>
      </c>
      <c r="I283" s="24">
        <v>86300000</v>
      </c>
      <c r="J283" t="s">
        <v>21</v>
      </c>
      <c r="K283" t="s">
        <v>195</v>
      </c>
      <c r="L283" s="25">
        <f t="shared" si="19"/>
        <v>0.39667454244101985</v>
      </c>
      <c r="M283" s="24">
        <f t="shared" si="20"/>
        <v>2249700000</v>
      </c>
      <c r="N283" s="25">
        <f t="shared" si="17"/>
        <v>0.18492788376767641</v>
      </c>
      <c r="O283" s="24">
        <f t="shared" si="18"/>
        <v>1048800000</v>
      </c>
    </row>
    <row r="284" spans="1:15" x14ac:dyDescent="0.3">
      <c r="A284" t="s">
        <v>348</v>
      </c>
      <c r="B284">
        <v>2</v>
      </c>
      <c r="C284">
        <v>2013</v>
      </c>
      <c r="D284" s="1">
        <v>41639</v>
      </c>
      <c r="E284" s="24">
        <v>5808300000</v>
      </c>
      <c r="F284" s="24">
        <v>3585100000</v>
      </c>
      <c r="G284" s="24">
        <v>1128800000</v>
      </c>
      <c r="H284" s="24">
        <v>0</v>
      </c>
      <c r="I284" s="24">
        <v>81700000</v>
      </c>
      <c r="J284" t="s">
        <v>21</v>
      </c>
      <c r="K284" t="s">
        <v>195</v>
      </c>
      <c r="L284" s="25">
        <f t="shared" si="19"/>
        <v>0.3827625983506362</v>
      </c>
      <c r="M284" s="24">
        <f t="shared" si="20"/>
        <v>2223200000</v>
      </c>
      <c r="N284" s="25">
        <f t="shared" si="17"/>
        <v>0.17435394177298005</v>
      </c>
      <c r="O284" s="24">
        <f t="shared" si="18"/>
        <v>1012700000</v>
      </c>
    </row>
    <row r="285" spans="1:15" x14ac:dyDescent="0.3">
      <c r="A285" t="s">
        <v>348</v>
      </c>
      <c r="B285">
        <v>3</v>
      </c>
      <c r="C285">
        <v>2014</v>
      </c>
      <c r="D285" s="1">
        <v>42004</v>
      </c>
      <c r="E285" s="24">
        <v>6011600000</v>
      </c>
      <c r="F285" s="24">
        <v>3808500000</v>
      </c>
      <c r="G285" s="24">
        <v>1198200000</v>
      </c>
      <c r="H285" s="24">
        <v>0</v>
      </c>
      <c r="I285" s="24">
        <v>76700000</v>
      </c>
      <c r="J285" t="s">
        <v>21</v>
      </c>
      <c r="K285" t="s">
        <v>195</v>
      </c>
      <c r="L285" s="25">
        <f t="shared" si="19"/>
        <v>0.36647481535697646</v>
      </c>
      <c r="M285" s="24">
        <f t="shared" si="20"/>
        <v>2203100000</v>
      </c>
      <c r="N285" s="25">
        <f t="shared" si="17"/>
        <v>0.15440149045179319</v>
      </c>
      <c r="O285" s="24">
        <f t="shared" si="18"/>
        <v>928200000</v>
      </c>
    </row>
    <row r="286" spans="1:15" x14ac:dyDescent="0.3">
      <c r="A286" t="s">
        <v>348</v>
      </c>
      <c r="B286">
        <v>4</v>
      </c>
      <c r="C286">
        <v>2015</v>
      </c>
      <c r="D286" s="1">
        <v>42369</v>
      </c>
      <c r="E286" s="24">
        <v>8680100000</v>
      </c>
      <c r="F286" s="24">
        <v>5776800000</v>
      </c>
      <c r="G286" s="24">
        <v>1622000000</v>
      </c>
      <c r="H286" s="24">
        <v>0</v>
      </c>
      <c r="I286" s="24">
        <v>164500000</v>
      </c>
      <c r="J286" t="s">
        <v>21</v>
      </c>
      <c r="K286" t="s">
        <v>195</v>
      </c>
      <c r="L286" s="25">
        <f t="shared" si="19"/>
        <v>0.33447771339039878</v>
      </c>
      <c r="M286" s="24">
        <f t="shared" si="20"/>
        <v>2903300000</v>
      </c>
      <c r="N286" s="25">
        <f t="shared" si="17"/>
        <v>0.12866211218764761</v>
      </c>
      <c r="O286" s="24">
        <f t="shared" si="18"/>
        <v>1116800000</v>
      </c>
    </row>
    <row r="287" spans="1:15" x14ac:dyDescent="0.3">
      <c r="A287" t="s">
        <v>353</v>
      </c>
      <c r="B287">
        <v>1</v>
      </c>
      <c r="C287">
        <v>2012</v>
      </c>
      <c r="D287" s="1">
        <v>41274</v>
      </c>
      <c r="E287" s="24">
        <v>22603400000</v>
      </c>
      <c r="F287" s="24">
        <v>4796500000</v>
      </c>
      <c r="G287" s="24">
        <v>6839500000</v>
      </c>
      <c r="H287" s="24">
        <v>5278100000</v>
      </c>
      <c r="I287" s="24">
        <v>0</v>
      </c>
      <c r="J287" t="s">
        <v>21</v>
      </c>
      <c r="K287" t="s">
        <v>22</v>
      </c>
      <c r="L287" s="25">
        <f t="shared" si="19"/>
        <v>0.78779741100896328</v>
      </c>
      <c r="M287" s="24">
        <f t="shared" si="20"/>
        <v>17806900000</v>
      </c>
      <c r="N287" s="25">
        <f t="shared" si="17"/>
        <v>0.25170107152021376</v>
      </c>
      <c r="O287" s="24">
        <f t="shared" si="18"/>
        <v>5689300000</v>
      </c>
    </row>
    <row r="288" spans="1:15" x14ac:dyDescent="0.3">
      <c r="A288" t="s">
        <v>353</v>
      </c>
      <c r="B288">
        <v>2</v>
      </c>
      <c r="C288">
        <v>2013</v>
      </c>
      <c r="D288" s="1">
        <v>41639</v>
      </c>
      <c r="E288" s="24">
        <v>23113100000</v>
      </c>
      <c r="F288" s="24">
        <v>4908100000</v>
      </c>
      <c r="G288" s="24">
        <v>6606700000</v>
      </c>
      <c r="H288" s="24">
        <v>5531300000</v>
      </c>
      <c r="I288" s="24">
        <v>0</v>
      </c>
      <c r="J288" t="s">
        <v>21</v>
      </c>
      <c r="K288" t="s">
        <v>22</v>
      </c>
      <c r="L288" s="25">
        <f t="shared" si="19"/>
        <v>0.78764856293617036</v>
      </c>
      <c r="M288" s="24">
        <f t="shared" si="20"/>
        <v>18205000000</v>
      </c>
      <c r="N288" s="25">
        <f t="shared" si="17"/>
        <v>0.26249183363547079</v>
      </c>
      <c r="O288" s="24">
        <f t="shared" si="18"/>
        <v>6067000000</v>
      </c>
    </row>
    <row r="289" spans="1:15" x14ac:dyDescent="0.3">
      <c r="A289" t="s">
        <v>353</v>
      </c>
      <c r="B289">
        <v>3</v>
      </c>
      <c r="C289">
        <v>2014</v>
      </c>
      <c r="D289" s="1">
        <v>42004</v>
      </c>
      <c r="E289" s="24">
        <v>19615600000</v>
      </c>
      <c r="F289" s="24">
        <v>4932500000</v>
      </c>
      <c r="G289" s="24">
        <v>6280300000</v>
      </c>
      <c r="H289" s="24">
        <v>4733600000</v>
      </c>
      <c r="I289" s="24">
        <v>0</v>
      </c>
      <c r="J289" t="s">
        <v>21</v>
      </c>
      <c r="K289" t="s">
        <v>22</v>
      </c>
      <c r="L289" s="25">
        <f t="shared" si="19"/>
        <v>0.74854197679398027</v>
      </c>
      <c r="M289" s="24">
        <f t="shared" si="20"/>
        <v>14683100000</v>
      </c>
      <c r="N289" s="25">
        <f t="shared" si="17"/>
        <v>0.18705520096249922</v>
      </c>
      <c r="O289" s="24">
        <f t="shared" si="18"/>
        <v>3669200000</v>
      </c>
    </row>
    <row r="290" spans="1:15" x14ac:dyDescent="0.3">
      <c r="A290" t="s">
        <v>353</v>
      </c>
      <c r="B290">
        <v>4</v>
      </c>
      <c r="C290">
        <v>2015</v>
      </c>
      <c r="D290" s="1">
        <v>42369</v>
      </c>
      <c r="E290" s="24">
        <v>19958700000</v>
      </c>
      <c r="F290" s="24">
        <v>5037200000</v>
      </c>
      <c r="G290" s="24">
        <v>6432400000</v>
      </c>
      <c r="H290" s="24">
        <v>4796400000</v>
      </c>
      <c r="I290" s="24">
        <v>0</v>
      </c>
      <c r="J290" t="s">
        <v>21</v>
      </c>
      <c r="K290" t="s">
        <v>22</v>
      </c>
      <c r="L290" s="25">
        <f t="shared" si="19"/>
        <v>0.74761883288991771</v>
      </c>
      <c r="M290" s="24">
        <f t="shared" si="20"/>
        <v>14921500000</v>
      </c>
      <c r="N290" s="25">
        <f t="shared" si="17"/>
        <v>0.18501706022937367</v>
      </c>
      <c r="O290" s="24">
        <f t="shared" si="18"/>
        <v>3692700000</v>
      </c>
    </row>
    <row r="291" spans="1:15" x14ac:dyDescent="0.3">
      <c r="A291" t="s">
        <v>373</v>
      </c>
      <c r="B291">
        <v>1</v>
      </c>
      <c r="C291">
        <v>2013</v>
      </c>
      <c r="D291" s="1">
        <v>41364</v>
      </c>
      <c r="E291" s="24">
        <v>122196000000</v>
      </c>
      <c r="F291" s="24">
        <v>115315000000</v>
      </c>
      <c r="G291" s="24">
        <v>4110000000</v>
      </c>
      <c r="H291" s="24">
        <v>433000000</v>
      </c>
      <c r="I291" s="24">
        <v>0</v>
      </c>
      <c r="J291" t="s">
        <v>21</v>
      </c>
      <c r="K291" t="s">
        <v>24</v>
      </c>
      <c r="L291" s="25">
        <f t="shared" si="19"/>
        <v>5.6311172215129823E-2</v>
      </c>
      <c r="M291" s="24">
        <f t="shared" si="20"/>
        <v>6881000000</v>
      </c>
      <c r="N291" s="25">
        <f t="shared" si="17"/>
        <v>1.9133195849291303E-2</v>
      </c>
      <c r="O291" s="24">
        <f t="shared" si="18"/>
        <v>2338000000</v>
      </c>
    </row>
    <row r="292" spans="1:15" x14ac:dyDescent="0.3">
      <c r="A292" t="s">
        <v>373</v>
      </c>
      <c r="B292">
        <v>2</v>
      </c>
      <c r="C292">
        <v>2014</v>
      </c>
      <c r="D292" s="1">
        <v>41729</v>
      </c>
      <c r="E292" s="24">
        <v>137392000000</v>
      </c>
      <c r="F292" s="24">
        <v>129040000000</v>
      </c>
      <c r="G292" s="24">
        <v>5388000000</v>
      </c>
      <c r="H292" s="24">
        <v>457000000</v>
      </c>
      <c r="I292" s="24">
        <v>0</v>
      </c>
      <c r="J292" t="s">
        <v>21</v>
      </c>
      <c r="K292" t="s">
        <v>24</v>
      </c>
      <c r="L292" s="25">
        <f t="shared" si="19"/>
        <v>6.0789565622452524E-2</v>
      </c>
      <c r="M292" s="24">
        <f t="shared" si="20"/>
        <v>8352000000</v>
      </c>
      <c r="N292" s="25">
        <f t="shared" si="17"/>
        <v>1.8247059508559451E-2</v>
      </c>
      <c r="O292" s="24">
        <f t="shared" si="18"/>
        <v>2507000000</v>
      </c>
    </row>
    <row r="293" spans="1:15" x14ac:dyDescent="0.3">
      <c r="A293" t="s">
        <v>373</v>
      </c>
      <c r="B293">
        <v>3</v>
      </c>
      <c r="C293">
        <v>2015</v>
      </c>
      <c r="D293" s="1">
        <v>42094</v>
      </c>
      <c r="E293" s="24">
        <v>179045000000</v>
      </c>
      <c r="F293" s="24">
        <v>167634000000</v>
      </c>
      <c r="G293" s="24">
        <v>7901000000</v>
      </c>
      <c r="H293" s="24">
        <v>392000000</v>
      </c>
      <c r="I293" s="24">
        <v>0</v>
      </c>
      <c r="J293" t="s">
        <v>21</v>
      </c>
      <c r="K293" t="s">
        <v>24</v>
      </c>
      <c r="L293" s="25">
        <f t="shared" si="19"/>
        <v>6.3732581194671734E-2</v>
      </c>
      <c r="M293" s="24">
        <f t="shared" si="20"/>
        <v>11411000000</v>
      </c>
      <c r="N293" s="25">
        <f t="shared" si="17"/>
        <v>1.7414616437208524E-2</v>
      </c>
      <c r="O293" s="24">
        <f t="shared" si="18"/>
        <v>3118000000</v>
      </c>
    </row>
    <row r="294" spans="1:15" x14ac:dyDescent="0.3">
      <c r="A294" t="s">
        <v>373</v>
      </c>
      <c r="B294">
        <v>4</v>
      </c>
      <c r="C294">
        <v>2016</v>
      </c>
      <c r="D294" s="1">
        <v>42460</v>
      </c>
      <c r="E294" s="24">
        <v>190884000000</v>
      </c>
      <c r="F294" s="24">
        <v>179468000000</v>
      </c>
      <c r="G294" s="24">
        <v>7276000000</v>
      </c>
      <c r="H294" s="24">
        <v>392000000</v>
      </c>
      <c r="I294" s="24">
        <v>0</v>
      </c>
      <c r="J294" t="s">
        <v>21</v>
      </c>
      <c r="K294" t="s">
        <v>24</v>
      </c>
      <c r="L294" s="25">
        <f t="shared" si="19"/>
        <v>5.980595544938283E-2</v>
      </c>
      <c r="M294" s="24">
        <f t="shared" si="20"/>
        <v>11416000000</v>
      </c>
      <c r="N294" s="25">
        <f t="shared" si="17"/>
        <v>1.9634961547327173E-2</v>
      </c>
      <c r="O294" s="24">
        <f t="shared" si="18"/>
        <v>3748000000</v>
      </c>
    </row>
    <row r="295" spans="1:15" x14ac:dyDescent="0.3">
      <c r="A295" t="s">
        <v>393</v>
      </c>
      <c r="B295">
        <v>1</v>
      </c>
      <c r="C295">
        <v>2012</v>
      </c>
      <c r="D295" s="1">
        <v>41274</v>
      </c>
      <c r="E295" s="24">
        <v>47267000000</v>
      </c>
      <c r="F295" s="24">
        <v>16446000000</v>
      </c>
      <c r="G295" s="24">
        <v>12776000000</v>
      </c>
      <c r="H295" s="24">
        <v>8168000000</v>
      </c>
      <c r="I295" s="24">
        <v>0</v>
      </c>
      <c r="J295" t="s">
        <v>21</v>
      </c>
      <c r="K295" t="s">
        <v>22</v>
      </c>
      <c r="L295" s="25">
        <f t="shared" si="19"/>
        <v>0.65206169208961851</v>
      </c>
      <c r="M295" s="24">
        <f t="shared" si="20"/>
        <v>30821000000</v>
      </c>
      <c r="N295" s="25">
        <f t="shared" si="17"/>
        <v>0.20896185499397044</v>
      </c>
      <c r="O295" s="24">
        <f t="shared" si="18"/>
        <v>9877000000</v>
      </c>
    </row>
    <row r="296" spans="1:15" x14ac:dyDescent="0.3">
      <c r="A296" t="s">
        <v>393</v>
      </c>
      <c r="B296">
        <v>2</v>
      </c>
      <c r="C296">
        <v>2013</v>
      </c>
      <c r="D296" s="1">
        <v>41639</v>
      </c>
      <c r="E296" s="24">
        <v>44033000000</v>
      </c>
      <c r="F296" s="24">
        <v>16954000000</v>
      </c>
      <c r="G296" s="24">
        <v>11911000000</v>
      </c>
      <c r="H296" s="24">
        <v>7503000000</v>
      </c>
      <c r="I296" s="24">
        <v>0</v>
      </c>
      <c r="J296" t="s">
        <v>21</v>
      </c>
      <c r="K296" t="s">
        <v>22</v>
      </c>
      <c r="L296" s="25">
        <f t="shared" si="19"/>
        <v>0.6149705902391388</v>
      </c>
      <c r="M296" s="24">
        <f t="shared" si="20"/>
        <v>27079000000</v>
      </c>
      <c r="N296" s="25">
        <f t="shared" si="17"/>
        <v>0.17407398996207391</v>
      </c>
      <c r="O296" s="24">
        <f t="shared" si="18"/>
        <v>7665000000</v>
      </c>
    </row>
    <row r="297" spans="1:15" x14ac:dyDescent="0.3">
      <c r="A297" t="s">
        <v>393</v>
      </c>
      <c r="B297">
        <v>3</v>
      </c>
      <c r="C297">
        <v>2014</v>
      </c>
      <c r="D297" s="1">
        <v>42004</v>
      </c>
      <c r="E297" s="24">
        <v>42237000000</v>
      </c>
      <c r="F297" s="24">
        <v>16768000000</v>
      </c>
      <c r="G297" s="24">
        <v>11606000000</v>
      </c>
      <c r="H297" s="24">
        <v>7180000000</v>
      </c>
      <c r="I297" s="24">
        <v>0</v>
      </c>
      <c r="J297" t="s">
        <v>21</v>
      </c>
      <c r="K297" t="s">
        <v>22</v>
      </c>
      <c r="L297" s="25">
        <f t="shared" si="19"/>
        <v>0.60300210715723179</v>
      </c>
      <c r="M297" s="24">
        <f t="shared" si="20"/>
        <v>25469000000</v>
      </c>
      <c r="N297" s="25">
        <f t="shared" si="17"/>
        <v>0.15822619977744631</v>
      </c>
      <c r="O297" s="24">
        <f t="shared" si="18"/>
        <v>6683000000</v>
      </c>
    </row>
    <row r="298" spans="1:15" x14ac:dyDescent="0.3">
      <c r="A298" t="s">
        <v>393</v>
      </c>
      <c r="B298">
        <v>4</v>
      </c>
      <c r="C298">
        <v>2015</v>
      </c>
      <c r="D298" s="1">
        <v>42369</v>
      </c>
      <c r="E298" s="24">
        <v>39498000000</v>
      </c>
      <c r="F298" s="24">
        <v>14934000000</v>
      </c>
      <c r="G298" s="24">
        <v>10313000000</v>
      </c>
      <c r="H298" s="24">
        <v>6704000000</v>
      </c>
      <c r="I298" s="24">
        <v>0</v>
      </c>
      <c r="J298" t="s">
        <v>21</v>
      </c>
      <c r="K298" t="s">
        <v>22</v>
      </c>
      <c r="L298" s="25">
        <f t="shared" si="19"/>
        <v>0.62190490657754816</v>
      </c>
      <c r="M298" s="24">
        <f t="shared" si="20"/>
        <v>24564000000</v>
      </c>
      <c r="N298" s="25">
        <f t="shared" si="17"/>
        <v>0.19107296571978327</v>
      </c>
      <c r="O298" s="24">
        <f t="shared" si="18"/>
        <v>7547000000</v>
      </c>
    </row>
    <row r="299" spans="1:15" x14ac:dyDescent="0.3">
      <c r="A299" t="s">
        <v>398</v>
      </c>
      <c r="B299">
        <v>1</v>
      </c>
      <c r="C299">
        <v>2013</v>
      </c>
      <c r="D299" s="1">
        <v>41639</v>
      </c>
      <c r="E299" s="24">
        <v>2378972000</v>
      </c>
      <c r="F299" s="24">
        <v>1097041000</v>
      </c>
      <c r="G299" s="24">
        <v>692693000</v>
      </c>
      <c r="H299" s="24">
        <v>116346000</v>
      </c>
      <c r="I299" s="24">
        <v>24539000</v>
      </c>
      <c r="J299" t="s">
        <v>21</v>
      </c>
      <c r="K299" t="s">
        <v>314</v>
      </c>
      <c r="L299" s="25">
        <f t="shared" si="19"/>
        <v>0.53885922154611321</v>
      </c>
      <c r="M299" s="24">
        <f t="shared" si="20"/>
        <v>1281931000</v>
      </c>
      <c r="N299" s="25">
        <f t="shared" si="17"/>
        <v>0.18846501766309146</v>
      </c>
      <c r="O299" s="24">
        <f t="shared" si="18"/>
        <v>448353000</v>
      </c>
    </row>
    <row r="300" spans="1:15" x14ac:dyDescent="0.3">
      <c r="A300" t="s">
        <v>398</v>
      </c>
      <c r="B300">
        <v>2</v>
      </c>
      <c r="C300">
        <v>2014</v>
      </c>
      <c r="D300" s="1">
        <v>42004</v>
      </c>
      <c r="E300" s="24">
        <v>2485983000</v>
      </c>
      <c r="F300" s="24">
        <v>1127233000</v>
      </c>
      <c r="G300" s="24">
        <v>728582000</v>
      </c>
      <c r="H300" s="24">
        <v>123297000</v>
      </c>
      <c r="I300" s="24">
        <v>29185000</v>
      </c>
      <c r="J300" t="s">
        <v>21</v>
      </c>
      <c r="K300" t="s">
        <v>314</v>
      </c>
      <c r="L300" s="25">
        <f t="shared" si="19"/>
        <v>0.54656447771364491</v>
      </c>
      <c r="M300" s="24">
        <f t="shared" si="20"/>
        <v>1358750000</v>
      </c>
      <c r="N300" s="25">
        <f t="shared" si="17"/>
        <v>0.19215175646816571</v>
      </c>
      <c r="O300" s="24">
        <f t="shared" si="18"/>
        <v>477686000</v>
      </c>
    </row>
    <row r="301" spans="1:15" x14ac:dyDescent="0.3">
      <c r="A301" t="s">
        <v>398</v>
      </c>
      <c r="B301">
        <v>3</v>
      </c>
      <c r="C301">
        <v>2015</v>
      </c>
      <c r="D301" s="1">
        <v>42369</v>
      </c>
      <c r="E301" s="24">
        <v>2395447000</v>
      </c>
      <c r="F301" s="24">
        <v>1043454000</v>
      </c>
      <c r="G301" s="24">
        <v>700810000</v>
      </c>
      <c r="H301" s="24">
        <v>119076000</v>
      </c>
      <c r="I301" s="24">
        <v>30951000</v>
      </c>
      <c r="J301" t="s">
        <v>21</v>
      </c>
      <c r="K301" t="s">
        <v>314</v>
      </c>
      <c r="L301" s="25">
        <f t="shared" si="19"/>
        <v>0.56440113264872904</v>
      </c>
      <c r="M301" s="24">
        <f t="shared" si="20"/>
        <v>1351993000</v>
      </c>
      <c r="N301" s="25">
        <f t="shared" si="17"/>
        <v>0.20921189239419616</v>
      </c>
      <c r="O301" s="24">
        <f t="shared" si="18"/>
        <v>501156000</v>
      </c>
    </row>
    <row r="302" spans="1:15" x14ac:dyDescent="0.3">
      <c r="A302" t="s">
        <v>398</v>
      </c>
      <c r="B302">
        <v>4</v>
      </c>
      <c r="C302">
        <v>2016</v>
      </c>
      <c r="D302" s="1">
        <v>42735</v>
      </c>
      <c r="E302" s="24">
        <v>2508257000</v>
      </c>
      <c r="F302" s="24">
        <v>1072670000</v>
      </c>
      <c r="G302" s="24">
        <v>732622000</v>
      </c>
      <c r="H302" s="24">
        <v>119968000</v>
      </c>
      <c r="I302" s="24">
        <v>36052000</v>
      </c>
      <c r="J302" t="s">
        <v>21</v>
      </c>
      <c r="K302" t="s">
        <v>314</v>
      </c>
      <c r="L302" s="25">
        <f t="shared" si="19"/>
        <v>0.57234446071514999</v>
      </c>
      <c r="M302" s="24">
        <f t="shared" si="20"/>
        <v>1435587000</v>
      </c>
      <c r="N302" s="25">
        <f t="shared" si="17"/>
        <v>0.21805779870244557</v>
      </c>
      <c r="O302" s="24">
        <f t="shared" si="18"/>
        <v>546945000</v>
      </c>
    </row>
    <row r="303" spans="1:15" x14ac:dyDescent="0.3">
      <c r="A303" t="s">
        <v>401</v>
      </c>
      <c r="B303">
        <v>1</v>
      </c>
      <c r="C303">
        <v>2014</v>
      </c>
      <c r="D303" s="1">
        <v>42004</v>
      </c>
      <c r="E303" s="24">
        <v>7719600000</v>
      </c>
      <c r="F303" s="24">
        <v>4191600000</v>
      </c>
      <c r="G303" s="24">
        <v>1545700000</v>
      </c>
      <c r="H303" s="24">
        <v>581800000</v>
      </c>
      <c r="I303" s="24">
        <v>0</v>
      </c>
      <c r="J303" t="s">
        <v>21</v>
      </c>
      <c r="K303" t="s">
        <v>22</v>
      </c>
      <c r="L303" s="25">
        <f t="shared" si="19"/>
        <v>0.45701849836779107</v>
      </c>
      <c r="M303" s="24">
        <f t="shared" si="20"/>
        <v>3528000000</v>
      </c>
      <c r="N303" s="25">
        <f t="shared" si="17"/>
        <v>0.18142131716669258</v>
      </c>
      <c r="O303" s="24">
        <f t="shared" si="18"/>
        <v>1400500000</v>
      </c>
    </row>
    <row r="304" spans="1:15" x14ac:dyDescent="0.3">
      <c r="A304" t="s">
        <v>401</v>
      </c>
      <c r="B304">
        <v>2</v>
      </c>
      <c r="C304">
        <v>2015</v>
      </c>
      <c r="D304" s="1">
        <v>42369</v>
      </c>
      <c r="E304" s="24">
        <v>9429300000</v>
      </c>
      <c r="F304" s="24">
        <v>5213200000</v>
      </c>
      <c r="G304" s="24">
        <v>2180700000</v>
      </c>
      <c r="H304" s="24">
        <v>671900000</v>
      </c>
      <c r="I304" s="24">
        <v>0</v>
      </c>
      <c r="J304" t="s">
        <v>21</v>
      </c>
      <c r="K304" t="s">
        <v>22</v>
      </c>
      <c r="L304" s="25">
        <f t="shared" si="19"/>
        <v>0.44712757044531404</v>
      </c>
      <c r="M304" s="24">
        <f t="shared" si="20"/>
        <v>4216100000</v>
      </c>
      <c r="N304" s="25">
        <f t="shared" si="17"/>
        <v>0.14460246253698578</v>
      </c>
      <c r="O304" s="24">
        <f t="shared" si="18"/>
        <v>1363500000</v>
      </c>
    </row>
    <row r="305" spans="1:15" x14ac:dyDescent="0.3">
      <c r="A305" t="s">
        <v>431</v>
      </c>
      <c r="B305">
        <v>1</v>
      </c>
      <c r="C305">
        <v>2013</v>
      </c>
      <c r="D305" s="1">
        <v>41391</v>
      </c>
      <c r="E305" s="24">
        <v>3637212000</v>
      </c>
      <c r="F305" s="24">
        <v>2446443000</v>
      </c>
      <c r="G305" s="24">
        <v>0</v>
      </c>
      <c r="H305" s="24">
        <v>0</v>
      </c>
      <c r="I305" s="24">
        <v>0</v>
      </c>
      <c r="J305" t="s">
        <v>21</v>
      </c>
      <c r="K305" t="s">
        <v>162</v>
      </c>
      <c r="L305" s="25">
        <f t="shared" si="19"/>
        <v>0.32738509605708987</v>
      </c>
      <c r="M305" s="24">
        <f t="shared" si="20"/>
        <v>1190769000</v>
      </c>
      <c r="N305" s="25">
        <f t="shared" si="17"/>
        <v>0.32738509605708987</v>
      </c>
      <c r="O305" s="24">
        <f t="shared" si="18"/>
        <v>1190769000</v>
      </c>
    </row>
    <row r="306" spans="1:15" x14ac:dyDescent="0.3">
      <c r="A306" t="s">
        <v>431</v>
      </c>
      <c r="B306">
        <v>2</v>
      </c>
      <c r="C306">
        <v>2014</v>
      </c>
      <c r="D306" s="1">
        <v>41755</v>
      </c>
      <c r="E306" s="24">
        <v>3585141000</v>
      </c>
      <c r="F306" s="24">
        <v>2566444000</v>
      </c>
      <c r="G306" s="24">
        <v>0</v>
      </c>
      <c r="H306" s="24">
        <v>0</v>
      </c>
      <c r="I306" s="24">
        <v>0</v>
      </c>
      <c r="J306" t="s">
        <v>21</v>
      </c>
      <c r="K306" t="s">
        <v>162</v>
      </c>
      <c r="L306" s="25">
        <f t="shared" si="19"/>
        <v>0.2841441940498296</v>
      </c>
      <c r="M306" s="24">
        <f t="shared" si="20"/>
        <v>1018697000</v>
      </c>
      <c r="N306" s="25">
        <f t="shared" si="17"/>
        <v>0.28414419404982955</v>
      </c>
      <c r="O306" s="24">
        <f t="shared" si="18"/>
        <v>1018697000</v>
      </c>
    </row>
    <row r="307" spans="1:15" x14ac:dyDescent="0.3">
      <c r="A307" t="s">
        <v>431</v>
      </c>
      <c r="B307">
        <v>3</v>
      </c>
      <c r="C307">
        <v>2015</v>
      </c>
      <c r="D307" s="1">
        <v>42119</v>
      </c>
      <c r="E307" s="24">
        <v>3910865000</v>
      </c>
      <c r="F307" s="24">
        <v>2850316000</v>
      </c>
      <c r="G307" s="24">
        <v>0</v>
      </c>
      <c r="H307" s="24">
        <v>0</v>
      </c>
      <c r="I307" s="24">
        <v>0</v>
      </c>
      <c r="J307" t="s">
        <v>21</v>
      </c>
      <c r="K307" t="s">
        <v>162</v>
      </c>
      <c r="L307" s="25">
        <f t="shared" si="19"/>
        <v>0.27118016091069364</v>
      </c>
      <c r="M307" s="24">
        <f t="shared" si="20"/>
        <v>1060549000</v>
      </c>
      <c r="N307" s="25">
        <f t="shared" si="17"/>
        <v>0.27118016091069369</v>
      </c>
      <c r="O307" s="24">
        <f t="shared" si="18"/>
        <v>1060549000</v>
      </c>
    </row>
    <row r="308" spans="1:15" x14ac:dyDescent="0.3">
      <c r="A308" t="s">
        <v>431</v>
      </c>
      <c r="B308">
        <v>4</v>
      </c>
      <c r="C308">
        <v>2016</v>
      </c>
      <c r="D308" s="1">
        <v>42490</v>
      </c>
      <c r="E308" s="24">
        <v>5386703000</v>
      </c>
      <c r="F308" s="24">
        <v>4063955000</v>
      </c>
      <c r="G308" s="24">
        <v>0</v>
      </c>
      <c r="H308" s="24">
        <v>0</v>
      </c>
      <c r="I308" s="24">
        <v>0</v>
      </c>
      <c r="J308" t="s">
        <v>21</v>
      </c>
      <c r="K308" t="s">
        <v>162</v>
      </c>
      <c r="L308" s="25">
        <f t="shared" si="19"/>
        <v>0.24555799716449933</v>
      </c>
      <c r="M308" s="24">
        <f t="shared" si="20"/>
        <v>1322748000</v>
      </c>
      <c r="N308" s="25">
        <f t="shared" si="17"/>
        <v>0.24555799716449933</v>
      </c>
      <c r="O308" s="24">
        <f t="shared" si="18"/>
        <v>1322748000</v>
      </c>
    </row>
    <row r="309" spans="1:15" x14ac:dyDescent="0.3">
      <c r="A309" t="s">
        <v>434</v>
      </c>
      <c r="B309">
        <v>1</v>
      </c>
      <c r="C309">
        <v>2012</v>
      </c>
      <c r="D309" s="1">
        <v>41274</v>
      </c>
      <c r="E309" s="24">
        <v>54657000000</v>
      </c>
      <c r="F309" s="24">
        <v>9821000000</v>
      </c>
      <c r="G309" s="24">
        <v>15171000000</v>
      </c>
      <c r="H309" s="24">
        <v>7482000000</v>
      </c>
      <c r="I309" s="24">
        <v>5109000000</v>
      </c>
      <c r="J309" t="s">
        <v>21</v>
      </c>
      <c r="K309" t="s">
        <v>22</v>
      </c>
      <c r="L309" s="25">
        <f t="shared" si="19"/>
        <v>0.8203157875477981</v>
      </c>
      <c r="M309" s="24">
        <f t="shared" si="20"/>
        <v>44836000000</v>
      </c>
      <c r="N309" s="25">
        <f t="shared" si="17"/>
        <v>0.31238450701648462</v>
      </c>
      <c r="O309" s="24">
        <f t="shared" si="18"/>
        <v>17074000000</v>
      </c>
    </row>
    <row r="310" spans="1:15" x14ac:dyDescent="0.3">
      <c r="A310" t="s">
        <v>434</v>
      </c>
      <c r="B310">
        <v>2</v>
      </c>
      <c r="C310">
        <v>2013</v>
      </c>
      <c r="D310" s="1">
        <v>41639</v>
      </c>
      <c r="E310" s="24">
        <v>51584000000</v>
      </c>
      <c r="F310" s="24">
        <v>9586000000</v>
      </c>
      <c r="G310" s="24">
        <v>14355000000</v>
      </c>
      <c r="H310" s="24">
        <v>6678000000</v>
      </c>
      <c r="I310" s="24">
        <v>4599000000</v>
      </c>
      <c r="J310" t="s">
        <v>21</v>
      </c>
      <c r="K310" t="s">
        <v>22</v>
      </c>
      <c r="L310" s="25">
        <f t="shared" si="19"/>
        <v>0.81416718362282881</v>
      </c>
      <c r="M310" s="24">
        <f t="shared" si="20"/>
        <v>41998000000</v>
      </c>
      <c r="N310" s="25">
        <f t="shared" si="17"/>
        <v>0.31726892059553352</v>
      </c>
      <c r="O310" s="24">
        <f t="shared" si="18"/>
        <v>16366000000</v>
      </c>
    </row>
    <row r="311" spans="1:15" x14ac:dyDescent="0.3">
      <c r="A311" t="s">
        <v>434</v>
      </c>
      <c r="B311">
        <v>3</v>
      </c>
      <c r="C311">
        <v>2014</v>
      </c>
      <c r="D311" s="1">
        <v>42004</v>
      </c>
      <c r="E311" s="24">
        <v>49605000000</v>
      </c>
      <c r="F311" s="24">
        <v>9577000000</v>
      </c>
      <c r="G311" s="24">
        <v>14097000000</v>
      </c>
      <c r="H311" s="24">
        <v>8393000000</v>
      </c>
      <c r="I311" s="24">
        <v>4039000000</v>
      </c>
      <c r="J311" t="s">
        <v>21</v>
      </c>
      <c r="K311" t="s">
        <v>22</v>
      </c>
      <c r="L311" s="25">
        <f t="shared" si="19"/>
        <v>0.80693478479991931</v>
      </c>
      <c r="M311" s="24">
        <f t="shared" si="20"/>
        <v>40028000000</v>
      </c>
      <c r="N311" s="25">
        <f t="shared" si="17"/>
        <v>0.27212982562241711</v>
      </c>
      <c r="O311" s="24">
        <f t="shared" si="18"/>
        <v>13499000000</v>
      </c>
    </row>
    <row r="312" spans="1:15" x14ac:dyDescent="0.3">
      <c r="A312" t="s">
        <v>434</v>
      </c>
      <c r="B312">
        <v>4</v>
      </c>
      <c r="C312">
        <v>2015</v>
      </c>
      <c r="D312" s="1">
        <v>42369</v>
      </c>
      <c r="E312" s="24">
        <v>48851000000</v>
      </c>
      <c r="F312" s="24">
        <v>9648000000</v>
      </c>
      <c r="G312" s="24">
        <v>14809000000</v>
      </c>
      <c r="H312" s="24">
        <v>7690000000</v>
      </c>
      <c r="I312" s="24">
        <v>3728000000</v>
      </c>
      <c r="J312" t="s">
        <v>21</v>
      </c>
      <c r="K312" t="s">
        <v>22</v>
      </c>
      <c r="L312" s="25">
        <f t="shared" si="19"/>
        <v>0.80250148410472666</v>
      </c>
      <c r="M312" s="24">
        <f t="shared" si="20"/>
        <v>39203000000</v>
      </c>
      <c r="N312" s="25">
        <f t="shared" si="17"/>
        <v>0.2656240404495302</v>
      </c>
      <c r="O312" s="24">
        <f t="shared" si="18"/>
        <v>12976000000</v>
      </c>
    </row>
    <row r="313" spans="1:15" x14ac:dyDescent="0.3">
      <c r="A313" t="s">
        <v>440</v>
      </c>
      <c r="B313">
        <v>1</v>
      </c>
      <c r="C313">
        <v>2012</v>
      </c>
      <c r="D313" s="1">
        <v>41273</v>
      </c>
      <c r="E313" s="24">
        <v>2105188000</v>
      </c>
      <c r="F313" s="24">
        <v>1143659000</v>
      </c>
      <c r="G313" s="24">
        <v>627370000</v>
      </c>
      <c r="H313" s="24">
        <v>131835000</v>
      </c>
      <c r="I313" s="24">
        <v>0</v>
      </c>
      <c r="J313" t="s">
        <v>21</v>
      </c>
      <c r="K313" t="s">
        <v>26</v>
      </c>
      <c r="L313" s="25">
        <f t="shared" si="19"/>
        <v>0.4567425807101313</v>
      </c>
      <c r="M313" s="24">
        <f t="shared" si="20"/>
        <v>961529000</v>
      </c>
      <c r="N313" s="25">
        <f t="shared" si="17"/>
        <v>9.6107331031717827E-2</v>
      </c>
      <c r="O313" s="24">
        <f t="shared" si="18"/>
        <v>202324000</v>
      </c>
    </row>
    <row r="314" spans="1:15" x14ac:dyDescent="0.3">
      <c r="A314" t="s">
        <v>440</v>
      </c>
      <c r="B314">
        <v>2</v>
      </c>
      <c r="C314">
        <v>2013</v>
      </c>
      <c r="D314" s="1">
        <v>41637</v>
      </c>
      <c r="E314" s="24">
        <v>2157586000</v>
      </c>
      <c r="F314" s="24">
        <v>1181444000</v>
      </c>
      <c r="G314" s="24">
        <v>581898000</v>
      </c>
      <c r="H314" s="24">
        <v>132400000</v>
      </c>
      <c r="I314" s="24">
        <v>0</v>
      </c>
      <c r="J314" t="s">
        <v>21</v>
      </c>
      <c r="K314" t="s">
        <v>26</v>
      </c>
      <c r="L314" s="25">
        <f t="shared" si="19"/>
        <v>0.45242321742910829</v>
      </c>
      <c r="M314" s="24">
        <f t="shared" si="20"/>
        <v>976142000</v>
      </c>
      <c r="N314" s="25">
        <f t="shared" si="17"/>
        <v>0.12135970478117675</v>
      </c>
      <c r="O314" s="24">
        <f t="shared" si="18"/>
        <v>261844000</v>
      </c>
    </row>
    <row r="315" spans="1:15" x14ac:dyDescent="0.3">
      <c r="A315" t="s">
        <v>440</v>
      </c>
      <c r="B315">
        <v>3</v>
      </c>
      <c r="C315">
        <v>2014</v>
      </c>
      <c r="D315" s="1">
        <v>42001</v>
      </c>
      <c r="E315" s="24">
        <v>2237219000</v>
      </c>
      <c r="F315" s="24">
        <v>1232611000</v>
      </c>
      <c r="G315" s="24">
        <v>659335000</v>
      </c>
      <c r="H315" s="24">
        <v>121141000</v>
      </c>
      <c r="I315" s="24">
        <v>0</v>
      </c>
      <c r="J315" t="s">
        <v>21</v>
      </c>
      <c r="K315" t="s">
        <v>26</v>
      </c>
      <c r="L315" s="25">
        <f t="shared" si="19"/>
        <v>0.44904320944887377</v>
      </c>
      <c r="M315" s="24">
        <f t="shared" si="20"/>
        <v>1004608000</v>
      </c>
      <c r="N315" s="25">
        <f t="shared" si="17"/>
        <v>0.10018330793722027</v>
      </c>
      <c r="O315" s="24">
        <f t="shared" si="18"/>
        <v>224132000</v>
      </c>
    </row>
    <row r="316" spans="1:15" x14ac:dyDescent="0.3">
      <c r="A316" t="s">
        <v>440</v>
      </c>
      <c r="B316">
        <v>4</v>
      </c>
      <c r="C316">
        <v>2016</v>
      </c>
      <c r="D316" s="1">
        <v>42372</v>
      </c>
      <c r="E316" s="24">
        <v>2262359000</v>
      </c>
      <c r="F316" s="24">
        <v>1237859000</v>
      </c>
      <c r="G316" s="24">
        <v>598848000</v>
      </c>
      <c r="H316" s="24">
        <v>125928000</v>
      </c>
      <c r="I316" s="24">
        <v>0</v>
      </c>
      <c r="J316" t="s">
        <v>21</v>
      </c>
      <c r="K316" t="s">
        <v>26</v>
      </c>
      <c r="L316" s="25">
        <f t="shared" si="19"/>
        <v>0.45284590111472145</v>
      </c>
      <c r="M316" s="24">
        <f t="shared" si="20"/>
        <v>1024500000</v>
      </c>
      <c r="N316" s="25">
        <f t="shared" si="17"/>
        <v>0.13248295252875428</v>
      </c>
      <c r="O316" s="24">
        <f t="shared" si="18"/>
        <v>299724000</v>
      </c>
    </row>
    <row r="317" spans="1:15" x14ac:dyDescent="0.3">
      <c r="A317" t="s">
        <v>456</v>
      </c>
      <c r="B317">
        <v>1</v>
      </c>
      <c r="C317">
        <v>2013</v>
      </c>
      <c r="D317" s="1">
        <v>41639</v>
      </c>
      <c r="E317" s="24">
        <v>2104745000</v>
      </c>
      <c r="F317" s="24">
        <v>155355000</v>
      </c>
      <c r="G317" s="24">
        <v>346393000</v>
      </c>
      <c r="H317" s="24">
        <v>859947000</v>
      </c>
      <c r="I317" s="24">
        <v>0</v>
      </c>
      <c r="J317" t="s">
        <v>21</v>
      </c>
      <c r="K317" t="s">
        <v>62</v>
      </c>
      <c r="L317" s="25">
        <f t="shared" si="19"/>
        <v>0.92618820807271185</v>
      </c>
      <c r="M317" s="24">
        <f t="shared" si="20"/>
        <v>1949390000</v>
      </c>
      <c r="N317" s="25">
        <f t="shared" si="17"/>
        <v>0.35303564089711581</v>
      </c>
      <c r="O317" s="24">
        <f t="shared" si="18"/>
        <v>743050000</v>
      </c>
    </row>
    <row r="318" spans="1:15" x14ac:dyDescent="0.3">
      <c r="A318" t="s">
        <v>456</v>
      </c>
      <c r="B318">
        <v>2</v>
      </c>
      <c r="C318">
        <v>2014</v>
      </c>
      <c r="D318" s="1">
        <v>42004</v>
      </c>
      <c r="E318" s="24">
        <v>2819557000</v>
      </c>
      <c r="F318" s="24">
        <v>205018000</v>
      </c>
      <c r="G318" s="24">
        <v>519267000</v>
      </c>
      <c r="H318" s="24">
        <v>1271353000</v>
      </c>
      <c r="I318" s="24">
        <v>0</v>
      </c>
      <c r="J318" t="s">
        <v>21</v>
      </c>
      <c r="K318" t="s">
        <v>62</v>
      </c>
      <c r="L318" s="25">
        <f t="shared" si="19"/>
        <v>0.92728715894021652</v>
      </c>
      <c r="M318" s="24">
        <f t="shared" si="20"/>
        <v>2614539000</v>
      </c>
      <c r="N318" s="25">
        <f t="shared" si="17"/>
        <v>0.29221576297269392</v>
      </c>
      <c r="O318" s="24">
        <f t="shared" si="18"/>
        <v>823919000</v>
      </c>
    </row>
    <row r="319" spans="1:15" x14ac:dyDescent="0.3">
      <c r="A319" t="s">
        <v>456</v>
      </c>
      <c r="B319">
        <v>3</v>
      </c>
      <c r="C319">
        <v>2015</v>
      </c>
      <c r="D319" s="1">
        <v>42369</v>
      </c>
      <c r="E319" s="24">
        <v>4103728000</v>
      </c>
      <c r="F319" s="24">
        <v>392709000</v>
      </c>
      <c r="G319" s="24">
        <v>838526000</v>
      </c>
      <c r="H319" s="24">
        <v>1620577000</v>
      </c>
      <c r="I319" s="24">
        <v>0</v>
      </c>
      <c r="J319" t="s">
        <v>21</v>
      </c>
      <c r="K319" t="s">
        <v>62</v>
      </c>
      <c r="L319" s="25">
        <f t="shared" si="19"/>
        <v>0.90430433011154732</v>
      </c>
      <c r="M319" s="24">
        <f t="shared" si="20"/>
        <v>3711019000</v>
      </c>
      <c r="N319" s="25">
        <f t="shared" si="17"/>
        <v>0.30506797721486412</v>
      </c>
      <c r="O319" s="24">
        <f t="shared" si="18"/>
        <v>1251916000</v>
      </c>
    </row>
    <row r="320" spans="1:15" x14ac:dyDescent="0.3">
      <c r="A320" t="s">
        <v>456</v>
      </c>
      <c r="B320">
        <v>4</v>
      </c>
      <c r="C320">
        <v>2016</v>
      </c>
      <c r="D320" s="1">
        <v>42735</v>
      </c>
      <c r="E320" s="24">
        <v>4860427000</v>
      </c>
      <c r="F320" s="24">
        <v>299694000</v>
      </c>
      <c r="G320" s="24">
        <v>1177697000</v>
      </c>
      <c r="H320" s="24">
        <v>2052295000</v>
      </c>
      <c r="I320" s="24">
        <v>0</v>
      </c>
      <c r="J320" t="s">
        <v>21</v>
      </c>
      <c r="K320" t="s">
        <v>62</v>
      </c>
      <c r="L320" s="25">
        <f t="shared" si="19"/>
        <v>0.93833998535519614</v>
      </c>
      <c r="M320" s="24">
        <f t="shared" si="20"/>
        <v>4560733000</v>
      </c>
      <c r="N320" s="25">
        <f t="shared" si="17"/>
        <v>0.27379096527938801</v>
      </c>
      <c r="O320" s="24">
        <f t="shared" si="18"/>
        <v>1330741000</v>
      </c>
    </row>
    <row r="321" spans="1:15" x14ac:dyDescent="0.3">
      <c r="A321" t="s">
        <v>492</v>
      </c>
      <c r="B321">
        <v>1</v>
      </c>
      <c r="C321">
        <v>2013</v>
      </c>
      <c r="D321" s="1">
        <v>41639</v>
      </c>
      <c r="E321" s="24">
        <v>9021000000</v>
      </c>
      <c r="F321" s="24">
        <v>3002000000</v>
      </c>
      <c r="G321" s="24">
        <v>4089000000</v>
      </c>
      <c r="H321" s="24">
        <v>536000000</v>
      </c>
      <c r="I321" s="24">
        <v>138000000</v>
      </c>
      <c r="J321" t="s">
        <v>21</v>
      </c>
      <c r="K321" t="s">
        <v>26</v>
      </c>
      <c r="L321" s="25">
        <f t="shared" si="19"/>
        <v>0.6672209289435761</v>
      </c>
      <c r="M321" s="24">
        <f t="shared" si="20"/>
        <v>6019000000</v>
      </c>
      <c r="N321" s="25">
        <f t="shared" si="17"/>
        <v>0.13923068395964971</v>
      </c>
      <c r="O321" s="24">
        <f t="shared" si="18"/>
        <v>1256000000</v>
      </c>
    </row>
    <row r="322" spans="1:15" x14ac:dyDescent="0.3">
      <c r="A322" t="s">
        <v>492</v>
      </c>
      <c r="B322">
        <v>2</v>
      </c>
      <c r="C322">
        <v>2014</v>
      </c>
      <c r="D322" s="1">
        <v>42004</v>
      </c>
      <c r="E322" s="24">
        <v>9675000000</v>
      </c>
      <c r="F322" s="24">
        <v>3319000000</v>
      </c>
      <c r="G322" s="24">
        <v>4308000000</v>
      </c>
      <c r="H322" s="24">
        <v>614000000</v>
      </c>
      <c r="I322" s="24">
        <v>188000000</v>
      </c>
      <c r="J322" t="s">
        <v>21</v>
      </c>
      <c r="K322" t="s">
        <v>26</v>
      </c>
      <c r="L322" s="25">
        <f t="shared" si="19"/>
        <v>0.65695090439276482</v>
      </c>
      <c r="M322" s="24">
        <f t="shared" si="20"/>
        <v>6356000000</v>
      </c>
      <c r="N322" s="25">
        <f t="shared" si="17"/>
        <v>0.12878552971576226</v>
      </c>
      <c r="O322" s="24">
        <f t="shared" si="18"/>
        <v>1246000000</v>
      </c>
    </row>
    <row r="323" spans="1:15" x14ac:dyDescent="0.3">
      <c r="A323" t="s">
        <v>492</v>
      </c>
      <c r="B323">
        <v>3</v>
      </c>
      <c r="C323">
        <v>2015</v>
      </c>
      <c r="D323" s="1">
        <v>42369</v>
      </c>
      <c r="E323" s="24">
        <v>9946000000</v>
      </c>
      <c r="F323" s="24">
        <v>3344000000</v>
      </c>
      <c r="G323" s="24">
        <v>3906000000</v>
      </c>
      <c r="H323" s="24">
        <v>625000000</v>
      </c>
      <c r="I323" s="24">
        <v>210000000</v>
      </c>
      <c r="J323" t="s">
        <v>21</v>
      </c>
      <c r="K323" t="s">
        <v>26</v>
      </c>
      <c r="L323" s="25">
        <f t="shared" si="19"/>
        <v>0.66378443595415249</v>
      </c>
      <c r="M323" s="24">
        <f t="shared" si="20"/>
        <v>6602000000</v>
      </c>
      <c r="N323" s="25">
        <f t="shared" ref="N323:N356" si="21">O323/E323</f>
        <v>0.18711039613915142</v>
      </c>
      <c r="O323" s="24">
        <f t="shared" ref="O323:O356" si="22">M323-SUM(G323:I323)</f>
        <v>1861000000</v>
      </c>
    </row>
    <row r="324" spans="1:15" x14ac:dyDescent="0.3">
      <c r="A324" t="s">
        <v>492</v>
      </c>
      <c r="B324">
        <v>4</v>
      </c>
      <c r="C324">
        <v>2016</v>
      </c>
      <c r="D324" s="1">
        <v>42735</v>
      </c>
      <c r="E324" s="24">
        <v>11325000000</v>
      </c>
      <c r="F324" s="24">
        <v>3830000000</v>
      </c>
      <c r="G324" s="24">
        <v>4295000000</v>
      </c>
      <c r="H324" s="24">
        <v>715000000</v>
      </c>
      <c r="I324" s="24">
        <v>319000000</v>
      </c>
      <c r="J324" t="s">
        <v>21</v>
      </c>
      <c r="K324" t="s">
        <v>26</v>
      </c>
      <c r="L324" s="25">
        <f t="shared" ref="L324:L356" si="23">1-(F324/E324)</f>
        <v>0.66181015452538627</v>
      </c>
      <c r="M324" s="24">
        <f t="shared" ref="M324:M356" si="24">E324-F324</f>
        <v>7495000000</v>
      </c>
      <c r="N324" s="25">
        <f t="shared" si="21"/>
        <v>0.19125827814569538</v>
      </c>
      <c r="O324" s="24">
        <f t="shared" si="22"/>
        <v>2166000000</v>
      </c>
    </row>
    <row r="325" spans="1:15" x14ac:dyDescent="0.3">
      <c r="A325" t="s">
        <v>509</v>
      </c>
      <c r="B325">
        <v>1</v>
      </c>
      <c r="C325">
        <v>2012</v>
      </c>
      <c r="D325" s="1">
        <v>41274</v>
      </c>
      <c r="E325" s="24">
        <v>12509900000</v>
      </c>
      <c r="F325" s="24">
        <v>7214400000</v>
      </c>
      <c r="G325" s="24">
        <v>3354900000</v>
      </c>
      <c r="H325" s="24">
        <v>376400000</v>
      </c>
      <c r="I325" s="24">
        <v>0</v>
      </c>
      <c r="J325" t="s">
        <v>21</v>
      </c>
      <c r="K325" t="s">
        <v>26</v>
      </c>
      <c r="L325" s="25">
        <f t="shared" si="23"/>
        <v>0.42330474264382612</v>
      </c>
      <c r="M325" s="24">
        <f t="shared" si="24"/>
        <v>5295500000</v>
      </c>
      <c r="N325" s="25">
        <f t="shared" si="21"/>
        <v>0.1250369707191904</v>
      </c>
      <c r="O325" s="24">
        <f t="shared" si="22"/>
        <v>1564200000</v>
      </c>
    </row>
    <row r="326" spans="1:15" x14ac:dyDescent="0.3">
      <c r="A326" t="s">
        <v>509</v>
      </c>
      <c r="B326">
        <v>2</v>
      </c>
      <c r="C326">
        <v>2013</v>
      </c>
      <c r="D326" s="1">
        <v>41639</v>
      </c>
      <c r="E326" s="24">
        <v>13090300000</v>
      </c>
      <c r="F326" s="24">
        <v>7561200000</v>
      </c>
      <c r="G326" s="24">
        <v>3446300000</v>
      </c>
      <c r="H326" s="24">
        <v>395500000</v>
      </c>
      <c r="I326" s="24">
        <v>0</v>
      </c>
      <c r="J326" t="s">
        <v>21</v>
      </c>
      <c r="K326" t="s">
        <v>26</v>
      </c>
      <c r="L326" s="25">
        <f t="shared" si="23"/>
        <v>0.422381458026172</v>
      </c>
      <c r="M326" s="24">
        <f t="shared" si="24"/>
        <v>5529100000</v>
      </c>
      <c r="N326" s="25">
        <f t="shared" si="21"/>
        <v>0.1288969695117759</v>
      </c>
      <c r="O326" s="24">
        <f t="shared" si="22"/>
        <v>1687300000</v>
      </c>
    </row>
    <row r="327" spans="1:15" x14ac:dyDescent="0.3">
      <c r="A327" t="s">
        <v>509</v>
      </c>
      <c r="B327">
        <v>3</v>
      </c>
      <c r="C327">
        <v>2014</v>
      </c>
      <c r="D327" s="1">
        <v>42004</v>
      </c>
      <c r="E327" s="24">
        <v>16889600000</v>
      </c>
      <c r="F327" s="24">
        <v>9397600000</v>
      </c>
      <c r="G327" s="24">
        <v>4896100000</v>
      </c>
      <c r="H327" s="24">
        <v>691100000</v>
      </c>
      <c r="I327" s="24">
        <v>0</v>
      </c>
      <c r="J327" t="s">
        <v>21</v>
      </c>
      <c r="K327" t="s">
        <v>26</v>
      </c>
      <c r="L327" s="25">
        <f t="shared" si="23"/>
        <v>0.44358658582796517</v>
      </c>
      <c r="M327" s="24">
        <f t="shared" si="24"/>
        <v>7492000000</v>
      </c>
      <c r="N327" s="25">
        <f t="shared" si="21"/>
        <v>0.11277946191739295</v>
      </c>
      <c r="O327" s="24">
        <f t="shared" si="22"/>
        <v>1904800000</v>
      </c>
    </row>
    <row r="328" spans="1:15" x14ac:dyDescent="0.3">
      <c r="A328" t="s">
        <v>509</v>
      </c>
      <c r="B328">
        <v>4</v>
      </c>
      <c r="C328">
        <v>2015</v>
      </c>
      <c r="D328" s="1">
        <v>42369</v>
      </c>
      <c r="E328" s="24">
        <v>16965400000</v>
      </c>
      <c r="F328" s="24">
        <v>9209500000</v>
      </c>
      <c r="G328" s="24">
        <v>4612100000</v>
      </c>
      <c r="H328" s="24">
        <v>692300000</v>
      </c>
      <c r="I328" s="24">
        <v>0</v>
      </c>
      <c r="J328" t="s">
        <v>21</v>
      </c>
      <c r="K328" t="s">
        <v>26</v>
      </c>
      <c r="L328" s="25">
        <f t="shared" si="23"/>
        <v>0.45715986655192331</v>
      </c>
      <c r="M328" s="24">
        <f t="shared" si="24"/>
        <v>7755900000</v>
      </c>
      <c r="N328" s="25">
        <f t="shared" si="21"/>
        <v>0.14449998231695096</v>
      </c>
      <c r="O328" s="24">
        <f t="shared" si="22"/>
        <v>2451500000</v>
      </c>
    </row>
    <row r="329" spans="1:15" x14ac:dyDescent="0.3">
      <c r="A329" t="s">
        <v>524</v>
      </c>
      <c r="B329">
        <v>1</v>
      </c>
      <c r="C329">
        <v>2013</v>
      </c>
      <c r="D329" s="1">
        <v>41639</v>
      </c>
      <c r="E329" s="24">
        <v>122489000000</v>
      </c>
      <c r="F329" s="24">
        <v>89659000000</v>
      </c>
      <c r="G329" s="24">
        <v>0</v>
      </c>
      <c r="H329" s="24">
        <v>0</v>
      </c>
      <c r="I329" s="24">
        <v>23207000000</v>
      </c>
      <c r="J329" t="s">
        <v>21</v>
      </c>
      <c r="K329" t="s">
        <v>77</v>
      </c>
      <c r="L329" s="25">
        <f t="shared" si="23"/>
        <v>0.2680240674672828</v>
      </c>
      <c r="M329" s="24">
        <f t="shared" si="24"/>
        <v>32830000000</v>
      </c>
      <c r="N329" s="25">
        <f t="shared" si="21"/>
        <v>7.8562156601817312E-2</v>
      </c>
      <c r="O329" s="24">
        <f t="shared" si="22"/>
        <v>9623000000</v>
      </c>
    </row>
    <row r="330" spans="1:15" x14ac:dyDescent="0.3">
      <c r="A330" t="s">
        <v>524</v>
      </c>
      <c r="B330">
        <v>2</v>
      </c>
      <c r="C330">
        <v>2014</v>
      </c>
      <c r="D330" s="1">
        <v>42004</v>
      </c>
      <c r="E330" s="24">
        <v>130474000000</v>
      </c>
      <c r="F330" s="24">
        <v>93633000000</v>
      </c>
      <c r="G330" s="24">
        <v>0</v>
      </c>
      <c r="H330" s="24">
        <v>0</v>
      </c>
      <c r="I330" s="24">
        <v>26567000000</v>
      </c>
      <c r="J330" t="s">
        <v>21</v>
      </c>
      <c r="K330" t="s">
        <v>77</v>
      </c>
      <c r="L330" s="25">
        <f t="shared" si="23"/>
        <v>0.28236276959394213</v>
      </c>
      <c r="M330" s="24">
        <f t="shared" si="24"/>
        <v>36841000000</v>
      </c>
      <c r="N330" s="25">
        <f t="shared" si="21"/>
        <v>7.8743657740239434E-2</v>
      </c>
      <c r="O330" s="24">
        <f t="shared" si="22"/>
        <v>10274000000</v>
      </c>
    </row>
    <row r="331" spans="1:15" x14ac:dyDescent="0.3">
      <c r="A331" t="s">
        <v>524</v>
      </c>
      <c r="B331">
        <v>3</v>
      </c>
      <c r="C331">
        <v>2015</v>
      </c>
      <c r="D331" s="1">
        <v>42369</v>
      </c>
      <c r="E331" s="24">
        <v>157107000000</v>
      </c>
      <c r="F331" s="24">
        <v>103875000000</v>
      </c>
      <c r="G331" s="24">
        <v>0</v>
      </c>
      <c r="H331" s="24">
        <v>0</v>
      </c>
      <c r="I331" s="24">
        <v>42211000000</v>
      </c>
      <c r="J331" t="s">
        <v>21</v>
      </c>
      <c r="K331" t="s">
        <v>77</v>
      </c>
      <c r="L331" s="25">
        <f t="shared" si="23"/>
        <v>0.33882640493421678</v>
      </c>
      <c r="M331" s="24">
        <f t="shared" si="24"/>
        <v>53232000000</v>
      </c>
      <c r="N331" s="25">
        <f t="shared" si="21"/>
        <v>7.0149643236774931E-2</v>
      </c>
      <c r="O331" s="24">
        <f t="shared" si="22"/>
        <v>11021000000</v>
      </c>
    </row>
    <row r="332" spans="1:15" x14ac:dyDescent="0.3">
      <c r="A332" t="s">
        <v>524</v>
      </c>
      <c r="B332">
        <v>4</v>
      </c>
      <c r="C332">
        <v>2016</v>
      </c>
      <c r="D332" s="1">
        <v>42735</v>
      </c>
      <c r="E332" s="24">
        <v>184840000000</v>
      </c>
      <c r="F332" s="24">
        <v>117038000000</v>
      </c>
      <c r="G332" s="24">
        <v>0</v>
      </c>
      <c r="H332" s="24">
        <v>0</v>
      </c>
      <c r="I332" s="24">
        <v>54872000000</v>
      </c>
      <c r="J332" t="s">
        <v>21</v>
      </c>
      <c r="K332" t="s">
        <v>77</v>
      </c>
      <c r="L332" s="25">
        <f t="shared" si="23"/>
        <v>0.36681454230685995</v>
      </c>
      <c r="M332" s="24">
        <f t="shared" si="24"/>
        <v>67802000000</v>
      </c>
      <c r="N332" s="25">
        <f t="shared" si="21"/>
        <v>6.9952391257303612E-2</v>
      </c>
      <c r="O332" s="24">
        <f t="shared" si="22"/>
        <v>12930000000</v>
      </c>
    </row>
    <row r="333" spans="1:15" x14ac:dyDescent="0.3">
      <c r="A333" t="s">
        <v>532</v>
      </c>
      <c r="B333">
        <v>1</v>
      </c>
      <c r="C333">
        <v>2013</v>
      </c>
      <c r="D333" s="1">
        <v>41544</v>
      </c>
      <c r="E333" s="24">
        <v>2942897000</v>
      </c>
      <c r="F333" s="24">
        <v>1693210000</v>
      </c>
      <c r="G333" s="24">
        <v>432589000</v>
      </c>
      <c r="H333" s="24">
        <v>208208000</v>
      </c>
      <c r="I333" s="24">
        <v>0</v>
      </c>
      <c r="J333" t="s">
        <v>21</v>
      </c>
      <c r="K333" t="s">
        <v>26</v>
      </c>
      <c r="L333" s="25">
        <f t="shared" si="23"/>
        <v>0.42464517106782873</v>
      </c>
      <c r="M333" s="24">
        <f t="shared" si="24"/>
        <v>1249687000</v>
      </c>
      <c r="N333" s="25">
        <f t="shared" si="21"/>
        <v>0.20690156672149926</v>
      </c>
      <c r="O333" s="24">
        <f t="shared" si="22"/>
        <v>608890000</v>
      </c>
    </row>
    <row r="334" spans="1:15" x14ac:dyDescent="0.3">
      <c r="A334" t="s">
        <v>532</v>
      </c>
      <c r="B334">
        <v>2</v>
      </c>
      <c r="C334">
        <v>2014</v>
      </c>
      <c r="D334" s="1">
        <v>41908</v>
      </c>
      <c r="E334" s="24">
        <v>3049800000</v>
      </c>
      <c r="F334" s="24">
        <v>1748100000</v>
      </c>
      <c r="G334" s="24">
        <v>470600000</v>
      </c>
      <c r="H334" s="24">
        <v>234800000</v>
      </c>
      <c r="I334" s="24">
        <v>0</v>
      </c>
      <c r="J334" t="s">
        <v>21</v>
      </c>
      <c r="K334" t="s">
        <v>26</v>
      </c>
      <c r="L334" s="25">
        <f t="shared" si="23"/>
        <v>0.42681487310643318</v>
      </c>
      <c r="M334" s="24">
        <f t="shared" si="24"/>
        <v>1301700000</v>
      </c>
      <c r="N334" s="25">
        <f t="shared" si="21"/>
        <v>0.19552101777165715</v>
      </c>
      <c r="O334" s="24">
        <f t="shared" si="22"/>
        <v>596300000</v>
      </c>
    </row>
    <row r="335" spans="1:15" x14ac:dyDescent="0.3">
      <c r="A335" t="s">
        <v>532</v>
      </c>
      <c r="B335">
        <v>3</v>
      </c>
      <c r="C335">
        <v>2015</v>
      </c>
      <c r="D335" s="1">
        <v>42279</v>
      </c>
      <c r="E335" s="24">
        <v>3099100000</v>
      </c>
      <c r="F335" s="24">
        <v>1816400000</v>
      </c>
      <c r="G335" s="24">
        <v>488500000</v>
      </c>
      <c r="H335" s="24">
        <v>245200000</v>
      </c>
      <c r="I335" s="24">
        <v>0</v>
      </c>
      <c r="J335" t="s">
        <v>21</v>
      </c>
      <c r="K335" t="s">
        <v>26</v>
      </c>
      <c r="L335" s="25">
        <f t="shared" si="23"/>
        <v>0.41389435642605921</v>
      </c>
      <c r="M335" s="24">
        <f t="shared" si="24"/>
        <v>1282700000</v>
      </c>
      <c r="N335" s="25">
        <f t="shared" si="21"/>
        <v>0.17714820431738246</v>
      </c>
      <c r="O335" s="24">
        <f t="shared" si="22"/>
        <v>549000000</v>
      </c>
    </row>
    <row r="336" spans="1:15" x14ac:dyDescent="0.3">
      <c r="A336" t="s">
        <v>532</v>
      </c>
      <c r="B336">
        <v>4</v>
      </c>
      <c r="C336">
        <v>2016</v>
      </c>
      <c r="D336" s="1">
        <v>42643</v>
      </c>
      <c r="E336" s="24">
        <v>3217800000</v>
      </c>
      <c r="F336" s="24">
        <v>1856500000</v>
      </c>
      <c r="G336" s="24">
        <v>557000000</v>
      </c>
      <c r="H336" s="24">
        <v>253500000</v>
      </c>
      <c r="I336" s="24">
        <v>0</v>
      </c>
      <c r="J336" t="s">
        <v>21</v>
      </c>
      <c r="K336" t="s">
        <v>26</v>
      </c>
      <c r="L336" s="25">
        <f t="shared" si="23"/>
        <v>0.42305301758965752</v>
      </c>
      <c r="M336" s="24">
        <f t="shared" si="24"/>
        <v>1361300000</v>
      </c>
      <c r="N336" s="25">
        <f t="shared" si="21"/>
        <v>0.17117285101622226</v>
      </c>
      <c r="O336" s="24">
        <f t="shared" si="22"/>
        <v>550800000</v>
      </c>
    </row>
    <row r="337" spans="1:15" x14ac:dyDescent="0.3">
      <c r="A337" t="s">
        <v>540</v>
      </c>
      <c r="B337">
        <v>1</v>
      </c>
      <c r="C337">
        <v>2012</v>
      </c>
      <c r="D337" s="1">
        <v>41274</v>
      </c>
      <c r="E337" s="24">
        <v>1527042000</v>
      </c>
      <c r="F337" s="24">
        <v>279885000</v>
      </c>
      <c r="G337" s="24">
        <v>432681000</v>
      </c>
      <c r="H337" s="24">
        <v>765905000</v>
      </c>
      <c r="I337" s="24">
        <v>0</v>
      </c>
      <c r="J337" t="s">
        <v>21</v>
      </c>
      <c r="K337" t="s">
        <v>62</v>
      </c>
      <c r="L337" s="25">
        <f t="shared" si="23"/>
        <v>0.81671427504940919</v>
      </c>
      <c r="M337" s="24">
        <f t="shared" si="24"/>
        <v>1247157000</v>
      </c>
      <c r="N337" s="25">
        <f t="shared" si="21"/>
        <v>3.1807245642228567E-2</v>
      </c>
      <c r="O337" s="24">
        <f t="shared" si="22"/>
        <v>48571000</v>
      </c>
    </row>
    <row r="338" spans="1:15" x14ac:dyDescent="0.3">
      <c r="A338" t="s">
        <v>540</v>
      </c>
      <c r="B338">
        <v>2</v>
      </c>
      <c r="C338">
        <v>2013</v>
      </c>
      <c r="D338" s="1">
        <v>41639</v>
      </c>
      <c r="E338" s="24">
        <v>1211975000</v>
      </c>
      <c r="F338" s="24">
        <v>130277000</v>
      </c>
      <c r="G338" s="24">
        <v>356188000</v>
      </c>
      <c r="H338" s="24">
        <v>882097000</v>
      </c>
      <c r="I338" s="24">
        <v>0</v>
      </c>
      <c r="J338" t="s">
        <v>21</v>
      </c>
      <c r="K338" t="s">
        <v>62</v>
      </c>
      <c r="L338" s="25">
        <f t="shared" si="23"/>
        <v>0.89250850883887867</v>
      </c>
      <c r="M338" s="24">
        <f t="shared" si="24"/>
        <v>1081698000</v>
      </c>
      <c r="N338" s="25">
        <f t="shared" si="21"/>
        <v>-0.12919985973308029</v>
      </c>
      <c r="O338" s="24">
        <f t="shared" si="22"/>
        <v>-156587000</v>
      </c>
    </row>
    <row r="339" spans="1:15" x14ac:dyDescent="0.3">
      <c r="A339" t="s">
        <v>540</v>
      </c>
      <c r="B339">
        <v>3</v>
      </c>
      <c r="C339">
        <v>2014</v>
      </c>
      <c r="D339" s="1">
        <v>42004</v>
      </c>
      <c r="E339" s="24">
        <v>580415000</v>
      </c>
      <c r="F339" s="24">
        <v>60987000</v>
      </c>
      <c r="G339" s="24">
        <v>305409000</v>
      </c>
      <c r="H339" s="24">
        <v>855506000</v>
      </c>
      <c r="I339" s="24">
        <v>0</v>
      </c>
      <c r="J339" t="s">
        <v>21</v>
      </c>
      <c r="K339" t="s">
        <v>62</v>
      </c>
      <c r="L339" s="25">
        <f t="shared" si="23"/>
        <v>0.89492518284331035</v>
      </c>
      <c r="M339" s="24">
        <f t="shared" si="24"/>
        <v>519428000</v>
      </c>
      <c r="N339" s="25">
        <f t="shared" si="21"/>
        <v>-1.1052212640955179</v>
      </c>
      <c r="O339" s="24">
        <f t="shared" si="22"/>
        <v>-641487000</v>
      </c>
    </row>
    <row r="340" spans="1:15" x14ac:dyDescent="0.3">
      <c r="A340" t="s">
        <v>540</v>
      </c>
      <c r="B340">
        <v>4</v>
      </c>
      <c r="C340">
        <v>2015</v>
      </c>
      <c r="D340" s="1">
        <v>42369</v>
      </c>
      <c r="E340" s="24">
        <v>1032336000</v>
      </c>
      <c r="F340" s="24">
        <v>124512000</v>
      </c>
      <c r="G340" s="24">
        <v>376575000</v>
      </c>
      <c r="H340" s="24">
        <v>995922000</v>
      </c>
      <c r="I340" s="24">
        <v>0</v>
      </c>
      <c r="J340" t="s">
        <v>21</v>
      </c>
      <c r="K340" t="s">
        <v>62</v>
      </c>
      <c r="L340" s="25">
        <f t="shared" si="23"/>
        <v>0.87938810619798202</v>
      </c>
      <c r="M340" s="24">
        <f t="shared" si="24"/>
        <v>907824000</v>
      </c>
      <c r="N340" s="25">
        <f t="shared" si="21"/>
        <v>-0.45011798484214444</v>
      </c>
      <c r="O340" s="24">
        <f t="shared" si="22"/>
        <v>-464673000</v>
      </c>
    </row>
    <row r="341" spans="1:15" x14ac:dyDescent="0.3">
      <c r="A341" t="s">
        <v>543</v>
      </c>
      <c r="B341">
        <v>1</v>
      </c>
      <c r="C341">
        <v>2012</v>
      </c>
      <c r="D341" s="1">
        <v>41274</v>
      </c>
      <c r="E341" s="24">
        <v>1843641000</v>
      </c>
      <c r="F341" s="24">
        <v>737614000</v>
      </c>
      <c r="G341" s="24">
        <v>477270000</v>
      </c>
      <c r="H341" s="24">
        <v>96004000</v>
      </c>
      <c r="I341" s="24">
        <v>13829000</v>
      </c>
      <c r="J341" t="s">
        <v>21</v>
      </c>
      <c r="K341" t="s">
        <v>24</v>
      </c>
      <c r="L341" s="25">
        <f t="shared" si="23"/>
        <v>0.59991451698025811</v>
      </c>
      <c r="M341" s="24">
        <f t="shared" si="24"/>
        <v>1106027000</v>
      </c>
      <c r="N341" s="25">
        <f t="shared" si="21"/>
        <v>0.28146694502888575</v>
      </c>
      <c r="O341" s="24">
        <f t="shared" si="22"/>
        <v>518924000</v>
      </c>
    </row>
    <row r="342" spans="1:15" x14ac:dyDescent="0.3">
      <c r="A342" t="s">
        <v>543</v>
      </c>
      <c r="B342">
        <v>2</v>
      </c>
      <c r="C342">
        <v>2013</v>
      </c>
      <c r="D342" s="1">
        <v>41639</v>
      </c>
      <c r="E342" s="24">
        <v>1904218000</v>
      </c>
      <c r="F342" s="24">
        <v>783456000</v>
      </c>
      <c r="G342" s="24">
        <v>492965000</v>
      </c>
      <c r="H342" s="24">
        <v>100536000</v>
      </c>
      <c r="I342" s="24">
        <v>9918000</v>
      </c>
      <c r="J342" t="s">
        <v>21</v>
      </c>
      <c r="K342" t="s">
        <v>24</v>
      </c>
      <c r="L342" s="25">
        <f t="shared" si="23"/>
        <v>0.58856811562541678</v>
      </c>
      <c r="M342" s="24">
        <f t="shared" si="24"/>
        <v>1120762000</v>
      </c>
      <c r="N342" s="25">
        <f t="shared" si="21"/>
        <v>0.27168265398184449</v>
      </c>
      <c r="O342" s="24">
        <f t="shared" si="22"/>
        <v>517343000</v>
      </c>
    </row>
    <row r="343" spans="1:15" x14ac:dyDescent="0.3">
      <c r="A343" t="s">
        <v>543</v>
      </c>
      <c r="B343">
        <v>3</v>
      </c>
      <c r="C343">
        <v>2014</v>
      </c>
      <c r="D343" s="1">
        <v>42004</v>
      </c>
      <c r="E343" s="24">
        <v>1989344000</v>
      </c>
      <c r="F343" s="24">
        <v>824913000</v>
      </c>
      <c r="G343" s="24">
        <v>512707000</v>
      </c>
      <c r="H343" s="24">
        <v>107726000</v>
      </c>
      <c r="I343" s="24">
        <v>10634000</v>
      </c>
      <c r="J343" t="s">
        <v>21</v>
      </c>
      <c r="K343" t="s">
        <v>24</v>
      </c>
      <c r="L343" s="25">
        <f t="shared" si="23"/>
        <v>0.58533416040664665</v>
      </c>
      <c r="M343" s="24">
        <f t="shared" si="24"/>
        <v>1164431000</v>
      </c>
      <c r="N343" s="25">
        <f t="shared" si="21"/>
        <v>0.26811049270513293</v>
      </c>
      <c r="O343" s="24">
        <f t="shared" si="22"/>
        <v>533364000</v>
      </c>
    </row>
    <row r="344" spans="1:15" x14ac:dyDescent="0.3">
      <c r="A344" t="s">
        <v>543</v>
      </c>
      <c r="B344">
        <v>4</v>
      </c>
      <c r="C344">
        <v>2015</v>
      </c>
      <c r="D344" s="1">
        <v>42369</v>
      </c>
      <c r="E344" s="24">
        <v>2042332000</v>
      </c>
      <c r="F344" s="24">
        <v>842672000</v>
      </c>
      <c r="G344" s="24">
        <v>495747000</v>
      </c>
      <c r="H344" s="24">
        <v>118545000</v>
      </c>
      <c r="I344" s="24">
        <v>10123000</v>
      </c>
      <c r="J344" t="s">
        <v>21</v>
      </c>
      <c r="K344" t="s">
        <v>24</v>
      </c>
      <c r="L344" s="25">
        <f t="shared" si="23"/>
        <v>0.58739715188323938</v>
      </c>
      <c r="M344" s="24">
        <f t="shared" si="24"/>
        <v>1199660000</v>
      </c>
      <c r="N344" s="25">
        <f t="shared" si="21"/>
        <v>0.28166086610795893</v>
      </c>
      <c r="O344" s="24">
        <f t="shared" si="22"/>
        <v>575245000</v>
      </c>
    </row>
    <row r="345" spans="1:15" x14ac:dyDescent="0.3">
      <c r="A345" t="s">
        <v>564</v>
      </c>
      <c r="B345">
        <v>1</v>
      </c>
      <c r="C345">
        <v>2012</v>
      </c>
      <c r="D345" s="1">
        <v>41274</v>
      </c>
      <c r="E345" s="24">
        <v>2928429000</v>
      </c>
      <c r="F345" s="24">
        <v>1372042000</v>
      </c>
      <c r="G345" s="24">
        <v>1148731000</v>
      </c>
      <c r="H345" s="24">
        <v>0</v>
      </c>
      <c r="I345" s="24">
        <v>0</v>
      </c>
      <c r="J345" t="s">
        <v>21</v>
      </c>
      <c r="K345" t="s">
        <v>162</v>
      </c>
      <c r="L345" s="25">
        <f t="shared" si="23"/>
        <v>0.53147506734839745</v>
      </c>
      <c r="M345" s="24">
        <f t="shared" si="24"/>
        <v>1556387000</v>
      </c>
      <c r="N345" s="25">
        <f t="shared" si="21"/>
        <v>0.13920637993955121</v>
      </c>
      <c r="O345" s="24">
        <f t="shared" si="22"/>
        <v>407656000</v>
      </c>
    </row>
    <row r="346" spans="1:15" x14ac:dyDescent="0.3">
      <c r="A346" t="s">
        <v>564</v>
      </c>
      <c r="B346">
        <v>2</v>
      </c>
      <c r="C346">
        <v>2013</v>
      </c>
      <c r="D346" s="1">
        <v>41639</v>
      </c>
      <c r="E346" s="24">
        <v>2950800000</v>
      </c>
      <c r="F346" s="24">
        <v>1373400000</v>
      </c>
      <c r="G346" s="24">
        <v>1144800000</v>
      </c>
      <c r="H346" s="24">
        <v>0</v>
      </c>
      <c r="I346" s="24">
        <v>0</v>
      </c>
      <c r="J346" t="s">
        <v>21</v>
      </c>
      <c r="K346" t="s">
        <v>162</v>
      </c>
      <c r="L346" s="25">
        <f t="shared" si="23"/>
        <v>0.53456689711264738</v>
      </c>
      <c r="M346" s="24">
        <f t="shared" si="24"/>
        <v>1577400000</v>
      </c>
      <c r="N346" s="25">
        <f t="shared" si="21"/>
        <v>0.14660431069540464</v>
      </c>
      <c r="O346" s="24">
        <f t="shared" si="22"/>
        <v>432600000</v>
      </c>
    </row>
    <row r="347" spans="1:15" x14ac:dyDescent="0.3">
      <c r="A347" t="s">
        <v>564</v>
      </c>
      <c r="B347">
        <v>3</v>
      </c>
      <c r="C347">
        <v>2014</v>
      </c>
      <c r="D347" s="1">
        <v>42004</v>
      </c>
      <c r="E347" s="24">
        <v>2922600000</v>
      </c>
      <c r="F347" s="24">
        <v>1322800000</v>
      </c>
      <c r="G347" s="24">
        <v>1143100000</v>
      </c>
      <c r="H347" s="24">
        <v>0</v>
      </c>
      <c r="I347" s="24">
        <v>0</v>
      </c>
      <c r="J347" t="s">
        <v>21</v>
      </c>
      <c r="K347" t="s">
        <v>162</v>
      </c>
      <c r="L347" s="25">
        <f t="shared" si="23"/>
        <v>0.54738931088756582</v>
      </c>
      <c r="M347" s="24">
        <f t="shared" si="24"/>
        <v>1599800000</v>
      </c>
      <c r="N347" s="25">
        <f t="shared" si="21"/>
        <v>0.15626496954766303</v>
      </c>
      <c r="O347" s="24">
        <f t="shared" si="22"/>
        <v>456700000</v>
      </c>
    </row>
    <row r="348" spans="1:15" x14ac:dyDescent="0.3">
      <c r="A348" t="s">
        <v>564</v>
      </c>
      <c r="B348">
        <v>4</v>
      </c>
      <c r="C348">
        <v>2015</v>
      </c>
      <c r="D348" s="1">
        <v>42369</v>
      </c>
      <c r="E348" s="24">
        <v>2674300000</v>
      </c>
      <c r="F348" s="24">
        <v>1157100000</v>
      </c>
      <c r="G348" s="24">
        <v>1077300000</v>
      </c>
      <c r="H348" s="24">
        <v>0</v>
      </c>
      <c r="I348" s="24">
        <v>0</v>
      </c>
      <c r="J348" t="s">
        <v>21</v>
      </c>
      <c r="K348" t="s">
        <v>162</v>
      </c>
      <c r="L348" s="25">
        <f t="shared" si="23"/>
        <v>0.56732602924129671</v>
      </c>
      <c r="M348" s="24">
        <f t="shared" si="24"/>
        <v>1517200000</v>
      </c>
      <c r="N348" s="25">
        <f t="shared" si="21"/>
        <v>0.16449164267284896</v>
      </c>
      <c r="O348" s="24">
        <f t="shared" si="22"/>
        <v>439900000</v>
      </c>
    </row>
    <row r="349" spans="1:15" x14ac:dyDescent="0.3">
      <c r="A349" t="s">
        <v>569</v>
      </c>
      <c r="B349">
        <v>1</v>
      </c>
      <c r="C349">
        <v>2012</v>
      </c>
      <c r="D349" s="1">
        <v>41274</v>
      </c>
      <c r="E349" s="24">
        <v>4471700000</v>
      </c>
      <c r="F349" s="24">
        <v>1125200000</v>
      </c>
      <c r="G349" s="24">
        <v>1822100000</v>
      </c>
      <c r="H349" s="24">
        <v>225600000</v>
      </c>
      <c r="I349" s="24">
        <v>0</v>
      </c>
      <c r="J349" t="s">
        <v>21</v>
      </c>
      <c r="K349" t="s">
        <v>26</v>
      </c>
      <c r="L349" s="25">
        <f t="shared" si="23"/>
        <v>0.74837310195227769</v>
      </c>
      <c r="M349" s="24">
        <f t="shared" si="24"/>
        <v>3346500000</v>
      </c>
      <c r="N349" s="25">
        <f t="shared" si="21"/>
        <v>0.29044882259543353</v>
      </c>
      <c r="O349" s="24">
        <f t="shared" si="22"/>
        <v>1298800000</v>
      </c>
    </row>
    <row r="350" spans="1:15" x14ac:dyDescent="0.3">
      <c r="A350" t="s">
        <v>569</v>
      </c>
      <c r="B350">
        <v>2</v>
      </c>
      <c r="C350">
        <v>2013</v>
      </c>
      <c r="D350" s="1">
        <v>41639</v>
      </c>
      <c r="E350" s="24">
        <v>4623400000</v>
      </c>
      <c r="F350" s="24">
        <v>1266700000</v>
      </c>
      <c r="G350" s="24">
        <v>1796300000</v>
      </c>
      <c r="H350" s="24">
        <v>203000000</v>
      </c>
      <c r="I350" s="24">
        <v>78500000</v>
      </c>
      <c r="J350" t="s">
        <v>21</v>
      </c>
      <c r="K350" t="s">
        <v>26</v>
      </c>
      <c r="L350" s="25">
        <f t="shared" si="23"/>
        <v>0.72602413808020072</v>
      </c>
      <c r="M350" s="24">
        <f t="shared" si="24"/>
        <v>3356700000</v>
      </c>
      <c r="N350" s="25">
        <f t="shared" si="21"/>
        <v>0.27661461262274517</v>
      </c>
      <c r="O350" s="24">
        <f t="shared" si="22"/>
        <v>1278900000</v>
      </c>
    </row>
    <row r="351" spans="1:15" x14ac:dyDescent="0.3">
      <c r="A351" t="s">
        <v>569</v>
      </c>
      <c r="B351">
        <v>3</v>
      </c>
      <c r="C351">
        <v>2014</v>
      </c>
      <c r="D351" s="1">
        <v>42004</v>
      </c>
      <c r="E351" s="24">
        <v>4673300000</v>
      </c>
      <c r="F351" s="24">
        <v>1242800000</v>
      </c>
      <c r="G351" s="24">
        <v>1772200000</v>
      </c>
      <c r="H351" s="24">
        <v>187400000</v>
      </c>
      <c r="I351" s="24">
        <v>92500000</v>
      </c>
      <c r="J351" t="s">
        <v>21</v>
      </c>
      <c r="K351" t="s">
        <v>26</v>
      </c>
      <c r="L351" s="25">
        <f t="shared" si="23"/>
        <v>0.73406372370701645</v>
      </c>
      <c r="M351" s="24">
        <f t="shared" si="24"/>
        <v>3430500000</v>
      </c>
      <c r="N351" s="25">
        <f t="shared" si="21"/>
        <v>0.29495217512250443</v>
      </c>
      <c r="O351" s="24">
        <f t="shared" si="22"/>
        <v>1378400000</v>
      </c>
    </row>
    <row r="352" spans="1:15" x14ac:dyDescent="0.3">
      <c r="A352" t="s">
        <v>569</v>
      </c>
      <c r="B352">
        <v>4</v>
      </c>
      <c r="C352">
        <v>2015</v>
      </c>
      <c r="D352" s="1">
        <v>42369</v>
      </c>
      <c r="E352" s="24">
        <v>5997800000</v>
      </c>
      <c r="F352" s="24">
        <v>1800600000</v>
      </c>
      <c r="G352" s="24">
        <v>2291900000</v>
      </c>
      <c r="H352" s="24">
        <v>268800000</v>
      </c>
      <c r="I352" s="24">
        <v>337400000</v>
      </c>
      <c r="J352" t="s">
        <v>21</v>
      </c>
      <c r="K352" t="s">
        <v>26</v>
      </c>
      <c r="L352" s="25">
        <f t="shared" si="23"/>
        <v>0.69978992297175635</v>
      </c>
      <c r="M352" s="24">
        <f t="shared" si="24"/>
        <v>4197200000</v>
      </c>
      <c r="N352" s="25">
        <f t="shared" si="21"/>
        <v>0.21659608523125146</v>
      </c>
      <c r="O352" s="24">
        <f t="shared" si="22"/>
        <v>1299100000</v>
      </c>
    </row>
    <row r="353" spans="1:15" x14ac:dyDescent="0.3">
      <c r="A353" t="s">
        <v>571</v>
      </c>
      <c r="B353">
        <v>1</v>
      </c>
      <c r="C353">
        <v>2013</v>
      </c>
      <c r="D353" s="1">
        <v>41639</v>
      </c>
      <c r="E353" s="24">
        <v>4561000000</v>
      </c>
      <c r="F353" s="24">
        <v>1669000000</v>
      </c>
      <c r="G353" s="24">
        <v>1613000000</v>
      </c>
      <c r="H353" s="24">
        <v>399000000</v>
      </c>
      <c r="I353" s="24">
        <v>60000000</v>
      </c>
      <c r="J353" t="s">
        <v>21</v>
      </c>
      <c r="K353" t="s">
        <v>22</v>
      </c>
      <c r="L353" s="25">
        <f t="shared" si="23"/>
        <v>0.63407147555360666</v>
      </c>
      <c r="M353" s="24">
        <f t="shared" si="24"/>
        <v>2892000000</v>
      </c>
      <c r="N353" s="25">
        <f t="shared" si="21"/>
        <v>0.17978513483885114</v>
      </c>
      <c r="O353" s="24">
        <f t="shared" si="22"/>
        <v>820000000</v>
      </c>
    </row>
    <row r="354" spans="1:15" x14ac:dyDescent="0.3">
      <c r="A354" t="s">
        <v>571</v>
      </c>
      <c r="B354">
        <v>2</v>
      </c>
      <c r="C354">
        <v>2014</v>
      </c>
      <c r="D354" s="1">
        <v>42004</v>
      </c>
      <c r="E354" s="24">
        <v>4785000000</v>
      </c>
      <c r="F354" s="24">
        <v>1717000000</v>
      </c>
      <c r="G354" s="24">
        <v>1643000000</v>
      </c>
      <c r="H354" s="24">
        <v>396000000</v>
      </c>
      <c r="I354" s="24">
        <v>60000000</v>
      </c>
      <c r="J354" t="s">
        <v>21</v>
      </c>
      <c r="K354" t="s">
        <v>22</v>
      </c>
      <c r="L354" s="25">
        <f t="shared" si="23"/>
        <v>0.64117032392894457</v>
      </c>
      <c r="M354" s="24">
        <f t="shared" si="24"/>
        <v>3068000000</v>
      </c>
      <c r="N354" s="25">
        <f t="shared" si="21"/>
        <v>0.2025078369905956</v>
      </c>
      <c r="O354" s="24">
        <f t="shared" si="22"/>
        <v>969000000</v>
      </c>
    </row>
    <row r="355" spans="1:15" x14ac:dyDescent="0.3">
      <c r="A355" t="s">
        <v>571</v>
      </c>
      <c r="B355">
        <v>3</v>
      </c>
      <c r="C355">
        <v>2015</v>
      </c>
      <c r="D355" s="1">
        <v>42369</v>
      </c>
      <c r="E355" s="24">
        <v>4765000000</v>
      </c>
      <c r="F355" s="24">
        <v>1738000000</v>
      </c>
      <c r="G355" s="24">
        <v>1532000000</v>
      </c>
      <c r="H355" s="24">
        <v>364000000</v>
      </c>
      <c r="I355" s="24">
        <v>61000000</v>
      </c>
      <c r="J355" t="s">
        <v>21</v>
      </c>
      <c r="K355" t="s">
        <v>22</v>
      </c>
      <c r="L355" s="25">
        <f t="shared" si="23"/>
        <v>0.63525708289611749</v>
      </c>
      <c r="M355" s="24">
        <f t="shared" si="24"/>
        <v>3027000000</v>
      </c>
      <c r="N355" s="25">
        <f t="shared" si="21"/>
        <v>0.22455403987408185</v>
      </c>
      <c r="O355" s="24">
        <f t="shared" si="22"/>
        <v>1070000000</v>
      </c>
    </row>
    <row r="356" spans="1:15" x14ac:dyDescent="0.3">
      <c r="A356" t="s">
        <v>571</v>
      </c>
      <c r="B356">
        <v>4</v>
      </c>
      <c r="C356">
        <v>2016</v>
      </c>
      <c r="D356" s="1">
        <v>42735</v>
      </c>
      <c r="E356" s="24">
        <v>4888000000</v>
      </c>
      <c r="F356" s="24">
        <v>1666000000</v>
      </c>
      <c r="G356" s="24">
        <v>1364000000</v>
      </c>
      <c r="H356" s="24">
        <v>376000000</v>
      </c>
      <c r="I356" s="24">
        <v>85000000</v>
      </c>
      <c r="J356" t="s">
        <v>21</v>
      </c>
      <c r="K356" t="s">
        <v>22</v>
      </c>
      <c r="L356" s="25">
        <f t="shared" si="23"/>
        <v>0.6591653027823241</v>
      </c>
      <c r="M356" s="24">
        <f t="shared" si="24"/>
        <v>3222000000</v>
      </c>
      <c r="N356" s="25">
        <f t="shared" si="21"/>
        <v>0.28580196399345337</v>
      </c>
      <c r="O356" s="24">
        <f t="shared" si="22"/>
        <v>1397000000</v>
      </c>
    </row>
  </sheetData>
  <mergeCells count="1">
    <mergeCell ref="A1:XFD1"/>
  </mergeCells>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BF92A-918D-4F72-A143-BB5E238E3CEB}">
  <dimension ref="F1:L14"/>
  <sheetViews>
    <sheetView topLeftCell="E1" workbookViewId="0">
      <selection activeCell="H17" sqref="H17"/>
    </sheetView>
  </sheetViews>
  <sheetFormatPr defaultRowHeight="14.4" x14ac:dyDescent="0.3"/>
  <cols>
    <col min="6" max="6" width="30.5546875" customWidth="1"/>
    <col min="7" max="10" width="20.5546875" customWidth="1"/>
    <col min="11" max="11" width="9.21875" customWidth="1"/>
  </cols>
  <sheetData>
    <row r="1" spans="6:12" ht="21" x14ac:dyDescent="0.3">
      <c r="F1" s="39" t="s">
        <v>622</v>
      </c>
      <c r="G1" s="39"/>
      <c r="H1" s="39"/>
      <c r="I1" s="39"/>
      <c r="J1" s="39"/>
    </row>
    <row r="2" spans="6:12" x14ac:dyDescent="0.3">
      <c r="G2" s="28" t="s">
        <v>601</v>
      </c>
      <c r="H2" s="35" t="s">
        <v>367</v>
      </c>
    </row>
    <row r="4" spans="6:12" ht="21" x14ac:dyDescent="0.4">
      <c r="F4" s="40" t="s">
        <v>589</v>
      </c>
      <c r="G4" s="40"/>
      <c r="H4" s="40"/>
      <c r="I4" s="40"/>
      <c r="J4" s="40"/>
    </row>
    <row r="5" spans="6:12" ht="18" x14ac:dyDescent="0.35">
      <c r="F5" s="3"/>
      <c r="G5" s="41" t="s">
        <v>591</v>
      </c>
      <c r="H5" s="42"/>
      <c r="I5" s="42"/>
      <c r="J5" s="42"/>
      <c r="K5" s="14"/>
      <c r="L5" s="14"/>
    </row>
    <row r="6" spans="6:12" x14ac:dyDescent="0.3">
      <c r="F6" s="15"/>
      <c r="G6" s="16">
        <f>MIN(INDEX(table_data, MATCH($H$2,Ticker, 0), 3))</f>
        <v>2012</v>
      </c>
      <c r="H6" s="16">
        <f>G6+1</f>
        <v>2013</v>
      </c>
      <c r="I6" s="16">
        <f t="shared" ref="I6:J6" si="0">H6+1</f>
        <v>2014</v>
      </c>
      <c r="J6" s="16">
        <f t="shared" si="0"/>
        <v>2015</v>
      </c>
    </row>
    <row r="7" spans="6:12" ht="15.6" x14ac:dyDescent="0.3">
      <c r="F7" s="17" t="s">
        <v>4</v>
      </c>
      <c r="G7" s="19" cm="1">
        <f t="array" ref="G7">INDEX(table_data, MATCH(1,($H$2=Ticker)*(G$6=Year), 0), 5)</f>
        <v>797517000</v>
      </c>
      <c r="H7" s="19" cm="1">
        <f t="array" ref="H7">INDEX(table_data, MATCH(1,($H$2=Ticker)*(H$6=Year), 0), 5)</f>
        <v>1029475000</v>
      </c>
      <c r="I7" s="19" cm="1">
        <f t="array" ref="I7">INDEX(table_data, MATCH(1,($H$2=Ticker)*(I$6=Year), 0), 5)</f>
        <v>1105247000</v>
      </c>
      <c r="J7" s="19" cm="1">
        <f t="array" ref="J7">INDEX(table_data, MATCH(1,($H$2=Ticker)*(J$6=Year), 0), 5)</f>
        <v>1288149000</v>
      </c>
    </row>
    <row r="8" spans="6:12" ht="15.6" x14ac:dyDescent="0.3">
      <c r="F8" s="18" t="s">
        <v>5</v>
      </c>
      <c r="G8" s="20" cm="1">
        <f t="array" ref="G8">INDEX(table_data, MATCH(1,($H$2=Ticker)*(G$6=Year), 0), 6)</f>
        <v>337533000</v>
      </c>
      <c r="H8" s="20" cm="1">
        <f t="array" ref="H8">INDEX(table_data, MATCH(1,($H$2=Ticker)*(H$6=Year), 0), 6)</f>
        <v>423256000</v>
      </c>
      <c r="I8" s="20" cm="1">
        <f t="array" ref="I8">INDEX(table_data, MATCH(1,($H$2=Ticker)*(I$6=Year), 0), 6)</f>
        <v>441929000</v>
      </c>
      <c r="J8" s="20" cm="1">
        <f t="array" ref="J8">INDEX(table_data, MATCH(1,($H$2=Ticker)*(J$6=Year), 0), 6)</f>
        <v>497359000</v>
      </c>
    </row>
    <row r="9" spans="6:12" ht="15.6" x14ac:dyDescent="0.3">
      <c r="F9" s="17" t="s">
        <v>575</v>
      </c>
      <c r="G9" s="20">
        <f>G$7-G$8</f>
        <v>459984000</v>
      </c>
      <c r="H9" s="20">
        <f>H$7-H$8</f>
        <v>606219000</v>
      </c>
      <c r="I9" s="20">
        <f>I$7-I$8</f>
        <v>663318000</v>
      </c>
      <c r="J9" s="20">
        <f>J$7-J$8</f>
        <v>790790000</v>
      </c>
    </row>
    <row r="10" spans="6:12" ht="15.6" x14ac:dyDescent="0.3">
      <c r="F10" s="18" t="s">
        <v>592</v>
      </c>
      <c r="G10" s="20" cm="1">
        <f t="array" ref="G10">INDEX(table_data, MATCH(1,($H$2=Ticker)*(G$6=Year), 0), 7)</f>
        <v>20412000</v>
      </c>
      <c r="H10" s="20" cm="1">
        <f t="array" ref="H10">INDEX(table_data, MATCH(1,($H$2=Ticker)*(H$6=Year), 0), 7)</f>
        <v>27772000</v>
      </c>
      <c r="I10" s="20" cm="1">
        <f t="array" ref="I10">INDEX(table_data, MATCH(1,($H$2=Ticker)*(I$6=Year), 0), 7)</f>
        <v>29412000</v>
      </c>
      <c r="J10" s="20" cm="1">
        <f t="array" ref="J10">INDEX(table_data, MATCH(1,($H$2=Ticker)*(J$6=Year), 0), 7)</f>
        <v>29870000</v>
      </c>
    </row>
    <row r="11" spans="6:12" ht="15.6" x14ac:dyDescent="0.3">
      <c r="F11" s="18" t="s">
        <v>593</v>
      </c>
      <c r="G11" s="20" cm="1">
        <f t="array" ref="G11">INDEX(table_data, MATCH(1,($H$2=Ticker)*(G$6=Year), 0), 8)</f>
        <v>0</v>
      </c>
      <c r="H11" s="20" cm="1">
        <f t="array" ref="H11">INDEX(table_data, MATCH(1,($H$2=Ticker)*(H$6=Year), 0), 8)</f>
        <v>0</v>
      </c>
      <c r="I11" s="20" cm="1">
        <f t="array" ref="I11">INDEX(table_data, MATCH(1,($H$2=Ticker)*(I$6=Year), 0), 8)</f>
        <v>0</v>
      </c>
      <c r="J11" s="20" cm="1">
        <f t="array" ref="J11">INDEX(table_data, MATCH(1,($H$2=Ticker)*(J$6=Year), 0), 8)</f>
        <v>0</v>
      </c>
    </row>
    <row r="12" spans="6:12" ht="15.6" x14ac:dyDescent="0.3">
      <c r="F12" s="18" t="s">
        <v>594</v>
      </c>
      <c r="G12" s="20" cm="1">
        <f t="array" ref="G12">INDEX(table_data, MATCH(1,($H$2=Ticker)*(G$6=Year), 0), 9)</f>
        <v>277621000</v>
      </c>
      <c r="H12" s="20" cm="1">
        <f t="array" ref="H12">INDEX(table_data, MATCH(1,($H$2=Ticker)*(H$6=Year), 0), 9)</f>
        <v>357165000</v>
      </c>
      <c r="I12" s="20" cm="1">
        <f t="array" ref="I12">INDEX(table_data, MATCH(1,($H$2=Ticker)*(I$6=Year), 0), 9)</f>
        <v>378716000</v>
      </c>
      <c r="J12" s="20" cm="1">
        <f t="array" ref="J12">INDEX(table_data, MATCH(1,($H$2=Ticker)*(J$6=Year), 0), 9)</f>
        <v>464472000</v>
      </c>
    </row>
    <row r="13" spans="6:12" ht="15.6" x14ac:dyDescent="0.3">
      <c r="F13" s="17" t="s">
        <v>576</v>
      </c>
      <c r="G13" s="20">
        <f>SUM(G$10:G$12)</f>
        <v>298033000</v>
      </c>
      <c r="H13" s="20">
        <f>SUM(H$10:H$12)</f>
        <v>384937000</v>
      </c>
      <c r="I13" s="20">
        <f>SUM(I$10:I$12)</f>
        <v>408128000</v>
      </c>
      <c r="J13" s="20">
        <f>SUM(J$10:J$12)</f>
        <v>494342000</v>
      </c>
    </row>
    <row r="14" spans="6:12" ht="15.6" x14ac:dyDescent="0.3">
      <c r="F14" s="34" t="s">
        <v>577</v>
      </c>
      <c r="G14" s="21">
        <f>G$9-G$13</f>
        <v>161951000</v>
      </c>
      <c r="H14" s="21">
        <f>H$9-H$13</f>
        <v>221282000</v>
      </c>
      <c r="I14" s="21">
        <f>I$9-I$13</f>
        <v>255190000</v>
      </c>
      <c r="J14" s="21">
        <f>J$9-J$13</f>
        <v>296448000</v>
      </c>
    </row>
  </sheetData>
  <mergeCells count="3">
    <mergeCell ref="F1:J1"/>
    <mergeCell ref="F4:J4"/>
    <mergeCell ref="G5:J5"/>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DE036E91-29B1-45B3-B651-CB9496E0A375}">
          <x14:formula1>
            <xm:f>Data!$A$2:$A$1711</xm:f>
          </x14:formula1>
          <xm:sqref>H2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93F3F-6F3C-4093-A905-455843DD08F0}">
  <dimension ref="E1:AO37"/>
  <sheetViews>
    <sheetView topLeftCell="D15" zoomScale="70" zoomScaleNormal="70" workbookViewId="0">
      <selection activeCell="J30" sqref="J30"/>
    </sheetView>
  </sheetViews>
  <sheetFormatPr defaultRowHeight="14.4" x14ac:dyDescent="0.3"/>
  <cols>
    <col min="5" max="5" width="8.88671875" customWidth="1"/>
    <col min="6" max="6" width="30.5546875" customWidth="1"/>
    <col min="7" max="10" width="20.5546875" customWidth="1"/>
    <col min="11" max="11" width="24.5546875" customWidth="1"/>
    <col min="12" max="12" width="23.5546875" customWidth="1"/>
  </cols>
  <sheetData>
    <row r="1" spans="5:41" ht="21" x14ac:dyDescent="0.3">
      <c r="E1" s="4"/>
      <c r="F1" s="39" t="s">
        <v>586</v>
      </c>
      <c r="G1" s="39"/>
      <c r="H1" s="39"/>
      <c r="I1" s="39"/>
      <c r="J1" s="39"/>
      <c r="K1" s="39"/>
      <c r="L1" s="39"/>
    </row>
    <row r="2" spans="5:41" x14ac:dyDescent="0.3">
      <c r="G2" s="28" t="s">
        <v>601</v>
      </c>
      <c r="H2" s="23" t="s">
        <v>225</v>
      </c>
      <c r="J2" s="28" t="s">
        <v>608</v>
      </c>
      <c r="K2" s="23" t="s">
        <v>581</v>
      </c>
    </row>
    <row r="4" spans="5:41" ht="15.6" x14ac:dyDescent="0.3">
      <c r="G4" s="44" t="s">
        <v>606</v>
      </c>
      <c r="H4" s="44"/>
      <c r="I4" s="44"/>
      <c r="J4" s="44"/>
      <c r="K4" s="44" t="s">
        <v>607</v>
      </c>
      <c r="L4" s="44"/>
    </row>
    <row r="5" spans="5:41" x14ac:dyDescent="0.3">
      <c r="G5" s="49">
        <f>MIN(INDEX(table_data, MATCH($H$2,Ticker, 0), 3))</f>
        <v>2012</v>
      </c>
      <c r="H5" s="49">
        <f>G5+1</f>
        <v>2013</v>
      </c>
      <c r="I5" s="49">
        <f t="shared" ref="I5:J5" si="0">H5+1</f>
        <v>2014</v>
      </c>
      <c r="J5" s="49">
        <f t="shared" si="0"/>
        <v>2015</v>
      </c>
      <c r="K5" s="49">
        <f>J5+1</f>
        <v>2016</v>
      </c>
      <c r="L5" s="3">
        <f>K5+1</f>
        <v>2017</v>
      </c>
    </row>
    <row r="6" spans="5:41" ht="15.6" x14ac:dyDescent="0.3">
      <c r="F6" s="29" t="s">
        <v>4</v>
      </c>
      <c r="G6" s="50" cm="1">
        <f t="array" ref="G6">INDEX(table_data, MATCH(1,($H$2=Ticker)*(G$5=Year), 0), 5)</f>
        <v>1887376000</v>
      </c>
      <c r="H6" s="50" cm="1">
        <f t="array" ref="H6">INDEX(table_data, MATCH(1,($H$2=Ticker)*(H$5=Year), 0), 5)</f>
        <v>2152766000</v>
      </c>
      <c r="I6" s="50" cm="1">
        <f t="array" ref="I6">INDEX(table_data, MATCH(1,($H$2=Ticker)*(I$5=Year), 0), 5)</f>
        <v>2443776000</v>
      </c>
      <c r="J6" s="50" cm="1">
        <f t="array" ref="J6">INDEX(table_data, MATCH(1,($H$2=Ticker)*(J$5=Year), 0), 5)</f>
        <v>2725867000</v>
      </c>
      <c r="K6" s="51">
        <f ca="1">J6*(1+K18)</f>
        <v>3108601640.9628735</v>
      </c>
      <c r="L6" s="51">
        <f ca="1">K6*(1+L18)</f>
        <v>3576161459.2676516</v>
      </c>
    </row>
    <row r="7" spans="5:41" x14ac:dyDescent="0.3">
      <c r="F7" t="s">
        <v>602</v>
      </c>
      <c r="G7" s="50" cm="1">
        <f t="array" ref="G7">INDEX(table_data, MATCH(1,($H$2=Ticker)*(G$5=Year), 0), 6)</f>
        <v>944617000</v>
      </c>
      <c r="H7" s="50" cm="1">
        <f t="array" ref="H7">INDEX(table_data, MATCH(1,($H$2=Ticker)*(H$5=Year), 0), 6)</f>
        <v>1064403000</v>
      </c>
      <c r="I7" s="50" cm="1">
        <f t="array" ref="I7">INDEX(table_data, MATCH(1,($H$2=Ticker)*(I$5=Year), 0), 6)</f>
        <v>1197885000</v>
      </c>
      <c r="J7" s="50" cm="1">
        <f t="array" ref="J7">INDEX(table_data, MATCH(1,($H$2=Ticker)*(J$5=Year), 0), 6)</f>
        <v>1291506000</v>
      </c>
      <c r="K7" s="51"/>
      <c r="L7" s="51"/>
    </row>
    <row r="8" spans="5:41" ht="15.6" x14ac:dyDescent="0.3">
      <c r="F8" s="29" t="s">
        <v>575</v>
      </c>
      <c r="G8" s="50">
        <f>G$6-G$7</f>
        <v>942759000</v>
      </c>
      <c r="H8" s="50">
        <f>H$6-H$7</f>
        <v>1088363000</v>
      </c>
      <c r="I8" s="50">
        <f>I$6-I$7</f>
        <v>1245891000</v>
      </c>
      <c r="J8" s="50">
        <f>J$6-J$7</f>
        <v>1434361000</v>
      </c>
      <c r="K8" s="51">
        <f ca="1">K6*K19</f>
        <v>1617326475.6445079</v>
      </c>
      <c r="L8" s="51">
        <f ca="1">L6*L19</f>
        <v>1896347587.7318926</v>
      </c>
    </row>
    <row r="9" spans="5:41" x14ac:dyDescent="0.3">
      <c r="F9" t="s">
        <v>603</v>
      </c>
      <c r="G9" s="50" cm="1">
        <f t="array" ref="G9">INDEX(table_data, MATCH(1,($H$2=Ticker)*(G$5=Year), 0), 7)</f>
        <v>531180000</v>
      </c>
      <c r="H9" s="50" cm="1">
        <f t="array" ref="H9">INDEX(table_data, MATCH(1,($H$2=Ticker)*(H$5=Year), 0), 7)</f>
        <v>621413000</v>
      </c>
      <c r="I9" s="50" cm="1">
        <f t="array" ref="I9">INDEX(table_data, MATCH(1,($H$2=Ticker)*(I$5=Year), 0), 7)</f>
        <v>734119000</v>
      </c>
      <c r="J9" s="50" cm="1">
        <f t="array" ref="J9">INDEX(table_data, MATCH(1,($H$2=Ticker)*(J$5=Year), 0), 7)</f>
        <v>825296000</v>
      </c>
      <c r="K9" s="51"/>
      <c r="L9" s="51"/>
    </row>
    <row r="10" spans="5:41" x14ac:dyDescent="0.3">
      <c r="F10" t="s">
        <v>604</v>
      </c>
      <c r="G10" s="50" cm="1">
        <f t="array" ref="G10">INDEX(table_data, MATCH(1,($H$2=Ticker)*(G$5=Year), 0), 8)</f>
        <v>0</v>
      </c>
      <c r="H10" s="50" cm="1">
        <f t="array" ref="H10">INDEX(table_data, MATCH(1,($H$2=Ticker)*(H$5=Year), 0), 8)</f>
        <v>0</v>
      </c>
      <c r="I10" s="50" cm="1">
        <f t="array" ref="I10">INDEX(table_data, MATCH(1,($H$2=Ticker)*(I$5=Year), 0), 8)</f>
        <v>0</v>
      </c>
      <c r="J10" s="50" cm="1">
        <f t="array" ref="J10">INDEX(table_data, MATCH(1,($H$2=Ticker)*(J$5=Year), 0), 8)</f>
        <v>0</v>
      </c>
      <c r="K10" s="51"/>
      <c r="L10" s="51"/>
    </row>
    <row r="11" spans="5:41" x14ac:dyDescent="0.3">
      <c r="F11" t="s">
        <v>605</v>
      </c>
      <c r="G11" s="50" cm="1">
        <f t="array" ref="G11">INDEX(table_data, MATCH(1,($H$2=Ticker)*(G$5=Year), 0), 9)</f>
        <v>0</v>
      </c>
      <c r="H11" s="50" cm="1">
        <f t="array" ref="H11">INDEX(table_data, MATCH(1,($H$2=Ticker)*(H$5=Year), 0), 9)</f>
        <v>0</v>
      </c>
      <c r="I11" s="50" cm="1">
        <f t="array" ref="I11">INDEX(table_data, MATCH(1,($H$2=Ticker)*(I$5=Year), 0), 9)</f>
        <v>0</v>
      </c>
      <c r="J11" s="50" cm="1">
        <f t="array" ref="J11">INDEX(table_data, MATCH(1,($H$2=Ticker)*(J$5=Year), 0), 9)</f>
        <v>0</v>
      </c>
      <c r="K11" s="51"/>
      <c r="L11" s="51"/>
    </row>
    <row r="12" spans="5:41" ht="15.6" x14ac:dyDescent="0.3">
      <c r="F12" s="29" t="s">
        <v>576</v>
      </c>
      <c r="G12" s="50">
        <f>SUM(G$9:G$11)</f>
        <v>531180000</v>
      </c>
      <c r="H12" s="50">
        <f>SUM(H$9:H$11)</f>
        <v>621413000</v>
      </c>
      <c r="I12" s="50">
        <f>SUM(I$9:I$11)</f>
        <v>734119000</v>
      </c>
      <c r="J12" s="50">
        <f>SUM(J$9:J$11)</f>
        <v>825296000</v>
      </c>
      <c r="K12" s="51"/>
      <c r="L12" s="51"/>
    </row>
    <row r="13" spans="5:41" x14ac:dyDescent="0.3">
      <c r="F13" s="27" t="s">
        <v>577</v>
      </c>
      <c r="G13" s="19">
        <f>G$8-G$12</f>
        <v>411579000</v>
      </c>
      <c r="H13" s="19">
        <f>H$8-H$12</f>
        <v>466950000</v>
      </c>
      <c r="I13" s="19">
        <f>I$8-I$12</f>
        <v>511772000</v>
      </c>
      <c r="J13" s="19">
        <f>J$8-J$12</f>
        <v>609065000</v>
      </c>
      <c r="K13" s="52">
        <f ca="1">K6*K20</f>
        <v>705523533.70780635</v>
      </c>
      <c r="L13" s="52">
        <f ca="1">L6*L20</f>
        <v>847401818.53681135</v>
      </c>
    </row>
    <row r="15" spans="5:41" x14ac:dyDescent="0.3">
      <c r="F15" s="13"/>
      <c r="G15" s="11"/>
      <c r="H15" s="11"/>
      <c r="I15" s="11"/>
      <c r="J15" s="11"/>
      <c r="K15" s="11"/>
      <c r="L15" s="12"/>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7"/>
    </row>
    <row r="16" spans="5:41" ht="18" x14ac:dyDescent="0.3">
      <c r="F16" s="45" t="s">
        <v>617</v>
      </c>
      <c r="G16" s="46"/>
      <c r="H16" s="46"/>
      <c r="I16" s="46"/>
      <c r="J16" s="46"/>
      <c r="K16" s="46"/>
      <c r="L16" s="46"/>
    </row>
    <row r="17" spans="5:12" ht="18" x14ac:dyDescent="0.35">
      <c r="G17" s="47" t="s">
        <v>590</v>
      </c>
      <c r="H17" s="47"/>
      <c r="I17" s="47"/>
      <c r="J17" s="47"/>
      <c r="K17" s="47" t="s">
        <v>585</v>
      </c>
      <c r="L17" s="47"/>
    </row>
    <row r="18" spans="5:12" x14ac:dyDescent="0.3">
      <c r="F18" s="26" t="s">
        <v>578</v>
      </c>
      <c r="G18" s="3"/>
      <c r="H18" s="3">
        <f>(H$6-G$6)/G$6</f>
        <v>0.14061321114605674</v>
      </c>
      <c r="I18" s="3">
        <f>(I$6-H$6)/H$6</f>
        <v>0.13517957827278951</v>
      </c>
      <c r="J18" s="3">
        <f>(J$6-I$6)/I$6</f>
        <v>0.11543242915880997</v>
      </c>
      <c r="K18" s="3">
        <f ca="1">OFFSET(G26, MATCH($K$2, $F27:$F29, 0), 0)</f>
        <v>0.14040840619255207</v>
      </c>
      <c r="L18" s="3">
        <f ca="1">OFFSET(H26, MATCH($K$2, $F27:$F29, 0), 0)</f>
        <v>0.15040840619255208</v>
      </c>
    </row>
    <row r="19" spans="5:12" x14ac:dyDescent="0.3">
      <c r="F19" s="26" t="s">
        <v>579</v>
      </c>
      <c r="G19" s="3">
        <f>G$8/G$6</f>
        <v>0.49950778223311093</v>
      </c>
      <c r="H19" s="3">
        <f>H$8/H$6</f>
        <v>0.505564933671379</v>
      </c>
      <c r="I19" s="3">
        <f>I$8/I$6</f>
        <v>0.50982209498742925</v>
      </c>
      <c r="J19" s="3">
        <f>J$8/J$6</f>
        <v>0.52620358953683355</v>
      </c>
      <c r="K19" s="3">
        <f ca="1">OFFSET(G30, MATCH($K$2, $F31:$F33, 0), 0)</f>
        <v>0.52027460010718818</v>
      </c>
      <c r="L19" s="3">
        <f ca="1">OFFSET(H30, MATCH($K$2, $F31:$F33, 0), 0)</f>
        <v>0.53027460010718819</v>
      </c>
    </row>
    <row r="20" spans="5:12" x14ac:dyDescent="0.3">
      <c r="F20" s="26" t="s">
        <v>580</v>
      </c>
      <c r="G20" s="3">
        <f>G$13/G$6</f>
        <v>0.21806942548808506</v>
      </c>
      <c r="H20" s="3">
        <f>H$13/H$6</f>
        <v>0.2169069931427754</v>
      </c>
      <c r="I20" s="3">
        <f>I$13/I$6</f>
        <v>0.20941853917871359</v>
      </c>
      <c r="J20" s="3">
        <f>J$13/J$6</f>
        <v>0.22343900124254046</v>
      </c>
      <c r="K20" s="3">
        <f ca="1">OFFSET(G34, MATCH($K$2, $F35:$F37, 0), 0)</f>
        <v>0.22695848976302863</v>
      </c>
      <c r="L20" s="3">
        <f ca="1">OFFSET(H34, MATCH($K$2, $F35:$F37, 0), 0)</f>
        <v>0.23695848976302863</v>
      </c>
    </row>
    <row r="22" spans="5:12" ht="18" x14ac:dyDescent="0.35">
      <c r="F22" s="53" t="s">
        <v>584</v>
      </c>
    </row>
    <row r="23" spans="5:12" x14ac:dyDescent="0.3">
      <c r="I23" s="8"/>
      <c r="J23" s="9"/>
    </row>
    <row r="24" spans="5:12" ht="15.6" x14ac:dyDescent="0.3">
      <c r="E24" s="30"/>
      <c r="G24" s="43" t="s">
        <v>585</v>
      </c>
      <c r="H24" s="43"/>
      <c r="I24" s="7"/>
      <c r="J24" s="7"/>
    </row>
    <row r="25" spans="5:12" ht="15.6" x14ac:dyDescent="0.3">
      <c r="E25" s="31"/>
      <c r="G25" s="43" t="s">
        <v>2</v>
      </c>
      <c r="H25" s="43"/>
      <c r="I25" s="6"/>
    </row>
    <row r="26" spans="5:12" ht="15" thickBot="1" x14ac:dyDescent="0.35">
      <c r="F26" s="33" t="s">
        <v>578</v>
      </c>
      <c r="G26" s="32">
        <v>5</v>
      </c>
      <c r="H26" s="32">
        <v>6</v>
      </c>
      <c r="I26" s="5"/>
      <c r="J26" s="5"/>
    </row>
    <row r="27" spans="5:12" x14ac:dyDescent="0.3">
      <c r="F27" t="s">
        <v>581</v>
      </c>
      <c r="G27">
        <f>G28+0.01</f>
        <v>0.14040840619255207</v>
      </c>
      <c r="H27">
        <f>H28+0.01</f>
        <v>0.15040840619255208</v>
      </c>
      <c r="I27" s="6"/>
    </row>
    <row r="28" spans="5:12" x14ac:dyDescent="0.3">
      <c r="F28" t="s">
        <v>582</v>
      </c>
      <c r="G28">
        <f>AVERAGE(H18:J18)</f>
        <v>0.13040840619255206</v>
      </c>
      <c r="H28">
        <f>G28+0.01</f>
        <v>0.14040840619255207</v>
      </c>
      <c r="I28" s="6"/>
    </row>
    <row r="29" spans="5:12" x14ac:dyDescent="0.3">
      <c r="F29" t="s">
        <v>583</v>
      </c>
      <c r="G29">
        <f>G28-0.01</f>
        <v>0.12040840619255207</v>
      </c>
      <c r="H29">
        <f>H28-0.01</f>
        <v>0.13040840619255206</v>
      </c>
      <c r="I29" s="6"/>
    </row>
    <row r="30" spans="5:12" ht="15" thickBot="1" x14ac:dyDescent="0.35">
      <c r="F30" s="33" t="s">
        <v>579</v>
      </c>
      <c r="G30" s="32"/>
      <c r="H30" s="32"/>
      <c r="I30" s="6"/>
    </row>
    <row r="31" spans="5:12" x14ac:dyDescent="0.3">
      <c r="F31" t="s">
        <v>581</v>
      </c>
      <c r="G31">
        <f>G32+0.01</f>
        <v>0.52027460010718818</v>
      </c>
      <c r="H31">
        <f>H32+0.01</f>
        <v>0.53027460010718819</v>
      </c>
    </row>
    <row r="32" spans="5:12" x14ac:dyDescent="0.3">
      <c r="F32" t="s">
        <v>582</v>
      </c>
      <c r="G32">
        <f>AVERAGE(G19:J19)</f>
        <v>0.51027460010718817</v>
      </c>
      <c r="H32">
        <f>G32+0.01</f>
        <v>0.52027460010718818</v>
      </c>
    </row>
    <row r="33" spans="6:8" x14ac:dyDescent="0.3">
      <c r="F33" t="s">
        <v>583</v>
      </c>
      <c r="G33">
        <f>G32-0.01</f>
        <v>0.50027460010718816</v>
      </c>
      <c r="H33">
        <f>H32-0.01</f>
        <v>0.51027460010718817</v>
      </c>
    </row>
    <row r="34" spans="6:8" ht="15" thickBot="1" x14ac:dyDescent="0.35">
      <c r="F34" s="33" t="s">
        <v>580</v>
      </c>
      <c r="G34" s="32"/>
      <c r="H34" s="32"/>
    </row>
    <row r="35" spans="6:8" x14ac:dyDescent="0.3">
      <c r="F35" t="s">
        <v>581</v>
      </c>
      <c r="G35">
        <f>G36+0.01</f>
        <v>0.22695848976302863</v>
      </c>
      <c r="H35">
        <f>H36+0.01</f>
        <v>0.23695848976302863</v>
      </c>
    </row>
    <row r="36" spans="6:8" x14ac:dyDescent="0.3">
      <c r="F36" t="s">
        <v>582</v>
      </c>
      <c r="G36">
        <f>AVERAGE(G20:J20)</f>
        <v>0.21695848976302862</v>
      </c>
      <c r="H36">
        <f>G36+0.01</f>
        <v>0.22695848976302863</v>
      </c>
    </row>
    <row r="37" spans="6:8" x14ac:dyDescent="0.3">
      <c r="F37" t="s">
        <v>583</v>
      </c>
      <c r="G37">
        <f>G36-0.01</f>
        <v>0.20695848976302861</v>
      </c>
      <c r="H37">
        <f>H36-0.01</f>
        <v>0.21695848976302862</v>
      </c>
    </row>
  </sheetData>
  <mergeCells count="8">
    <mergeCell ref="G24:H24"/>
    <mergeCell ref="G25:H25"/>
    <mergeCell ref="F1:L1"/>
    <mergeCell ref="G4:J4"/>
    <mergeCell ref="K4:L4"/>
    <mergeCell ref="F16:L16"/>
    <mergeCell ref="G17:J17"/>
    <mergeCell ref="K17:L17"/>
  </mergeCells>
  <dataValidations count="1">
    <dataValidation type="list" allowBlank="1" showInputMessage="1" showErrorMessage="1" sqref="K2" xr:uid="{4FDA20B7-BB6B-43F6-8508-944A5D12B115}">
      <formula1>$F$27:$F$29</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FE7D9FAE-2F0D-4766-9317-6B00C46B76C8}">
          <x14:formula1>
            <xm:f>Data!$A$2:$A$1711</xm:f>
          </x14:formula1>
          <xm:sqref>H2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B90FC-5C64-480E-BC73-36E941A2EE46}">
  <dimension ref="A1"/>
  <sheetViews>
    <sheetView showGridLines="0" zoomScale="50" zoomScaleNormal="50" workbookViewId="0">
      <selection activeCell="G39" sqref="G39"/>
    </sheetView>
  </sheetViews>
  <sheetFormatPr defaultRowHeight="14.4" x14ac:dyDescent="0.3"/>
  <cols>
    <col min="1" max="1" width="12.44140625" bestFit="1" customWidth="1"/>
    <col min="2" max="2" width="21" bestFit="1" customWidth="1"/>
    <col min="3" max="6" width="15.77734375" bestFit="1" customWidth="1"/>
    <col min="7" max="7" width="13.77734375" bestFit="1" customWidth="1"/>
    <col min="8" max="9" width="15.77734375" bestFit="1" customWidth="1"/>
    <col min="10" max="12" width="13.77734375" bestFit="1" customWidth="1"/>
    <col min="13" max="13" width="14.77734375" bestFit="1" customWidth="1"/>
    <col min="14" max="14" width="13.77734375" bestFit="1" customWidth="1"/>
    <col min="15" max="15" width="14.77734375" bestFit="1" customWidth="1"/>
    <col min="16" max="16" width="13.77734375" bestFit="1" customWidth="1"/>
    <col min="17" max="17" width="17.44140625" bestFit="1" customWidth="1"/>
    <col min="18" max="18" width="15.77734375" bestFit="1" customWidth="1"/>
    <col min="19" max="20" width="13.77734375" bestFit="1" customWidth="1"/>
    <col min="21" max="21" width="14.77734375" bestFit="1" customWidth="1"/>
    <col min="22" max="24" width="13.77734375" bestFit="1" customWidth="1"/>
    <col min="25" max="25" width="15.77734375" bestFit="1" customWidth="1"/>
    <col min="26" max="26" width="13.77734375" bestFit="1" customWidth="1"/>
    <col min="27" max="27" width="14.77734375" bestFit="1" customWidth="1"/>
    <col min="28" max="28" width="13.77734375" bestFit="1" customWidth="1"/>
    <col min="29" max="29" width="17.44140625" bestFit="1" customWidth="1"/>
    <col min="30" max="30" width="13.77734375" bestFit="1" customWidth="1"/>
    <col min="31" max="31" width="15.77734375" bestFit="1" customWidth="1"/>
    <col min="32" max="33" width="13.77734375" bestFit="1" customWidth="1"/>
    <col min="34" max="34" width="15.77734375" bestFit="1" customWidth="1"/>
    <col min="35" max="36" width="13.77734375" bestFit="1" customWidth="1"/>
    <col min="37" max="37" width="15.77734375" bestFit="1" customWidth="1"/>
    <col min="38" max="39" width="13.77734375" bestFit="1" customWidth="1"/>
    <col min="40" max="40" width="14.77734375" bestFit="1" customWidth="1"/>
    <col min="41" max="41" width="17.44140625" bestFit="1" customWidth="1"/>
    <col min="42" max="43" width="13.77734375" bestFit="1" customWidth="1"/>
    <col min="44" max="44" width="15.77734375" bestFit="1" customWidth="1"/>
    <col min="45" max="45" width="13.77734375" bestFit="1" customWidth="1"/>
    <col min="46" max="46" width="15.77734375" bestFit="1" customWidth="1"/>
    <col min="47" max="48" width="13.77734375" bestFit="1" customWidth="1"/>
    <col min="49" max="49" width="15.77734375" bestFit="1" customWidth="1"/>
    <col min="50" max="50" width="13.77734375" bestFit="1" customWidth="1"/>
    <col min="51" max="51" width="15.77734375" bestFit="1" customWidth="1"/>
    <col min="52" max="52" width="13.77734375" bestFit="1" customWidth="1"/>
    <col min="53" max="53" width="17.44140625" bestFit="1" customWidth="1"/>
  </cols>
  <sheetData/>
  <pageMargins left="0.7" right="0.7" top="0.75" bottom="0.75" header="0.3" footer="0.3"/>
  <pageSetup orientation="portrait" horizontalDpi="0" verticalDpi="0"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786B3-16F2-4B1F-ABB9-D3D7FEAE0ED4}">
  <dimension ref="A1:B56"/>
  <sheetViews>
    <sheetView topLeftCell="A46" workbookViewId="0"/>
  </sheetViews>
  <sheetFormatPr defaultRowHeight="14.4" x14ac:dyDescent="0.3"/>
  <cols>
    <col min="1" max="1" width="39.21875" bestFit="1" customWidth="1"/>
    <col min="2" max="2" width="24.21875" bestFit="1" customWidth="1"/>
    <col min="3" max="3" width="20.33203125" bestFit="1" customWidth="1"/>
  </cols>
  <sheetData>
    <row r="1" spans="1:2" x14ac:dyDescent="0.3">
      <c r="A1" s="36" t="s">
        <v>609</v>
      </c>
      <c r="B1" t="s">
        <v>613</v>
      </c>
    </row>
    <row r="2" spans="1:2" x14ac:dyDescent="0.3">
      <c r="A2" s="22" t="s">
        <v>17</v>
      </c>
      <c r="B2" s="2">
        <v>232756000000</v>
      </c>
    </row>
    <row r="3" spans="1:2" x14ac:dyDescent="0.3">
      <c r="A3" s="22" t="s">
        <v>563</v>
      </c>
      <c r="B3" s="2">
        <v>144155000000</v>
      </c>
    </row>
    <row r="4" spans="1:2" x14ac:dyDescent="0.3">
      <c r="A4" s="22" t="s">
        <v>546</v>
      </c>
      <c r="B4" s="2">
        <v>140984000000</v>
      </c>
    </row>
    <row r="5" spans="1:2" x14ac:dyDescent="0.3">
      <c r="A5" s="22" t="s">
        <v>328</v>
      </c>
      <c r="B5" s="2">
        <v>106417000000</v>
      </c>
    </row>
    <row r="6" spans="1:2" x14ac:dyDescent="0.3">
      <c r="A6" s="22" t="s">
        <v>552</v>
      </c>
      <c r="B6" s="2">
        <v>105849000000</v>
      </c>
    </row>
    <row r="7" spans="1:2" x14ac:dyDescent="0.3">
      <c r="A7" s="22" t="s">
        <v>182</v>
      </c>
      <c r="B7" s="2">
        <v>104535000000</v>
      </c>
    </row>
    <row r="8" spans="1:2" x14ac:dyDescent="0.3">
      <c r="A8" s="22" t="s">
        <v>395</v>
      </c>
      <c r="B8" s="2">
        <v>104114000000</v>
      </c>
    </row>
    <row r="9" spans="1:2" x14ac:dyDescent="0.3">
      <c r="A9" s="22" t="s">
        <v>542</v>
      </c>
      <c r="B9" s="2">
        <v>97787000000</v>
      </c>
    </row>
    <row r="10" spans="1:2" x14ac:dyDescent="0.3">
      <c r="A10" s="22" t="s">
        <v>100</v>
      </c>
      <c r="B10" s="2">
        <v>87588000000</v>
      </c>
    </row>
    <row r="11" spans="1:2" x14ac:dyDescent="0.3">
      <c r="A11" s="22" t="s">
        <v>184</v>
      </c>
      <c r="B11" s="2">
        <v>87156000000</v>
      </c>
    </row>
    <row r="12" spans="1:2" x14ac:dyDescent="0.3">
      <c r="A12" s="22" t="s">
        <v>610</v>
      </c>
      <c r="B12" s="2">
        <v>1211341000000</v>
      </c>
    </row>
    <row r="14" spans="1:2" x14ac:dyDescent="0.3">
      <c r="A14" s="36" t="s">
        <v>609</v>
      </c>
      <c r="B14" t="s">
        <v>613</v>
      </c>
    </row>
    <row r="15" spans="1:2" x14ac:dyDescent="0.3">
      <c r="A15" s="22" t="s">
        <v>18</v>
      </c>
      <c r="B15" s="2">
        <v>201793581000</v>
      </c>
    </row>
    <row r="16" spans="1:2" x14ac:dyDescent="0.3">
      <c r="A16" s="22" t="s">
        <v>43</v>
      </c>
      <c r="B16" s="2">
        <v>185205906000</v>
      </c>
    </row>
    <row r="17" spans="1:2" x14ac:dyDescent="0.3">
      <c r="A17" s="22" t="s">
        <v>32</v>
      </c>
      <c r="B17" s="2">
        <v>139481481000</v>
      </c>
    </row>
    <row r="18" spans="1:2" x14ac:dyDescent="0.3">
      <c r="A18" s="22" t="s">
        <v>79</v>
      </c>
      <c r="B18" s="2">
        <v>139259359000</v>
      </c>
    </row>
    <row r="19" spans="1:2" x14ac:dyDescent="0.3">
      <c r="A19" s="22" t="s">
        <v>12</v>
      </c>
      <c r="B19" s="2">
        <v>133338562000</v>
      </c>
    </row>
    <row r="20" spans="1:2" x14ac:dyDescent="0.3">
      <c r="A20" s="22" t="s">
        <v>15</v>
      </c>
      <c r="B20" s="2">
        <v>125132106000</v>
      </c>
    </row>
    <row r="21" spans="1:2" x14ac:dyDescent="0.3">
      <c r="A21" s="22" t="s">
        <v>21</v>
      </c>
      <c r="B21" s="2">
        <v>115168179000</v>
      </c>
    </row>
    <row r="22" spans="1:2" x14ac:dyDescent="0.3">
      <c r="A22" s="22" t="s">
        <v>38</v>
      </c>
      <c r="B22" s="2">
        <v>51620962000</v>
      </c>
    </row>
    <row r="23" spans="1:2" x14ac:dyDescent="0.3">
      <c r="A23" s="22" t="s">
        <v>55</v>
      </c>
      <c r="B23" s="2">
        <v>37365267000</v>
      </c>
    </row>
    <row r="24" spans="1:2" x14ac:dyDescent="0.3">
      <c r="A24" s="22" t="s">
        <v>178</v>
      </c>
      <c r="B24" s="2">
        <v>36196000000</v>
      </c>
    </row>
    <row r="25" spans="1:2" x14ac:dyDescent="0.3">
      <c r="A25" s="22" t="s">
        <v>48</v>
      </c>
      <c r="B25" s="2">
        <v>17805082000</v>
      </c>
    </row>
    <row r="26" spans="1:2" x14ac:dyDescent="0.3">
      <c r="A26" s="22" t="s">
        <v>610</v>
      </c>
      <c r="B26" s="2">
        <v>1182366485000</v>
      </c>
    </row>
    <row r="28" spans="1:2" x14ac:dyDescent="0.3">
      <c r="A28" s="36" t="s">
        <v>609</v>
      </c>
      <c r="B28" t="s">
        <v>614</v>
      </c>
    </row>
    <row r="29" spans="1:2" x14ac:dyDescent="0.3">
      <c r="A29" s="22" t="s">
        <v>15</v>
      </c>
      <c r="B29">
        <v>72</v>
      </c>
    </row>
    <row r="30" spans="1:2" x14ac:dyDescent="0.3">
      <c r="A30" s="22" t="s">
        <v>12</v>
      </c>
      <c r="B30">
        <v>61</v>
      </c>
    </row>
    <row r="31" spans="1:2" x14ac:dyDescent="0.3">
      <c r="A31" s="22" t="s">
        <v>18</v>
      </c>
      <c r="B31">
        <v>57</v>
      </c>
    </row>
    <row r="32" spans="1:2" x14ac:dyDescent="0.3">
      <c r="A32" s="22" t="s">
        <v>21</v>
      </c>
      <c r="B32">
        <v>47</v>
      </c>
    </row>
    <row r="33" spans="1:2" x14ac:dyDescent="0.3">
      <c r="A33" s="22" t="s">
        <v>43</v>
      </c>
      <c r="B33">
        <v>41</v>
      </c>
    </row>
    <row r="34" spans="1:2" x14ac:dyDescent="0.3">
      <c r="A34" s="22" t="s">
        <v>32</v>
      </c>
      <c r="B34">
        <v>31</v>
      </c>
    </row>
    <row r="35" spans="1:2" x14ac:dyDescent="0.3">
      <c r="A35" s="22" t="s">
        <v>79</v>
      </c>
      <c r="B35">
        <v>31</v>
      </c>
    </row>
    <row r="36" spans="1:2" x14ac:dyDescent="0.3">
      <c r="A36" s="22" t="s">
        <v>48</v>
      </c>
      <c r="B36">
        <v>26</v>
      </c>
    </row>
    <row r="37" spans="1:2" x14ac:dyDescent="0.3">
      <c r="A37" s="22" t="s">
        <v>38</v>
      </c>
      <c r="B37">
        <v>24</v>
      </c>
    </row>
    <row r="38" spans="1:2" x14ac:dyDescent="0.3">
      <c r="A38" s="22" t="s">
        <v>55</v>
      </c>
      <c r="B38">
        <v>23</v>
      </c>
    </row>
    <row r="39" spans="1:2" x14ac:dyDescent="0.3">
      <c r="A39" s="22" t="s">
        <v>178</v>
      </c>
      <c r="B39">
        <v>5</v>
      </c>
    </row>
    <row r="40" spans="1:2" x14ac:dyDescent="0.3">
      <c r="A40" s="22" t="s">
        <v>610</v>
      </c>
      <c r="B40">
        <v>418</v>
      </c>
    </row>
    <row r="42" spans="1:2" x14ac:dyDescent="0.3">
      <c r="A42" s="36" t="s">
        <v>609</v>
      </c>
      <c r="B42" t="s">
        <v>615</v>
      </c>
    </row>
    <row r="43" spans="1:2" x14ac:dyDescent="0.3">
      <c r="A43" s="22" t="s">
        <v>261</v>
      </c>
      <c r="B43" s="37">
        <v>0.37218414868830363</v>
      </c>
    </row>
    <row r="44" spans="1:2" x14ac:dyDescent="0.3">
      <c r="A44" s="22" t="s">
        <v>71</v>
      </c>
      <c r="B44" s="37">
        <v>0.34880028973358507</v>
      </c>
    </row>
    <row r="45" spans="1:2" x14ac:dyDescent="0.3">
      <c r="A45" s="22" t="s">
        <v>232</v>
      </c>
      <c r="B45" s="37">
        <v>0.34294294294294292</v>
      </c>
    </row>
    <row r="46" spans="1:2" x14ac:dyDescent="0.3">
      <c r="A46" s="22" t="s">
        <v>94</v>
      </c>
      <c r="B46" s="37">
        <v>0.33244769179674527</v>
      </c>
    </row>
    <row r="47" spans="1:2" x14ac:dyDescent="0.3">
      <c r="A47" s="22" t="s">
        <v>96</v>
      </c>
      <c r="B47" s="37">
        <v>0.32410764796212416</v>
      </c>
    </row>
    <row r="48" spans="1:2" x14ac:dyDescent="0.3">
      <c r="A48" s="22" t="s">
        <v>610</v>
      </c>
      <c r="B48" s="37">
        <v>0.34507616703601984</v>
      </c>
    </row>
    <row r="50" spans="1:2" x14ac:dyDescent="0.3">
      <c r="A50" s="36" t="s">
        <v>609</v>
      </c>
      <c r="B50" t="s">
        <v>615</v>
      </c>
    </row>
    <row r="51" spans="1:2" x14ac:dyDescent="0.3">
      <c r="A51" s="22" t="s">
        <v>80</v>
      </c>
      <c r="B51" s="37">
        <v>0.29322521538739288</v>
      </c>
    </row>
    <row r="52" spans="1:2" x14ac:dyDescent="0.3">
      <c r="A52" s="22" t="s">
        <v>298</v>
      </c>
      <c r="B52" s="37">
        <v>0.28341847938410664</v>
      </c>
    </row>
    <row r="53" spans="1:2" x14ac:dyDescent="0.3">
      <c r="A53" s="22" t="s">
        <v>140</v>
      </c>
      <c r="B53" s="37">
        <v>0.19192149879341633</v>
      </c>
    </row>
    <row r="54" spans="1:2" x14ac:dyDescent="0.3">
      <c r="A54" s="22" t="s">
        <v>110</v>
      </c>
      <c r="B54" s="37">
        <v>0.14977538502057475</v>
      </c>
    </row>
    <row r="55" spans="1:2" x14ac:dyDescent="0.3">
      <c r="A55" s="22" t="s">
        <v>337</v>
      </c>
      <c r="B55" s="37">
        <v>0.12688903392559067</v>
      </c>
    </row>
    <row r="56" spans="1:2" x14ac:dyDescent="0.3">
      <c r="A56" s="22" t="s">
        <v>610</v>
      </c>
      <c r="B56" s="37">
        <v>0.23049321865047559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12</vt:i4>
      </vt:variant>
    </vt:vector>
  </HeadingPairs>
  <TitlesOfParts>
    <vt:vector size="18" baseType="lpstr">
      <vt:lpstr>Data</vt:lpstr>
      <vt:lpstr>Statistical Analysis</vt:lpstr>
      <vt:lpstr>Profit &amp; Loss Statement</vt:lpstr>
      <vt:lpstr>Financial Forecasting Model</vt:lpstr>
      <vt:lpstr>Financial Dashboard</vt:lpstr>
      <vt:lpstr>Dashboard Pivot Data</vt:lpstr>
      <vt:lpstr>Cost_of_Goods_Sold</vt:lpstr>
      <vt:lpstr>GICS_Sector</vt:lpstr>
      <vt:lpstr>GICS_Sub_Industry</vt:lpstr>
      <vt:lpstr>Other_Operating_Items</vt:lpstr>
      <vt:lpstr>Period</vt:lpstr>
      <vt:lpstr>Research_and_Development</vt:lpstr>
      <vt:lpstr>Sales__General_and_Admin</vt:lpstr>
      <vt:lpstr>table_data</vt:lpstr>
      <vt:lpstr>Ticker</vt:lpstr>
      <vt:lpstr>Total_Revenue</vt:lpstr>
      <vt:lpstr>Year</vt:lpstr>
      <vt:lpstr>Years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momo</dc:creator>
  <cp:lastModifiedBy>محمد عبد المنعم عبد الرحمن عبده لاشين</cp:lastModifiedBy>
  <dcterms:created xsi:type="dcterms:W3CDTF">2024-10-12T17:59:50Z</dcterms:created>
  <dcterms:modified xsi:type="dcterms:W3CDTF">2025-11-14T23:56:09Z</dcterms:modified>
</cp:coreProperties>
</file>